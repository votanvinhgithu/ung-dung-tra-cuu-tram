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15340350-45AC-4360-BCB7-E3EED711EDEC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tiết'!$A$3:$AQ$102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1" i="25" l="1"/>
  <c r="H91" i="25"/>
  <c r="H84" i="25"/>
  <c r="Y46" i="24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<sst xmlns="http://schemas.openxmlformats.org/spreadsheetml/2006/main" count="3371" uniqueCount="1241">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</sst>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11" sqref="G11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365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897</v>
      </c>
      <c r="H1" s="8" t="s">
        <v>898</v>
      </c>
      <c r="I1" s="31" t="s">
        <v>2</v>
      </c>
      <c r="J1" s="8" t="s">
        <v>144</v>
      </c>
      <c r="K1" s="8" t="s">
        <v>916</v>
      </c>
      <c r="L1" s="32" t="s">
        <v>462</v>
      </c>
      <c r="M1" s="84" t="s">
        <v>164</v>
      </c>
      <c r="N1" s="84" t="s">
        <v>226</v>
      </c>
      <c r="O1" s="84" t="s">
        <v>357</v>
      </c>
      <c r="P1" s="84" t="s">
        <v>227</v>
      </c>
      <c r="Q1" s="33" t="s">
        <v>360</v>
      </c>
      <c r="R1" s="33" t="s">
        <v>353</v>
      </c>
      <c r="S1" s="33" t="s">
        <v>358</v>
      </c>
      <c r="T1" s="33" t="s">
        <v>361</v>
      </c>
      <c r="U1" s="85" t="s">
        <v>362</v>
      </c>
      <c r="V1" s="85" t="s">
        <v>354</v>
      </c>
      <c r="W1" s="85" t="s">
        <v>359</v>
      </c>
      <c r="X1" s="85" t="s">
        <v>363</v>
      </c>
      <c r="Y1" s="7" t="s">
        <v>36</v>
      </c>
      <c r="Z1" s="7" t="s">
        <v>364</v>
      </c>
      <c r="AA1" s="7" t="s">
        <v>57</v>
      </c>
      <c r="AB1" s="8" t="s">
        <v>105</v>
      </c>
      <c r="AC1" s="40" t="s">
        <v>167</v>
      </c>
      <c r="AD1" s="39" t="s">
        <v>168</v>
      </c>
      <c r="AE1" s="7" t="s">
        <v>93</v>
      </c>
      <c r="AF1" s="7" t="s">
        <v>914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0" customFormat="1" x14ac:dyDescent="0.3">
      <c r="A2" s="150">
        <f t="shared" ref="A2:AO2" si="0">SUBTOTAL(3,A4:A190)</f>
        <v>99</v>
      </c>
      <c r="B2" s="150">
        <f t="shared" si="0"/>
        <v>99</v>
      </c>
      <c r="C2" s="150">
        <f t="shared" si="0"/>
        <v>99</v>
      </c>
      <c r="D2" s="150">
        <f t="shared" si="0"/>
        <v>99</v>
      </c>
      <c r="E2" s="150">
        <f t="shared" si="0"/>
        <v>99</v>
      </c>
      <c r="F2" s="150">
        <f t="shared" si="0"/>
        <v>99</v>
      </c>
      <c r="G2" s="150">
        <f t="shared" si="0"/>
        <v>99</v>
      </c>
      <c r="H2" s="150">
        <f t="shared" si="0"/>
        <v>99</v>
      </c>
      <c r="I2" s="150">
        <f t="shared" si="0"/>
        <v>99</v>
      </c>
      <c r="J2" s="150"/>
      <c r="K2" s="150"/>
      <c r="L2" s="150">
        <f t="shared" si="0"/>
        <v>38</v>
      </c>
      <c r="M2" s="150">
        <f t="shared" si="0"/>
        <v>35</v>
      </c>
      <c r="N2" s="150">
        <f t="shared" si="0"/>
        <v>23</v>
      </c>
      <c r="O2" s="150">
        <f t="shared" si="0"/>
        <v>6</v>
      </c>
      <c r="P2" s="150">
        <f t="shared" si="0"/>
        <v>17</v>
      </c>
      <c r="Q2" s="150">
        <f t="shared" si="0"/>
        <v>2</v>
      </c>
      <c r="R2" s="150">
        <f t="shared" si="0"/>
        <v>3</v>
      </c>
      <c r="S2" s="150">
        <f t="shared" si="0"/>
        <v>2</v>
      </c>
      <c r="T2" s="150">
        <f t="shared" si="0"/>
        <v>1</v>
      </c>
      <c r="U2" s="150">
        <f t="shared" si="0"/>
        <v>1</v>
      </c>
      <c r="V2" s="150">
        <f t="shared" si="0"/>
        <v>0</v>
      </c>
      <c r="W2" s="150">
        <f t="shared" si="0"/>
        <v>0</v>
      </c>
      <c r="X2" s="150">
        <f t="shared" si="0"/>
        <v>1</v>
      </c>
      <c r="Y2" s="150">
        <f t="shared" si="0"/>
        <v>99</v>
      </c>
      <c r="Z2" s="150">
        <f t="shared" si="0"/>
        <v>99</v>
      </c>
      <c r="AA2" s="150">
        <f t="shared" si="0"/>
        <v>43</v>
      </c>
      <c r="AB2" s="150">
        <f t="shared" si="0"/>
        <v>99</v>
      </c>
      <c r="AC2" s="150">
        <f t="shared" si="0"/>
        <v>97</v>
      </c>
      <c r="AD2" s="150">
        <f t="shared" si="0"/>
        <v>97</v>
      </c>
      <c r="AE2" s="150">
        <f t="shared" si="0"/>
        <v>59</v>
      </c>
      <c r="AF2" s="150">
        <f t="shared" si="0"/>
        <v>99</v>
      </c>
      <c r="AG2" s="150">
        <f t="shared" si="0"/>
        <v>11</v>
      </c>
      <c r="AH2" s="150">
        <f t="shared" si="0"/>
        <v>99</v>
      </c>
      <c r="AI2" s="150">
        <f t="shared" si="0"/>
        <v>99</v>
      </c>
      <c r="AJ2" s="150">
        <f t="shared" si="0"/>
        <v>99</v>
      </c>
      <c r="AK2" s="150">
        <f t="shared" si="0"/>
        <v>99</v>
      </c>
      <c r="AL2" s="150">
        <f t="shared" si="0"/>
        <v>71</v>
      </c>
      <c r="AM2" s="150">
        <f t="shared" si="0"/>
        <v>76</v>
      </c>
      <c r="AN2" s="150">
        <f t="shared" si="0"/>
        <v>0</v>
      </c>
      <c r="AO2" s="150">
        <f t="shared" si="0"/>
        <v>99</v>
      </c>
      <c r="AP2" s="151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/>
      <c r="K3" s="6"/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355</v>
      </c>
      <c r="H4" s="33" t="s">
        <v>1222</v>
      </c>
      <c r="I4" s="33" t="s">
        <v>1232</v>
      </c>
      <c r="J4" s="20">
        <v>44525</v>
      </c>
      <c r="K4" s="20">
        <v>46350</v>
      </c>
      <c r="L4" s="31" t="s">
        <v>419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1">
        <v>5500000</v>
      </c>
      <c r="AD4" s="154">
        <v>5500000</v>
      </c>
      <c r="AE4" s="23" t="s">
        <v>145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766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355</v>
      </c>
      <c r="H5" s="33" t="s">
        <v>1229</v>
      </c>
      <c r="I5" s="25" t="s">
        <v>895</v>
      </c>
      <c r="J5" s="20">
        <v>44528</v>
      </c>
      <c r="K5" s="20">
        <v>46353</v>
      </c>
      <c r="L5" s="31" t="s">
        <v>148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1">
        <v>0</v>
      </c>
      <c r="AD5" s="154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766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355</v>
      </c>
      <c r="H6" s="25" t="s">
        <v>895</v>
      </c>
      <c r="I6" s="25" t="s">
        <v>895</v>
      </c>
      <c r="J6" s="20">
        <v>44526</v>
      </c>
      <c r="K6" s="20">
        <v>46351</v>
      </c>
      <c r="L6" s="34" t="s">
        <v>174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1">
        <v>0</v>
      </c>
      <c r="AD6" s="154">
        <v>0</v>
      </c>
      <c r="AE6" s="23" t="s">
        <v>146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766</v>
      </c>
    </row>
    <row r="7" spans="1:43" ht="24" x14ac:dyDescent="0.3">
      <c r="A7" s="4">
        <v>4</v>
      </c>
      <c r="B7" s="2" t="s">
        <v>975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356</v>
      </c>
      <c r="H7" s="25" t="s">
        <v>895</v>
      </c>
      <c r="I7" s="25" t="s">
        <v>895</v>
      </c>
      <c r="J7" s="20">
        <v>44530</v>
      </c>
      <c r="K7" s="20">
        <v>46355</v>
      </c>
      <c r="L7" s="34" t="s">
        <v>174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1">
        <v>0</v>
      </c>
      <c r="AD7" s="154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766</v>
      </c>
    </row>
    <row r="8" spans="1:43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355</v>
      </c>
      <c r="H8" s="33" t="s">
        <v>1214</v>
      </c>
      <c r="I8" s="25" t="s">
        <v>895</v>
      </c>
      <c r="J8" s="20">
        <v>44586</v>
      </c>
      <c r="K8" s="20">
        <v>46411</v>
      </c>
      <c r="L8" s="34" t="s">
        <v>174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133</v>
      </c>
      <c r="AB8" s="93">
        <v>9600000</v>
      </c>
      <c r="AC8" s="101">
        <v>0</v>
      </c>
      <c r="AD8" s="101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762</v>
      </c>
      <c r="AL8" s="2">
        <v>12</v>
      </c>
      <c r="AM8" s="2">
        <v>12</v>
      </c>
      <c r="AN8" s="48"/>
      <c r="AO8" t="s">
        <v>767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355</v>
      </c>
      <c r="H9" s="25" t="s">
        <v>895</v>
      </c>
      <c r="I9" s="25" t="s">
        <v>895</v>
      </c>
      <c r="J9" s="20">
        <v>44561</v>
      </c>
      <c r="K9" s="20">
        <v>46386</v>
      </c>
      <c r="L9" s="34" t="s">
        <v>174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239</v>
      </c>
      <c r="Z9" s="93">
        <v>4750000</v>
      </c>
      <c r="AA9" s="2" t="s">
        <v>58</v>
      </c>
      <c r="AB9" s="93">
        <v>9600000</v>
      </c>
      <c r="AC9" s="101">
        <v>0</v>
      </c>
      <c r="AD9" s="154">
        <v>0</v>
      </c>
      <c r="AE9" s="20">
        <v>44713</v>
      </c>
      <c r="AF9" s="18" t="s">
        <v>77</v>
      </c>
      <c r="AG9" s="20">
        <f t="shared" ref="AG9:AG14" si="1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766</v>
      </c>
    </row>
    <row r="10" spans="1:43" ht="36" x14ac:dyDescent="0.3">
      <c r="A10" s="4">
        <v>7</v>
      </c>
      <c r="B10" s="2" t="s">
        <v>253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355</v>
      </c>
      <c r="H10" s="33" t="s">
        <v>1227</v>
      </c>
      <c r="I10" s="31" t="s">
        <v>1239</v>
      </c>
      <c r="J10" s="20">
        <v>44586</v>
      </c>
      <c r="K10" s="20">
        <v>46411</v>
      </c>
      <c r="L10" s="34" t="s">
        <v>174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1162</v>
      </c>
      <c r="Z10" s="93">
        <v>7500000</v>
      </c>
      <c r="AA10" s="2" t="s">
        <v>110</v>
      </c>
      <c r="AB10" s="93">
        <v>11900000</v>
      </c>
      <c r="AC10" s="101">
        <v>7000000</v>
      </c>
      <c r="AD10" s="154">
        <v>6600000</v>
      </c>
      <c r="AE10" s="20">
        <v>44712</v>
      </c>
      <c r="AF10" s="18" t="s">
        <v>77</v>
      </c>
      <c r="AG10" s="20">
        <f t="shared" si="1"/>
        <v>44802</v>
      </c>
      <c r="AH10" s="18" t="s">
        <v>131</v>
      </c>
      <c r="AI10" s="18" t="s">
        <v>130</v>
      </c>
      <c r="AJ10" s="18" t="s">
        <v>102</v>
      </c>
      <c r="AK10" s="18" t="s">
        <v>132</v>
      </c>
      <c r="AL10" s="2">
        <v>15</v>
      </c>
      <c r="AM10" s="2">
        <v>9</v>
      </c>
      <c r="AN10" s="48"/>
      <c r="AO10" t="s">
        <v>766</v>
      </c>
    </row>
    <row r="11" spans="1:43" ht="36" x14ac:dyDescent="0.3">
      <c r="A11" s="4">
        <v>8</v>
      </c>
      <c r="B11" s="2" t="s">
        <v>256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355</v>
      </c>
      <c r="H11" s="25" t="s">
        <v>895</v>
      </c>
      <c r="I11" s="31" t="s">
        <v>1231</v>
      </c>
      <c r="J11" s="20">
        <v>44586</v>
      </c>
      <c r="K11" s="20">
        <v>46411</v>
      </c>
      <c r="L11" s="34" t="s">
        <v>174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1163</v>
      </c>
      <c r="Z11" s="93">
        <v>6000000</v>
      </c>
      <c r="AA11" s="2" t="s">
        <v>147</v>
      </c>
      <c r="AB11" s="93">
        <v>10800000</v>
      </c>
      <c r="AC11" s="101">
        <v>6500000</v>
      </c>
      <c r="AD11" s="154">
        <v>0</v>
      </c>
      <c r="AE11" s="20">
        <v>44713</v>
      </c>
      <c r="AF11" s="18" t="s">
        <v>77</v>
      </c>
      <c r="AG11" s="20">
        <f t="shared" si="1"/>
        <v>44803</v>
      </c>
      <c r="AH11" s="18" t="s">
        <v>119</v>
      </c>
      <c r="AI11" s="18" t="s">
        <v>120</v>
      </c>
      <c r="AJ11" s="18" t="s">
        <v>121</v>
      </c>
      <c r="AK11" s="18" t="s">
        <v>122</v>
      </c>
      <c r="AL11" s="2">
        <v>13</v>
      </c>
      <c r="AM11" s="2">
        <v>12</v>
      </c>
      <c r="AN11" s="48"/>
      <c r="AO11" t="s">
        <v>766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355</v>
      </c>
      <c r="H12" s="25" t="s">
        <v>895</v>
      </c>
      <c r="I12" s="25" t="s">
        <v>895</v>
      </c>
      <c r="J12" s="20">
        <v>44586</v>
      </c>
      <c r="K12" s="20">
        <v>46411</v>
      </c>
      <c r="L12" s="34" t="s">
        <v>174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241</v>
      </c>
      <c r="Z12" s="93">
        <v>7000000</v>
      </c>
      <c r="AA12" s="2" t="s">
        <v>150</v>
      </c>
      <c r="AB12" s="93">
        <v>10900000</v>
      </c>
      <c r="AC12" s="101">
        <v>0</v>
      </c>
      <c r="AD12" s="154">
        <v>0</v>
      </c>
      <c r="AE12" s="20">
        <v>44645</v>
      </c>
      <c r="AF12" s="18" t="s">
        <v>77</v>
      </c>
      <c r="AG12" s="20">
        <f t="shared" si="1"/>
        <v>44735</v>
      </c>
      <c r="AH12" s="18" t="s">
        <v>151</v>
      </c>
      <c r="AI12" s="18" t="s">
        <v>152</v>
      </c>
      <c r="AJ12" s="18" t="s">
        <v>153</v>
      </c>
      <c r="AK12" s="18" t="s">
        <v>154</v>
      </c>
      <c r="AL12" s="2">
        <v>20</v>
      </c>
      <c r="AM12" s="2">
        <v>6</v>
      </c>
      <c r="AN12" s="48"/>
      <c r="AO12" t="s">
        <v>767</v>
      </c>
    </row>
    <row r="13" spans="1:43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355</v>
      </c>
      <c r="H13" s="25" t="s">
        <v>895</v>
      </c>
      <c r="I13" s="25" t="s">
        <v>895</v>
      </c>
      <c r="J13" s="20">
        <v>44614</v>
      </c>
      <c r="K13" s="20">
        <v>46439</v>
      </c>
      <c r="L13" s="34" t="s">
        <v>174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240</v>
      </c>
      <c r="Z13" s="93">
        <v>6500000</v>
      </c>
      <c r="AA13" s="2" t="s">
        <v>158</v>
      </c>
      <c r="AB13" s="93">
        <v>11500000</v>
      </c>
      <c r="AC13" s="101">
        <v>0</v>
      </c>
      <c r="AD13" s="154">
        <v>0</v>
      </c>
      <c r="AE13" s="20">
        <v>44743</v>
      </c>
      <c r="AF13" s="18" t="s">
        <v>77</v>
      </c>
      <c r="AG13" s="20">
        <f t="shared" si="1"/>
        <v>44833</v>
      </c>
      <c r="AH13" s="18" t="s">
        <v>159</v>
      </c>
      <c r="AI13" s="18" t="s">
        <v>160</v>
      </c>
      <c r="AJ13" s="18" t="s">
        <v>153</v>
      </c>
      <c r="AK13" s="18" t="s">
        <v>161</v>
      </c>
      <c r="AL13" s="2">
        <v>17</v>
      </c>
      <c r="AM13" s="2">
        <v>9</v>
      </c>
      <c r="AN13" s="48"/>
      <c r="AO13" t="s">
        <v>767</v>
      </c>
    </row>
    <row r="14" spans="1:43" ht="41.4" x14ac:dyDescent="0.3">
      <c r="A14" s="4">
        <v>11</v>
      </c>
      <c r="B14" s="2" t="s">
        <v>259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356</v>
      </c>
      <c r="H14" s="35" t="s">
        <v>1216</v>
      </c>
      <c r="I14" s="25" t="s">
        <v>895</v>
      </c>
      <c r="J14" s="20">
        <v>44622</v>
      </c>
      <c r="K14" s="20">
        <v>46447</v>
      </c>
      <c r="L14" s="34" t="s">
        <v>174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392</v>
      </c>
      <c r="U14" s="18"/>
      <c r="V14" s="20"/>
      <c r="W14" s="20"/>
      <c r="X14" s="20"/>
      <c r="Y14" s="2" t="s">
        <v>165</v>
      </c>
      <c r="Z14" s="93">
        <v>6200000</v>
      </c>
      <c r="AA14" s="2" t="s">
        <v>43</v>
      </c>
      <c r="AB14" s="93">
        <v>7400000</v>
      </c>
      <c r="AC14" s="101">
        <v>0</v>
      </c>
      <c r="AD14" s="154">
        <v>11200000</v>
      </c>
      <c r="AE14" s="20">
        <v>44653</v>
      </c>
      <c r="AF14" s="18" t="s">
        <v>77</v>
      </c>
      <c r="AG14" s="20">
        <f t="shared" si="1"/>
        <v>44743</v>
      </c>
      <c r="AH14" s="143" t="s">
        <v>701</v>
      </c>
      <c r="AI14" s="98" t="s">
        <v>169</v>
      </c>
      <c r="AJ14" s="98" t="s">
        <v>702</v>
      </c>
      <c r="AK14" s="98" t="s">
        <v>171</v>
      </c>
      <c r="AL14" s="2">
        <v>12.8</v>
      </c>
      <c r="AM14" s="2">
        <v>12</v>
      </c>
      <c r="AN14" s="48"/>
      <c r="AO14" t="s">
        <v>767</v>
      </c>
    </row>
    <row r="15" spans="1:43" ht="36" x14ac:dyDescent="0.3">
      <c r="A15" s="4">
        <v>12</v>
      </c>
      <c r="B15" s="2" t="s">
        <v>417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355</v>
      </c>
      <c r="H15" s="35" t="s">
        <v>1224</v>
      </c>
      <c r="I15" s="35" t="s">
        <v>1237</v>
      </c>
      <c r="J15" s="20">
        <v>44631</v>
      </c>
      <c r="K15" s="20">
        <v>46456</v>
      </c>
      <c r="L15" s="34" t="s">
        <v>174</v>
      </c>
      <c r="M15" s="122">
        <v>44691</v>
      </c>
      <c r="N15" s="27" t="s">
        <v>407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179</v>
      </c>
      <c r="Z15" s="93">
        <v>6000000</v>
      </c>
      <c r="AA15" s="2" t="s">
        <v>147</v>
      </c>
      <c r="AB15" s="94">
        <v>11500000</v>
      </c>
      <c r="AC15" s="101">
        <v>6400000</v>
      </c>
      <c r="AD15" s="154">
        <v>4682700</v>
      </c>
      <c r="AE15" s="20">
        <v>44723</v>
      </c>
      <c r="AF15" s="18" t="s">
        <v>77</v>
      </c>
      <c r="AG15" s="20"/>
      <c r="AH15" s="18" t="s">
        <v>181</v>
      </c>
      <c r="AI15" s="18" t="s">
        <v>180</v>
      </c>
      <c r="AJ15" s="18" t="s">
        <v>182</v>
      </c>
      <c r="AK15" s="18" t="s">
        <v>183</v>
      </c>
      <c r="AL15" s="2">
        <v>14</v>
      </c>
      <c r="AM15" s="2">
        <v>15</v>
      </c>
      <c r="AN15" s="48"/>
      <c r="AO15" t="s">
        <v>767</v>
      </c>
    </row>
    <row r="16" spans="1:43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406</v>
      </c>
      <c r="G16" s="2" t="s">
        <v>355</v>
      </c>
      <c r="H16" s="25" t="s">
        <v>895</v>
      </c>
      <c r="I16" s="25" t="s">
        <v>895</v>
      </c>
      <c r="J16" s="20">
        <v>44660</v>
      </c>
      <c r="K16" s="20">
        <v>46485</v>
      </c>
      <c r="L16" s="34" t="s">
        <v>174</v>
      </c>
      <c r="M16" s="21">
        <v>44696</v>
      </c>
      <c r="N16" s="27" t="s">
        <v>407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318</v>
      </c>
      <c r="Z16" s="93">
        <v>7000000</v>
      </c>
      <c r="AA16" s="8" t="s">
        <v>110</v>
      </c>
      <c r="AB16" s="93">
        <v>11500000</v>
      </c>
      <c r="AC16" s="101">
        <v>0</v>
      </c>
      <c r="AD16" s="154">
        <v>0</v>
      </c>
      <c r="AE16" s="20" t="s">
        <v>187</v>
      </c>
      <c r="AF16" s="18" t="s">
        <v>79</v>
      </c>
      <c r="AG16" s="20"/>
      <c r="AH16" s="22" t="s">
        <v>306</v>
      </c>
      <c r="AI16" s="22" t="s">
        <v>186</v>
      </c>
      <c r="AJ16" s="22" t="s">
        <v>194</v>
      </c>
      <c r="AK16" s="18" t="s">
        <v>188</v>
      </c>
      <c r="AL16" s="8">
        <v>12</v>
      </c>
      <c r="AM16" s="2">
        <v>12</v>
      </c>
      <c r="AN16" s="48"/>
      <c r="AO16" t="s">
        <v>767</v>
      </c>
    </row>
    <row r="17" spans="1:41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355</v>
      </c>
      <c r="H17" s="35" t="s">
        <v>1215</v>
      </c>
      <c r="I17" s="25" t="s">
        <v>895</v>
      </c>
      <c r="J17" s="20">
        <v>44640</v>
      </c>
      <c r="K17" s="20">
        <v>46465</v>
      </c>
      <c r="L17" s="34" t="s">
        <v>174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190</v>
      </c>
      <c r="Z17" s="93">
        <v>5500000</v>
      </c>
      <c r="AA17" s="2" t="s">
        <v>166</v>
      </c>
      <c r="AB17" s="94">
        <v>9900000</v>
      </c>
      <c r="AC17" s="101">
        <v>0</v>
      </c>
      <c r="AD17" s="154">
        <v>6985000</v>
      </c>
      <c r="AE17" s="20">
        <v>44706</v>
      </c>
      <c r="AF17" s="18" t="s">
        <v>79</v>
      </c>
      <c r="AG17" s="20"/>
      <c r="AH17" s="18" t="s">
        <v>192</v>
      </c>
      <c r="AI17" s="18" t="s">
        <v>193</v>
      </c>
      <c r="AJ17" s="18" t="s">
        <v>194</v>
      </c>
      <c r="AK17" s="18" t="s">
        <v>191</v>
      </c>
      <c r="AL17" s="2">
        <v>13</v>
      </c>
      <c r="AM17" s="2">
        <v>12</v>
      </c>
      <c r="AN17" s="48"/>
      <c r="AO17" t="s">
        <v>767</v>
      </c>
    </row>
    <row r="18" spans="1:41" ht="36" x14ac:dyDescent="0.3">
      <c r="A18" s="4">
        <v>15</v>
      </c>
      <c r="B18" s="2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355</v>
      </c>
      <c r="H18" s="25" t="s">
        <v>895</v>
      </c>
      <c r="I18" s="25" t="s">
        <v>895</v>
      </c>
      <c r="J18" s="20">
        <v>44645</v>
      </c>
      <c r="K18" s="20">
        <v>46174</v>
      </c>
      <c r="L18" s="34" t="s">
        <v>174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238</v>
      </c>
      <c r="Z18" s="93">
        <v>7000000</v>
      </c>
      <c r="AA18" s="2" t="s">
        <v>110</v>
      </c>
      <c r="AB18" s="94">
        <v>11700000</v>
      </c>
      <c r="AC18" s="101">
        <v>0</v>
      </c>
      <c r="AD18" s="154">
        <v>0</v>
      </c>
      <c r="AE18" s="20">
        <v>44713</v>
      </c>
      <c r="AF18" s="18" t="s">
        <v>77</v>
      </c>
      <c r="AG18" s="20"/>
      <c r="AH18" s="18" t="s">
        <v>231</v>
      </c>
      <c r="AI18" s="18" t="s">
        <v>232</v>
      </c>
      <c r="AJ18" s="18" t="s">
        <v>102</v>
      </c>
      <c r="AK18" s="18" t="s">
        <v>233</v>
      </c>
      <c r="AL18" s="2">
        <v>25</v>
      </c>
      <c r="AM18" s="2">
        <v>5</v>
      </c>
      <c r="AN18" s="48"/>
      <c r="AO18" t="s">
        <v>767</v>
      </c>
    </row>
    <row r="19" spans="1:41" ht="24" x14ac:dyDescent="0.3">
      <c r="A19" s="4">
        <v>16</v>
      </c>
      <c r="B19" s="2" t="s">
        <v>289</v>
      </c>
      <c r="C19" s="2" t="s">
        <v>290</v>
      </c>
      <c r="D19" s="2">
        <v>106.621573</v>
      </c>
      <c r="E19" s="2">
        <v>10.838825999999999</v>
      </c>
      <c r="F19" s="2" t="s">
        <v>294</v>
      </c>
      <c r="G19" s="2" t="s">
        <v>355</v>
      </c>
      <c r="H19" s="25" t="s">
        <v>895</v>
      </c>
      <c r="I19" s="25" t="s">
        <v>895</v>
      </c>
      <c r="J19" s="20">
        <v>44658</v>
      </c>
      <c r="K19" s="20">
        <v>46483</v>
      </c>
      <c r="L19" s="34" t="s">
        <v>174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330</v>
      </c>
      <c r="Z19" s="93">
        <v>5300000</v>
      </c>
      <c r="AA19" s="2" t="s">
        <v>307</v>
      </c>
      <c r="AB19" s="93">
        <v>8800000</v>
      </c>
      <c r="AC19" s="101">
        <v>0</v>
      </c>
      <c r="AD19" s="154">
        <v>0</v>
      </c>
      <c r="AE19" s="20" t="s">
        <v>411</v>
      </c>
      <c r="AF19" s="18" t="s">
        <v>79</v>
      </c>
      <c r="AG19" s="20"/>
      <c r="AH19" s="18" t="s">
        <v>301</v>
      </c>
      <c r="AI19" s="18" t="s">
        <v>300</v>
      </c>
      <c r="AJ19" s="18" t="s">
        <v>302</v>
      </c>
      <c r="AK19" s="18" t="s">
        <v>297</v>
      </c>
      <c r="AL19" s="8">
        <v>13</v>
      </c>
      <c r="AM19" s="2">
        <v>9</v>
      </c>
      <c r="AN19" s="48"/>
      <c r="AO19" t="s">
        <v>767</v>
      </c>
    </row>
    <row r="20" spans="1:41" ht="24" x14ac:dyDescent="0.3">
      <c r="A20" s="4">
        <v>17</v>
      </c>
      <c r="B20" s="2" t="s">
        <v>315</v>
      </c>
      <c r="C20" s="2" t="s">
        <v>15</v>
      </c>
      <c r="D20" s="2">
        <v>106.59965699999999</v>
      </c>
      <c r="E20" s="2">
        <v>10.858247</v>
      </c>
      <c r="F20" s="2" t="s">
        <v>316</v>
      </c>
      <c r="G20" s="2" t="s">
        <v>355</v>
      </c>
      <c r="H20" s="34" t="s">
        <v>1221</v>
      </c>
      <c r="I20" s="25" t="s">
        <v>895</v>
      </c>
      <c r="J20" s="20">
        <v>44676</v>
      </c>
      <c r="K20" s="20">
        <v>46501</v>
      </c>
      <c r="L20" s="34" t="s">
        <v>174</v>
      </c>
      <c r="M20" s="122">
        <v>44727</v>
      </c>
      <c r="N20" s="27" t="s">
        <v>407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317</v>
      </c>
      <c r="Z20" s="93">
        <v>5000000</v>
      </c>
      <c r="AA20" s="2" t="s">
        <v>43</v>
      </c>
      <c r="AB20" s="93">
        <v>10000000</v>
      </c>
      <c r="AC20" s="101">
        <v>0</v>
      </c>
      <c r="AD20" s="154">
        <v>6050000</v>
      </c>
      <c r="AE20" s="20" t="s">
        <v>440</v>
      </c>
      <c r="AF20" s="18" t="s">
        <v>77</v>
      </c>
      <c r="AG20" s="20"/>
      <c r="AH20" s="18" t="s">
        <v>331</v>
      </c>
      <c r="AI20" s="18" t="s">
        <v>332</v>
      </c>
      <c r="AJ20" s="18" t="s">
        <v>333</v>
      </c>
      <c r="AK20" s="18" t="s">
        <v>334</v>
      </c>
      <c r="AL20" s="8">
        <v>12</v>
      </c>
      <c r="AM20" s="2">
        <v>12</v>
      </c>
      <c r="AN20" s="48"/>
      <c r="AO20" t="s">
        <v>767</v>
      </c>
    </row>
    <row r="21" spans="1:41" ht="24" x14ac:dyDescent="0.3">
      <c r="A21" s="4">
        <v>18</v>
      </c>
      <c r="B21" s="153" t="s">
        <v>421</v>
      </c>
      <c r="C21" s="2" t="s">
        <v>15</v>
      </c>
      <c r="D21" s="2">
        <v>106.590795</v>
      </c>
      <c r="E21" s="2">
        <v>10.832939</v>
      </c>
      <c r="F21" s="2" t="s">
        <v>335</v>
      </c>
      <c r="G21" s="25" t="s">
        <v>355</v>
      </c>
      <c r="H21" s="34" t="s">
        <v>1220</v>
      </c>
      <c r="I21" s="25" t="s">
        <v>895</v>
      </c>
      <c r="J21" s="20">
        <v>44672</v>
      </c>
      <c r="K21" s="20">
        <v>46497</v>
      </c>
      <c r="L21" s="34" t="s">
        <v>174</v>
      </c>
      <c r="M21" s="18" t="s">
        <v>368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337</v>
      </c>
      <c r="Z21" s="93">
        <v>5000000</v>
      </c>
      <c r="AA21" s="2"/>
      <c r="AB21" s="93">
        <v>7920000</v>
      </c>
      <c r="AC21" s="101">
        <v>0</v>
      </c>
      <c r="AD21" s="101">
        <v>7920000.0000000009</v>
      </c>
      <c r="AE21" s="20" t="s">
        <v>187</v>
      </c>
      <c r="AF21" s="18" t="s">
        <v>79</v>
      </c>
      <c r="AG21" s="20"/>
      <c r="AH21" s="18" t="s">
        <v>338</v>
      </c>
      <c r="AI21" s="18" t="s">
        <v>339</v>
      </c>
      <c r="AJ21" s="18" t="s">
        <v>340</v>
      </c>
      <c r="AK21" s="18" t="s">
        <v>341</v>
      </c>
      <c r="AL21" s="8">
        <v>11.5</v>
      </c>
      <c r="AM21" s="2">
        <v>12</v>
      </c>
      <c r="AN21" s="48"/>
      <c r="AO21" t="s">
        <v>767</v>
      </c>
    </row>
    <row r="22" spans="1:41" ht="24" x14ac:dyDescent="0.3">
      <c r="A22" s="4">
        <v>19</v>
      </c>
      <c r="B22" s="2" t="s">
        <v>346</v>
      </c>
      <c r="C22" s="2" t="s">
        <v>66</v>
      </c>
      <c r="D22" s="2">
        <v>106.63957000000001</v>
      </c>
      <c r="E22" s="2">
        <v>10.834324000000001</v>
      </c>
      <c r="F22" s="2" t="s">
        <v>366</v>
      </c>
      <c r="G22" s="2" t="s">
        <v>356</v>
      </c>
      <c r="H22" s="25" t="s">
        <v>895</v>
      </c>
      <c r="I22" s="25" t="s">
        <v>895</v>
      </c>
      <c r="J22" s="20">
        <v>44700</v>
      </c>
      <c r="K22" s="20">
        <v>46525</v>
      </c>
      <c r="L22" s="34" t="s">
        <v>174</v>
      </c>
      <c r="M22" s="122">
        <v>44722</v>
      </c>
      <c r="N22" s="27" t="s">
        <v>407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367</v>
      </c>
      <c r="Z22" s="93">
        <v>4000000</v>
      </c>
      <c r="AA22" s="2" t="s">
        <v>61</v>
      </c>
      <c r="AB22" s="93">
        <v>5800000</v>
      </c>
      <c r="AC22" s="101">
        <v>0</v>
      </c>
      <c r="AD22" s="154">
        <v>0</v>
      </c>
      <c r="AE22" s="20" t="s">
        <v>187</v>
      </c>
      <c r="AF22" s="18" t="s">
        <v>79</v>
      </c>
      <c r="AG22" s="20"/>
      <c r="AH22" s="18" t="s">
        <v>370</v>
      </c>
      <c r="AI22" s="18" t="s">
        <v>369</v>
      </c>
      <c r="AJ22" s="18" t="s">
        <v>371</v>
      </c>
      <c r="AK22" s="18" t="s">
        <v>348</v>
      </c>
      <c r="AL22" s="8">
        <v>18</v>
      </c>
      <c r="AM22" s="2">
        <v>5</v>
      </c>
      <c r="AN22" s="48"/>
      <c r="AO22" t="s">
        <v>767</v>
      </c>
    </row>
    <row r="23" spans="1:41" ht="48" x14ac:dyDescent="0.3">
      <c r="A23" s="4">
        <v>20</v>
      </c>
      <c r="B23" s="8" t="s">
        <v>643</v>
      </c>
      <c r="C23" s="2" t="s">
        <v>66</v>
      </c>
      <c r="D23" s="2">
        <v>106.68020300000001</v>
      </c>
      <c r="E23" s="2">
        <v>10.821994999999999</v>
      </c>
      <c r="F23" s="2" t="s">
        <v>349</v>
      </c>
      <c r="G23" s="2" t="s">
        <v>356</v>
      </c>
      <c r="H23" s="34" t="s">
        <v>1217</v>
      </c>
      <c r="I23" s="25" t="s">
        <v>895</v>
      </c>
      <c r="J23" s="20">
        <v>44666</v>
      </c>
      <c r="K23" s="20">
        <v>46491</v>
      </c>
      <c r="L23" s="34" t="s">
        <v>174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350</v>
      </c>
      <c r="Z23" s="93">
        <v>5000000</v>
      </c>
      <c r="AA23" s="93">
        <v>5000000</v>
      </c>
      <c r="AB23" s="93">
        <v>8000000</v>
      </c>
      <c r="AC23" s="101">
        <v>0</v>
      </c>
      <c r="AD23" s="154">
        <v>11000000</v>
      </c>
      <c r="AE23" s="20" t="s">
        <v>187</v>
      </c>
      <c r="AF23" s="18" t="s">
        <v>77</v>
      </c>
      <c r="AG23" s="20"/>
      <c r="AH23" s="18" t="s">
        <v>601</v>
      </c>
      <c r="AI23" s="2" t="s">
        <v>595</v>
      </c>
      <c r="AJ23" s="18" t="s">
        <v>400</v>
      </c>
      <c r="AK23" s="18" t="s">
        <v>352</v>
      </c>
      <c r="AL23" s="8">
        <v>35</v>
      </c>
      <c r="AM23" s="2">
        <v>5</v>
      </c>
      <c r="AN23" s="48"/>
      <c r="AO23" t="s">
        <v>767</v>
      </c>
    </row>
    <row r="24" spans="1:41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291</v>
      </c>
      <c r="G24" s="2" t="s">
        <v>355</v>
      </c>
      <c r="H24" s="34" t="s">
        <v>1228</v>
      </c>
      <c r="I24" s="25" t="s">
        <v>895</v>
      </c>
      <c r="J24" s="20">
        <v>44703</v>
      </c>
      <c r="K24" s="20">
        <v>46528</v>
      </c>
      <c r="L24" s="34" t="s">
        <v>174</v>
      </c>
      <c r="M24" s="122">
        <v>44752</v>
      </c>
      <c r="N24" s="27" t="s">
        <v>407</v>
      </c>
      <c r="O24" s="97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2" t="s">
        <v>303</v>
      </c>
      <c r="Z24" s="18" t="s">
        <v>413</v>
      </c>
      <c r="AA24" s="18" t="s">
        <v>344</v>
      </c>
      <c r="AB24" s="95">
        <v>10300000</v>
      </c>
      <c r="AC24" s="101">
        <v>0</v>
      </c>
      <c r="AD24" s="154">
        <v>5577000</v>
      </c>
      <c r="AE24" s="110" t="s">
        <v>393</v>
      </c>
      <c r="AF24" s="110" t="s">
        <v>79</v>
      </c>
      <c r="AG24" s="111"/>
      <c r="AH24" s="110">
        <v>60195282024</v>
      </c>
      <c r="AI24" s="110" t="s">
        <v>292</v>
      </c>
      <c r="AJ24" s="110" t="s">
        <v>304</v>
      </c>
      <c r="AK24" s="18" t="s">
        <v>293</v>
      </c>
      <c r="AL24" s="8">
        <v>14</v>
      </c>
      <c r="AM24" s="2">
        <v>12</v>
      </c>
      <c r="AN24" s="48"/>
      <c r="AO24" t="s">
        <v>767</v>
      </c>
    </row>
    <row r="25" spans="1:41" ht="24" x14ac:dyDescent="0.3">
      <c r="A25" s="4">
        <v>22</v>
      </c>
      <c r="B25" s="2" t="s">
        <v>529</v>
      </c>
      <c r="C25" s="2" t="s">
        <v>15</v>
      </c>
      <c r="D25" s="2">
        <v>106.650854</v>
      </c>
      <c r="E25" s="2">
        <v>10.898777000000001</v>
      </c>
      <c r="F25" s="2" t="s">
        <v>372</v>
      </c>
      <c r="G25" s="2" t="s">
        <v>355</v>
      </c>
      <c r="H25" s="34" t="s">
        <v>1225</v>
      </c>
      <c r="I25" s="35" t="s">
        <v>1236</v>
      </c>
      <c r="J25" s="20">
        <v>44703</v>
      </c>
      <c r="K25" s="20">
        <v>46528</v>
      </c>
      <c r="L25" s="34" t="s">
        <v>174</v>
      </c>
      <c r="M25" s="97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2" t="s">
        <v>1164</v>
      </c>
      <c r="Z25" s="93">
        <v>5000000</v>
      </c>
      <c r="AA25" s="18" t="s">
        <v>391</v>
      </c>
      <c r="AB25" s="95">
        <v>12600000</v>
      </c>
      <c r="AC25" s="101">
        <v>7400000</v>
      </c>
      <c r="AD25" s="154">
        <v>7700000.0000000009</v>
      </c>
      <c r="AE25" s="110" t="s">
        <v>373</v>
      </c>
      <c r="AF25" s="111" t="s">
        <v>77</v>
      </c>
      <c r="AG25" s="111"/>
      <c r="AH25" s="112" t="s">
        <v>374</v>
      </c>
      <c r="AI25" s="110" t="s">
        <v>375</v>
      </c>
      <c r="AJ25" s="110" t="s">
        <v>376</v>
      </c>
      <c r="AK25" s="18" t="s">
        <v>377</v>
      </c>
      <c r="AL25" s="8">
        <v>0</v>
      </c>
      <c r="AM25" s="2">
        <v>33</v>
      </c>
      <c r="AN25" s="48"/>
      <c r="AO25" t="s">
        <v>767</v>
      </c>
    </row>
    <row r="26" spans="1:41" ht="60" x14ac:dyDescent="0.3">
      <c r="A26" s="4">
        <v>23</v>
      </c>
      <c r="B26" s="2" t="s">
        <v>106</v>
      </c>
      <c r="C26" s="2" t="s">
        <v>378</v>
      </c>
      <c r="D26" s="2">
        <v>106.76311</v>
      </c>
      <c r="E26" s="2">
        <v>10.832050000000001</v>
      </c>
      <c r="F26" s="2" t="s">
        <v>379</v>
      </c>
      <c r="G26" s="2" t="s">
        <v>355</v>
      </c>
      <c r="H26" s="27" t="s">
        <v>895</v>
      </c>
      <c r="I26" s="25" t="s">
        <v>895</v>
      </c>
      <c r="J26" s="20">
        <v>44696</v>
      </c>
      <c r="K26" s="20">
        <v>46521</v>
      </c>
      <c r="L26" s="34" t="s">
        <v>174</v>
      </c>
      <c r="M26" s="97">
        <v>44713</v>
      </c>
      <c r="N26" s="27" t="s">
        <v>407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2" t="s">
        <v>1165</v>
      </c>
      <c r="Z26" s="18" t="s">
        <v>414</v>
      </c>
      <c r="AA26" s="18" t="s">
        <v>158</v>
      </c>
      <c r="AB26" s="95">
        <v>11200000</v>
      </c>
      <c r="AC26" s="101">
        <v>0</v>
      </c>
      <c r="AD26" s="154">
        <v>0</v>
      </c>
      <c r="AE26" s="110" t="s">
        <v>380</v>
      </c>
      <c r="AF26" s="111" t="s">
        <v>77</v>
      </c>
      <c r="AG26" s="111"/>
      <c r="AH26" s="112" t="s">
        <v>634</v>
      </c>
      <c r="AI26" s="110" t="s">
        <v>633</v>
      </c>
      <c r="AJ26" s="110" t="s">
        <v>632</v>
      </c>
      <c r="AK26" s="18" t="s">
        <v>381</v>
      </c>
      <c r="AL26" s="8">
        <v>14.5</v>
      </c>
      <c r="AM26" s="2">
        <v>9</v>
      </c>
      <c r="AN26" s="48"/>
      <c r="AO26" t="s">
        <v>767</v>
      </c>
    </row>
    <row r="27" spans="1:41" ht="24" x14ac:dyDescent="0.3">
      <c r="A27" s="4">
        <v>24</v>
      </c>
      <c r="B27" s="8" t="s">
        <v>382</v>
      </c>
      <c r="C27" s="2" t="s">
        <v>156</v>
      </c>
      <c r="D27" s="2">
        <v>106.6554</v>
      </c>
      <c r="E27" s="2">
        <v>10.798572</v>
      </c>
      <c r="F27" s="2" t="s">
        <v>384</v>
      </c>
      <c r="G27" s="27" t="s">
        <v>895</v>
      </c>
      <c r="H27" s="34" t="s">
        <v>1218</v>
      </c>
      <c r="I27" s="25" t="s">
        <v>895</v>
      </c>
      <c r="J27" s="20" t="s">
        <v>899</v>
      </c>
      <c r="K27" s="20" t="s">
        <v>899</v>
      </c>
      <c r="L27" s="34" t="s">
        <v>174</v>
      </c>
      <c r="M27" s="27" t="s">
        <v>412</v>
      </c>
      <c r="N27" s="27" t="s">
        <v>412</v>
      </c>
      <c r="O27" s="27" t="s">
        <v>412</v>
      </c>
      <c r="P27" s="27" t="s">
        <v>412</v>
      </c>
      <c r="Q27" s="18"/>
      <c r="R27" s="27" t="s">
        <v>407</v>
      </c>
      <c r="S27" s="48"/>
      <c r="T27" s="48"/>
      <c r="U27" s="48"/>
      <c r="V27" s="48"/>
      <c r="W27" s="48"/>
      <c r="X27" s="48"/>
      <c r="Y27" s="2" t="s">
        <v>1166</v>
      </c>
      <c r="Z27" s="18" t="s">
        <v>413</v>
      </c>
      <c r="AA27" s="18">
        <v>0</v>
      </c>
      <c r="AB27" s="48">
        <v>0</v>
      </c>
      <c r="AC27" s="101">
        <v>0</v>
      </c>
      <c r="AD27" s="154">
        <v>11550000</v>
      </c>
      <c r="AE27" s="110" t="s">
        <v>380</v>
      </c>
      <c r="AF27" s="110" t="s">
        <v>79</v>
      </c>
      <c r="AG27" s="111"/>
      <c r="AH27" s="110" t="s">
        <v>351</v>
      </c>
      <c r="AI27" s="110" t="s">
        <v>385</v>
      </c>
      <c r="AJ27" s="110" t="s">
        <v>351</v>
      </c>
      <c r="AK27" s="18" t="s">
        <v>386</v>
      </c>
      <c r="AL27" s="8" t="s">
        <v>336</v>
      </c>
      <c r="AM27" s="2" t="s">
        <v>336</v>
      </c>
      <c r="AN27" s="48"/>
      <c r="AO27" t="s">
        <v>767</v>
      </c>
    </row>
    <row r="28" spans="1:41" ht="36" x14ac:dyDescent="0.3">
      <c r="A28" s="4">
        <v>25</v>
      </c>
      <c r="B28" s="8" t="s">
        <v>383</v>
      </c>
      <c r="C28" s="2" t="s">
        <v>66</v>
      </c>
      <c r="D28" s="2">
        <v>106.68662999999999</v>
      </c>
      <c r="E28" s="2">
        <v>10.821289999999999</v>
      </c>
      <c r="F28" s="2" t="s">
        <v>388</v>
      </c>
      <c r="G28" s="27" t="s">
        <v>895</v>
      </c>
      <c r="H28" s="34" t="s">
        <v>1219</v>
      </c>
      <c r="I28" s="25" t="s">
        <v>895</v>
      </c>
      <c r="J28" s="20">
        <v>44697</v>
      </c>
      <c r="K28" s="20">
        <v>46522</v>
      </c>
      <c r="L28" s="34" t="s">
        <v>174</v>
      </c>
      <c r="M28" s="27" t="s">
        <v>412</v>
      </c>
      <c r="N28" s="27" t="s">
        <v>412</v>
      </c>
      <c r="O28" s="27" t="s">
        <v>412</v>
      </c>
      <c r="P28" s="27" t="s">
        <v>412</v>
      </c>
      <c r="Q28" s="18"/>
      <c r="R28" s="27" t="s">
        <v>407</v>
      </c>
      <c r="S28" s="48"/>
      <c r="T28" s="48"/>
      <c r="U28" s="48"/>
      <c r="V28" s="48"/>
      <c r="W28" s="48"/>
      <c r="X28" s="48"/>
      <c r="Y28" s="2" t="s">
        <v>1167</v>
      </c>
      <c r="Z28" s="93">
        <v>5000000</v>
      </c>
      <c r="AA28" s="18">
        <v>0</v>
      </c>
      <c r="AB28" s="48">
        <v>0</v>
      </c>
      <c r="AC28" s="101">
        <v>0</v>
      </c>
      <c r="AD28" s="154">
        <v>11330000</v>
      </c>
      <c r="AE28" s="110" t="s">
        <v>380</v>
      </c>
      <c r="AF28" s="111" t="s">
        <v>77</v>
      </c>
      <c r="AG28" s="111"/>
      <c r="AH28" s="112" t="s">
        <v>1161</v>
      </c>
      <c r="AI28" s="110" t="s">
        <v>389</v>
      </c>
      <c r="AJ28" s="110" t="s">
        <v>390</v>
      </c>
      <c r="AK28" s="18" t="s">
        <v>387</v>
      </c>
      <c r="AL28" s="8" t="s">
        <v>336</v>
      </c>
      <c r="AM28" s="2">
        <v>12</v>
      </c>
      <c r="AN28" s="48"/>
      <c r="AO28" t="s">
        <v>767</v>
      </c>
    </row>
    <row r="29" spans="1:41" ht="24" x14ac:dyDescent="0.3">
      <c r="A29" s="4">
        <v>26</v>
      </c>
      <c r="B29" s="153" t="s">
        <v>394</v>
      </c>
      <c r="C29" s="2" t="s">
        <v>396</v>
      </c>
      <c r="D29" s="2">
        <v>106.46045119999999</v>
      </c>
      <c r="E29" s="2">
        <v>10.9983042</v>
      </c>
      <c r="F29" s="2" t="s">
        <v>397</v>
      </c>
      <c r="G29" s="34" t="s">
        <v>355</v>
      </c>
      <c r="H29" s="34" t="s">
        <v>1223</v>
      </c>
      <c r="I29" s="25" t="s">
        <v>895</v>
      </c>
      <c r="J29" s="20">
        <v>44707</v>
      </c>
      <c r="K29" s="20">
        <v>47622</v>
      </c>
      <c r="L29" s="34" t="s">
        <v>174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2" t="s">
        <v>1168</v>
      </c>
      <c r="Z29" s="18" t="s">
        <v>415</v>
      </c>
      <c r="AA29" s="18" t="s">
        <v>62</v>
      </c>
      <c r="AB29" s="95">
        <v>12600000</v>
      </c>
      <c r="AC29" s="101">
        <v>0</v>
      </c>
      <c r="AD29" s="101" t="s">
        <v>899</v>
      </c>
      <c r="AE29" s="110" t="s">
        <v>380</v>
      </c>
      <c r="AF29" s="111" t="s">
        <v>77</v>
      </c>
      <c r="AG29" s="111"/>
      <c r="AH29" s="112" t="s">
        <v>399</v>
      </c>
      <c r="AI29" s="110" t="s">
        <v>398</v>
      </c>
      <c r="AJ29" s="110" t="s">
        <v>400</v>
      </c>
      <c r="AK29" s="18" t="s">
        <v>401</v>
      </c>
      <c r="AL29" s="8">
        <v>0</v>
      </c>
      <c r="AM29" s="2">
        <v>33</v>
      </c>
      <c r="AN29" s="48"/>
      <c r="AO29" t="s">
        <v>767</v>
      </c>
    </row>
    <row r="30" spans="1:41" ht="24" x14ac:dyDescent="0.3">
      <c r="A30" s="4">
        <v>27</v>
      </c>
      <c r="B30" s="2" t="s">
        <v>402</v>
      </c>
      <c r="C30" s="2" t="s">
        <v>403</v>
      </c>
      <c r="D30" s="2">
        <v>106.704082</v>
      </c>
      <c r="E30" s="2">
        <v>10.758376</v>
      </c>
      <c r="F30" s="2" t="s">
        <v>404</v>
      </c>
      <c r="G30" s="34" t="s">
        <v>355</v>
      </c>
      <c r="H30" s="27" t="s">
        <v>895</v>
      </c>
      <c r="I30" s="25" t="s">
        <v>895</v>
      </c>
      <c r="J30" s="20">
        <v>44727</v>
      </c>
      <c r="K30" s="20">
        <v>46552</v>
      </c>
      <c r="L30" s="34" t="s">
        <v>174</v>
      </c>
      <c r="M30" s="122">
        <v>44757</v>
      </c>
      <c r="N30" s="27" t="s">
        <v>407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2" t="s">
        <v>418</v>
      </c>
      <c r="Z30" s="18" t="s">
        <v>416</v>
      </c>
      <c r="AA30" s="18" t="s">
        <v>147</v>
      </c>
      <c r="AB30" s="95">
        <v>10700000</v>
      </c>
      <c r="AC30" s="101">
        <v>0</v>
      </c>
      <c r="AD30" s="154">
        <v>0</v>
      </c>
      <c r="AE30" s="110" t="s">
        <v>460</v>
      </c>
      <c r="AF30" s="111" t="s">
        <v>79</v>
      </c>
      <c r="AG30" s="111"/>
      <c r="AH30" s="112" t="s">
        <v>409</v>
      </c>
      <c r="AI30" s="110" t="s">
        <v>408</v>
      </c>
      <c r="AJ30" s="110" t="s">
        <v>410</v>
      </c>
      <c r="AK30" s="18" t="s">
        <v>405</v>
      </c>
      <c r="AL30" s="8">
        <v>12.5</v>
      </c>
      <c r="AM30" s="2">
        <v>12</v>
      </c>
      <c r="AN30" s="48"/>
      <c r="AO30" t="s">
        <v>767</v>
      </c>
    </row>
    <row r="31" spans="1:41" ht="24" x14ac:dyDescent="0.3">
      <c r="A31" s="4">
        <v>28</v>
      </c>
      <c r="B31" s="102" t="s">
        <v>422</v>
      </c>
      <c r="C31" s="102" t="s">
        <v>117</v>
      </c>
      <c r="D31" s="102">
        <v>106.5466876</v>
      </c>
      <c r="E31" s="102">
        <v>10.7735138</v>
      </c>
      <c r="F31" s="102" t="s">
        <v>423</v>
      </c>
      <c r="G31" s="103" t="s">
        <v>355</v>
      </c>
      <c r="H31" s="34" t="s">
        <v>1226</v>
      </c>
      <c r="I31" s="25" t="s">
        <v>895</v>
      </c>
      <c r="J31" s="20">
        <v>46023</v>
      </c>
      <c r="K31" s="20">
        <v>47848</v>
      </c>
      <c r="L31" s="34" t="s">
        <v>174</v>
      </c>
      <c r="M31" s="97">
        <v>44788</v>
      </c>
      <c r="N31" s="104"/>
      <c r="O31" s="105"/>
      <c r="P31" s="106"/>
      <c r="Q31" s="106"/>
      <c r="R31" s="104"/>
      <c r="S31" s="105"/>
      <c r="T31" s="105"/>
      <c r="U31" s="105"/>
      <c r="V31" s="105"/>
      <c r="W31" s="105"/>
      <c r="X31" s="105"/>
      <c r="Y31" s="2" t="s">
        <v>1169</v>
      </c>
      <c r="Z31" s="107">
        <v>5000000</v>
      </c>
      <c r="AA31" s="107">
        <v>6300000</v>
      </c>
      <c r="AB31" s="108">
        <v>10200000</v>
      </c>
      <c r="AC31" s="101">
        <v>0</v>
      </c>
      <c r="AD31" s="154">
        <v>0</v>
      </c>
      <c r="AE31" s="114" t="s">
        <v>425</v>
      </c>
      <c r="AF31" s="114" t="s">
        <v>79</v>
      </c>
      <c r="AG31" s="115"/>
      <c r="AH31" s="116" t="s">
        <v>426</v>
      </c>
      <c r="AI31" s="114" t="s">
        <v>424</v>
      </c>
      <c r="AJ31" s="114" t="s">
        <v>170</v>
      </c>
      <c r="AK31" s="106" t="s">
        <v>427</v>
      </c>
      <c r="AL31" s="109">
        <v>12</v>
      </c>
      <c r="AM31" s="102">
        <v>12</v>
      </c>
      <c r="AN31" s="105"/>
      <c r="AO31" t="s">
        <v>767</v>
      </c>
    </row>
    <row r="32" spans="1:41" ht="24" x14ac:dyDescent="0.3">
      <c r="A32" s="4">
        <v>29</v>
      </c>
      <c r="B32" s="2" t="s">
        <v>428</v>
      </c>
      <c r="C32" s="2" t="s">
        <v>15</v>
      </c>
      <c r="D32" s="2">
        <v>106.5781636</v>
      </c>
      <c r="E32" s="2">
        <v>10.854782500000001</v>
      </c>
      <c r="F32" s="2" t="s">
        <v>429</v>
      </c>
      <c r="G32" s="34" t="s">
        <v>356</v>
      </c>
      <c r="H32" s="27" t="s">
        <v>895</v>
      </c>
      <c r="I32" s="25" t="s">
        <v>895</v>
      </c>
      <c r="J32" s="20">
        <v>44772</v>
      </c>
      <c r="K32" s="20">
        <v>46597</v>
      </c>
      <c r="L32" s="34" t="s">
        <v>174</v>
      </c>
      <c r="M32" s="122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2" t="s">
        <v>912</v>
      </c>
      <c r="Z32" s="101">
        <v>3000000</v>
      </c>
      <c r="AA32" s="101"/>
      <c r="AB32" s="95">
        <v>5700000</v>
      </c>
      <c r="AC32" s="101">
        <v>0</v>
      </c>
      <c r="AD32" s="154">
        <v>0</v>
      </c>
      <c r="AE32" s="110" t="s">
        <v>380</v>
      </c>
      <c r="AF32" s="111" t="s">
        <v>77</v>
      </c>
      <c r="AG32" s="111"/>
      <c r="AH32" s="112" t="s">
        <v>438</v>
      </c>
      <c r="AI32" s="110" t="s">
        <v>437</v>
      </c>
      <c r="AJ32" s="110" t="s">
        <v>435</v>
      </c>
      <c r="AK32" s="18" t="s">
        <v>439</v>
      </c>
      <c r="AL32" s="8">
        <v>12</v>
      </c>
      <c r="AM32" s="2">
        <v>6</v>
      </c>
      <c r="AN32" s="48"/>
      <c r="AO32" t="s">
        <v>767</v>
      </c>
    </row>
    <row r="33" spans="1:42" s="121" customFormat="1" ht="24" x14ac:dyDescent="0.3">
      <c r="A33" s="4">
        <v>30</v>
      </c>
      <c r="B33" s="2" t="s">
        <v>430</v>
      </c>
      <c r="C33" s="2" t="s">
        <v>107</v>
      </c>
      <c r="D33" s="2">
        <v>106.73014000000001</v>
      </c>
      <c r="E33" s="2">
        <v>10.886240000000001</v>
      </c>
      <c r="F33" s="2" t="s">
        <v>431</v>
      </c>
      <c r="G33" s="34" t="s">
        <v>355</v>
      </c>
      <c r="H33" s="27" t="s">
        <v>895</v>
      </c>
      <c r="I33" s="34" t="s">
        <v>1233</v>
      </c>
      <c r="J33" s="20">
        <v>44774</v>
      </c>
      <c r="K33" s="20">
        <v>46599</v>
      </c>
      <c r="L33" s="34" t="s">
        <v>174</v>
      </c>
      <c r="M33" s="97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1170</v>
      </c>
      <c r="Z33" s="101" t="s">
        <v>433</v>
      </c>
      <c r="AA33" s="101">
        <v>8500000</v>
      </c>
      <c r="AB33" s="95">
        <v>12600000</v>
      </c>
      <c r="AC33" s="101">
        <v>7000000</v>
      </c>
      <c r="AD33" s="154">
        <v>0</v>
      </c>
      <c r="AE33" s="110" t="s">
        <v>380</v>
      </c>
      <c r="AF33" s="110" t="s">
        <v>79</v>
      </c>
      <c r="AG33" s="118"/>
      <c r="AH33" s="119" t="s">
        <v>434</v>
      </c>
      <c r="AI33" s="117" t="s">
        <v>432</v>
      </c>
      <c r="AJ33" s="110" t="s">
        <v>435</v>
      </c>
      <c r="AK33" s="2" t="s">
        <v>436</v>
      </c>
      <c r="AL33" s="8">
        <v>13</v>
      </c>
      <c r="AM33" s="2">
        <v>12</v>
      </c>
      <c r="AN33" s="48"/>
      <c r="AO33" t="s">
        <v>767</v>
      </c>
      <c r="AP33" s="120"/>
    </row>
    <row r="34" spans="1:42" s="121" customFormat="1" ht="36" x14ac:dyDescent="0.3">
      <c r="A34" s="4">
        <v>31</v>
      </c>
      <c r="B34" s="2" t="s">
        <v>342</v>
      </c>
      <c r="C34" s="2" t="s">
        <v>15</v>
      </c>
      <c r="D34" s="2">
        <v>106.58684599999999</v>
      </c>
      <c r="E34" s="2">
        <v>10.848431</v>
      </c>
      <c r="F34" s="2" t="s">
        <v>449</v>
      </c>
      <c r="G34" s="34" t="s">
        <v>355</v>
      </c>
      <c r="H34" s="27" t="s">
        <v>895</v>
      </c>
      <c r="I34" s="25" t="s">
        <v>895</v>
      </c>
      <c r="J34" s="20">
        <v>44781</v>
      </c>
      <c r="K34" s="20">
        <v>46606</v>
      </c>
      <c r="L34" s="34" t="s">
        <v>174</v>
      </c>
      <c r="M34" s="97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913</v>
      </c>
      <c r="Z34" s="101">
        <v>5000000</v>
      </c>
      <c r="AA34" s="101"/>
      <c r="AB34" s="95">
        <v>10000000</v>
      </c>
      <c r="AC34" s="101">
        <v>0</v>
      </c>
      <c r="AD34" s="154">
        <v>0</v>
      </c>
      <c r="AE34" s="113" t="s">
        <v>450</v>
      </c>
      <c r="AF34" s="111" t="s">
        <v>77</v>
      </c>
      <c r="AG34" s="118"/>
      <c r="AH34" s="119" t="s">
        <v>487</v>
      </c>
      <c r="AI34" s="117" t="s">
        <v>488</v>
      </c>
      <c r="AJ34" s="110" t="s">
        <v>410</v>
      </c>
      <c r="AK34" s="2" t="s">
        <v>347</v>
      </c>
      <c r="AL34" s="2">
        <v>12</v>
      </c>
      <c r="AM34" s="2">
        <v>12</v>
      </c>
      <c r="AN34" s="48"/>
      <c r="AO34" t="s">
        <v>767</v>
      </c>
      <c r="AP34" s="120"/>
    </row>
    <row r="35" spans="1:42" s="121" customFormat="1" ht="24" x14ac:dyDescent="0.3">
      <c r="A35" s="4">
        <v>32</v>
      </c>
      <c r="B35" s="2" t="s">
        <v>451</v>
      </c>
      <c r="C35" s="2" t="s">
        <v>32</v>
      </c>
      <c r="D35" s="2">
        <v>106.720461</v>
      </c>
      <c r="E35" s="2">
        <v>10.801625</v>
      </c>
      <c r="F35" s="2" t="s">
        <v>452</v>
      </c>
      <c r="G35" s="34" t="s">
        <v>355</v>
      </c>
      <c r="H35" s="27" t="s">
        <v>895</v>
      </c>
      <c r="I35" s="25" t="s">
        <v>895</v>
      </c>
      <c r="J35" s="20">
        <v>44784</v>
      </c>
      <c r="K35" s="20">
        <v>46609</v>
      </c>
      <c r="L35" s="34" t="s">
        <v>174</v>
      </c>
      <c r="M35" s="97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1171</v>
      </c>
      <c r="Z35" s="101">
        <v>7000000</v>
      </c>
      <c r="AA35" s="101">
        <v>7600000</v>
      </c>
      <c r="AB35" s="95">
        <v>12000000</v>
      </c>
      <c r="AC35" s="101">
        <v>0</v>
      </c>
      <c r="AD35" s="154">
        <v>0</v>
      </c>
      <c r="AE35" s="110" t="s">
        <v>380</v>
      </c>
      <c r="AF35" s="111" t="s">
        <v>77</v>
      </c>
      <c r="AG35" s="118"/>
      <c r="AH35" s="119" t="s">
        <v>454</v>
      </c>
      <c r="AI35" s="117" t="s">
        <v>453</v>
      </c>
      <c r="AJ35" s="110" t="s">
        <v>455</v>
      </c>
      <c r="AK35" s="2" t="s">
        <v>456</v>
      </c>
      <c r="AL35" s="2">
        <v>12</v>
      </c>
      <c r="AM35" s="2">
        <v>12</v>
      </c>
      <c r="AN35" s="48"/>
      <c r="AO35" t="s">
        <v>767</v>
      </c>
      <c r="AP35" s="120"/>
    </row>
    <row r="36" spans="1:42" s="121" customFormat="1" ht="24" x14ac:dyDescent="0.3">
      <c r="A36" s="4">
        <v>33</v>
      </c>
      <c r="B36" s="2" t="s">
        <v>457</v>
      </c>
      <c r="C36" s="2" t="s">
        <v>396</v>
      </c>
      <c r="D36" s="2">
        <v>106.5579609</v>
      </c>
      <c r="E36" s="2">
        <v>10.9276526</v>
      </c>
      <c r="F36" s="2" t="s">
        <v>458</v>
      </c>
      <c r="G36" s="34" t="s">
        <v>356</v>
      </c>
      <c r="H36" s="27" t="s">
        <v>895</v>
      </c>
      <c r="I36" s="34" t="s">
        <v>1234</v>
      </c>
      <c r="J36" s="20">
        <v>44774</v>
      </c>
      <c r="K36" s="20">
        <v>46599</v>
      </c>
      <c r="L36" s="34" t="s">
        <v>174</v>
      </c>
      <c r="M36" s="97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459</v>
      </c>
      <c r="Z36" s="101">
        <v>5000000</v>
      </c>
      <c r="AA36" s="101"/>
      <c r="AB36" s="95">
        <v>7500000</v>
      </c>
      <c r="AC36" s="101">
        <v>6820000.0000000009</v>
      </c>
      <c r="AD36" s="154">
        <v>0</v>
      </c>
      <c r="AE36" s="110" t="s">
        <v>380</v>
      </c>
      <c r="AF36" s="111" t="s">
        <v>77</v>
      </c>
      <c r="AG36" s="118"/>
      <c r="AH36" s="119" t="s">
        <v>512</v>
      </c>
      <c r="AI36" s="117" t="s">
        <v>513</v>
      </c>
      <c r="AJ36" s="110" t="s">
        <v>514</v>
      </c>
      <c r="AK36" s="2" t="s">
        <v>515</v>
      </c>
      <c r="AL36" s="2">
        <v>25</v>
      </c>
      <c r="AM36" s="2">
        <v>4</v>
      </c>
      <c r="AN36" s="48"/>
      <c r="AO36" t="s">
        <v>767</v>
      </c>
      <c r="AP36" s="120"/>
    </row>
    <row r="37" spans="1:42" s="121" customFormat="1" ht="24" x14ac:dyDescent="0.3">
      <c r="A37" s="4">
        <v>34</v>
      </c>
      <c r="B37" s="2" t="s">
        <v>463</v>
      </c>
      <c r="C37" s="2" t="s">
        <v>290</v>
      </c>
      <c r="D37" s="2">
        <v>106.64084200000001</v>
      </c>
      <c r="E37" s="2">
        <v>10.874141</v>
      </c>
      <c r="F37" s="2" t="s">
        <v>464</v>
      </c>
      <c r="G37" s="34" t="s">
        <v>355</v>
      </c>
      <c r="H37" s="27" t="s">
        <v>895</v>
      </c>
      <c r="I37" s="25" t="s">
        <v>895</v>
      </c>
      <c r="J37" s="20">
        <v>44826</v>
      </c>
      <c r="K37" s="20">
        <v>46651</v>
      </c>
      <c r="L37" s="34" t="s">
        <v>174</v>
      </c>
      <c r="M37" s="97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901</v>
      </c>
      <c r="Z37" s="101">
        <v>5000000</v>
      </c>
      <c r="AA37" s="101">
        <v>6500000</v>
      </c>
      <c r="AB37" s="95">
        <v>10500000</v>
      </c>
      <c r="AC37" s="101">
        <v>0</v>
      </c>
      <c r="AD37" s="154">
        <v>0</v>
      </c>
      <c r="AE37" s="87">
        <v>44896</v>
      </c>
      <c r="AF37" s="111" t="s">
        <v>77</v>
      </c>
      <c r="AG37" s="118"/>
      <c r="AH37" s="119" t="s">
        <v>465</v>
      </c>
      <c r="AI37" s="117" t="s">
        <v>466</v>
      </c>
      <c r="AJ37" s="110" t="s">
        <v>467</v>
      </c>
      <c r="AK37" s="2" t="s">
        <v>468</v>
      </c>
      <c r="AL37" s="2">
        <v>13</v>
      </c>
      <c r="AM37" s="2">
        <v>12</v>
      </c>
      <c r="AN37" s="48"/>
      <c r="AO37" t="s">
        <v>767</v>
      </c>
      <c r="AP37" s="120"/>
    </row>
    <row r="38" spans="1:42" s="121" customFormat="1" ht="24" x14ac:dyDescent="0.3">
      <c r="A38" s="4">
        <v>35</v>
      </c>
      <c r="B38" s="2" t="s">
        <v>469</v>
      </c>
      <c r="C38" s="2" t="s">
        <v>470</v>
      </c>
      <c r="D38" s="2">
        <v>106.619451</v>
      </c>
      <c r="E38" s="2">
        <v>10.787967</v>
      </c>
      <c r="F38" s="2" t="s">
        <v>471</v>
      </c>
      <c r="G38" s="34" t="s">
        <v>355</v>
      </c>
      <c r="H38" s="27" t="s">
        <v>895</v>
      </c>
      <c r="I38" s="25" t="s">
        <v>895</v>
      </c>
      <c r="J38" s="20">
        <v>44828</v>
      </c>
      <c r="K38" s="20">
        <v>46653</v>
      </c>
      <c r="L38" s="34" t="s">
        <v>174</v>
      </c>
      <c r="M38" s="97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1172</v>
      </c>
      <c r="Z38" s="101">
        <v>5500000</v>
      </c>
      <c r="AA38" s="101">
        <v>6800000</v>
      </c>
      <c r="AB38" s="95">
        <v>11000000</v>
      </c>
      <c r="AC38" s="101">
        <v>0</v>
      </c>
      <c r="AD38" s="154">
        <v>0</v>
      </c>
      <c r="AE38" s="87">
        <v>44896</v>
      </c>
      <c r="AF38" s="111" t="s">
        <v>77</v>
      </c>
      <c r="AG38" s="118"/>
      <c r="AH38" s="119" t="s">
        <v>472</v>
      </c>
      <c r="AI38" s="117" t="s">
        <v>473</v>
      </c>
      <c r="AJ38" s="110" t="s">
        <v>114</v>
      </c>
      <c r="AK38" s="2" t="s">
        <v>474</v>
      </c>
      <c r="AL38" s="2">
        <v>15</v>
      </c>
      <c r="AM38" s="2">
        <v>12</v>
      </c>
      <c r="AN38" s="48"/>
      <c r="AO38" t="s">
        <v>767</v>
      </c>
      <c r="AP38" s="120"/>
    </row>
    <row r="39" spans="1:42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475</v>
      </c>
      <c r="G39" s="34" t="s">
        <v>355</v>
      </c>
      <c r="H39" s="27" t="s">
        <v>895</v>
      </c>
      <c r="I39" s="25" t="s">
        <v>895</v>
      </c>
      <c r="J39" s="20">
        <v>44813</v>
      </c>
      <c r="K39" s="20">
        <v>46638</v>
      </c>
      <c r="L39" s="34" t="s">
        <v>174</v>
      </c>
      <c r="M39" s="97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1173</v>
      </c>
      <c r="Z39" s="101">
        <v>7700000</v>
      </c>
      <c r="AA39" s="101">
        <v>7700000</v>
      </c>
      <c r="AB39" s="95">
        <v>11400000</v>
      </c>
      <c r="AC39" s="101">
        <v>7400000</v>
      </c>
      <c r="AD39" s="154">
        <v>0</v>
      </c>
      <c r="AE39" s="87" t="s">
        <v>17</v>
      </c>
      <c r="AF39" s="111" t="s">
        <v>79</v>
      </c>
      <c r="AG39" s="118"/>
      <c r="AH39" s="119" t="s">
        <v>476</v>
      </c>
      <c r="AI39" s="117" t="s">
        <v>477</v>
      </c>
      <c r="AJ39" s="110" t="s">
        <v>478</v>
      </c>
      <c r="AK39" s="2" t="s">
        <v>479</v>
      </c>
      <c r="AL39" s="2">
        <v>13.5</v>
      </c>
      <c r="AM39" s="2">
        <v>6</v>
      </c>
      <c r="AN39" s="48"/>
      <c r="AO39" t="s">
        <v>767</v>
      </c>
      <c r="AP39" s="120"/>
    </row>
    <row r="40" spans="1:42" s="121" customFormat="1" ht="24" x14ac:dyDescent="0.3">
      <c r="A40" s="4">
        <v>37</v>
      </c>
      <c r="B40" s="2" t="s">
        <v>480</v>
      </c>
      <c r="C40" s="2" t="s">
        <v>229</v>
      </c>
      <c r="D40" s="2">
        <v>106.59792899999999</v>
      </c>
      <c r="E40" s="2">
        <v>10.821275999999999</v>
      </c>
      <c r="F40" s="2" t="s">
        <v>481</v>
      </c>
      <c r="G40" s="34" t="s">
        <v>355</v>
      </c>
      <c r="H40" s="27" t="s">
        <v>895</v>
      </c>
      <c r="I40" s="25" t="s">
        <v>895</v>
      </c>
      <c r="J40" s="20">
        <v>44835</v>
      </c>
      <c r="K40" s="20">
        <v>46660</v>
      </c>
      <c r="L40" s="34" t="s">
        <v>174</v>
      </c>
      <c r="M40" s="97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902</v>
      </c>
      <c r="Z40" s="101">
        <v>6000000</v>
      </c>
      <c r="AA40" s="101"/>
      <c r="AB40" s="95">
        <v>12100000</v>
      </c>
      <c r="AC40" s="101">
        <v>0</v>
      </c>
      <c r="AD40" s="154">
        <v>0</v>
      </c>
      <c r="AE40" s="87">
        <v>44896</v>
      </c>
      <c r="AF40" s="111" t="s">
        <v>79</v>
      </c>
      <c r="AG40" s="118"/>
      <c r="AH40" s="119" t="s">
        <v>482</v>
      </c>
      <c r="AI40" s="117" t="s">
        <v>484</v>
      </c>
      <c r="AJ40" s="110" t="s">
        <v>483</v>
      </c>
      <c r="AK40" s="2" t="s">
        <v>485</v>
      </c>
      <c r="AL40" s="2">
        <v>12.5</v>
      </c>
      <c r="AM40" s="2">
        <v>12</v>
      </c>
      <c r="AN40" s="48"/>
      <c r="AO40" t="s">
        <v>767</v>
      </c>
      <c r="AP40" s="120"/>
    </row>
    <row r="41" spans="1:42" s="121" customFormat="1" ht="24" x14ac:dyDescent="0.3">
      <c r="A41" s="4">
        <v>38</v>
      </c>
      <c r="B41" s="2" t="s">
        <v>495</v>
      </c>
      <c r="C41" s="2" t="s">
        <v>32</v>
      </c>
      <c r="D41" s="2">
        <v>106.687494</v>
      </c>
      <c r="E41" s="2">
        <v>10.810822</v>
      </c>
      <c r="F41" s="2" t="s">
        <v>496</v>
      </c>
      <c r="G41" s="34" t="s">
        <v>355</v>
      </c>
      <c r="H41" s="27" t="s">
        <v>895</v>
      </c>
      <c r="I41" s="25" t="s">
        <v>895</v>
      </c>
      <c r="J41" s="20">
        <v>44859</v>
      </c>
      <c r="K41" s="20">
        <v>46684</v>
      </c>
      <c r="L41" s="34" t="s">
        <v>174</v>
      </c>
      <c r="M41" s="97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1174</v>
      </c>
      <c r="Z41" s="101">
        <v>7000000</v>
      </c>
      <c r="AA41" s="101"/>
      <c r="AB41" s="95">
        <v>11900000</v>
      </c>
      <c r="AC41" s="101">
        <v>0</v>
      </c>
      <c r="AD41" s="154">
        <v>0</v>
      </c>
      <c r="AE41" s="87" t="s">
        <v>17</v>
      </c>
      <c r="AF41" s="124" t="s">
        <v>79</v>
      </c>
      <c r="AG41" s="118"/>
      <c r="AH41" s="119" t="s">
        <v>497</v>
      </c>
      <c r="AI41" s="117" t="s">
        <v>499</v>
      </c>
      <c r="AJ41" s="110" t="s">
        <v>498</v>
      </c>
      <c r="AK41" s="2" t="s">
        <v>500</v>
      </c>
      <c r="AL41" s="2">
        <v>17</v>
      </c>
      <c r="AM41" s="2">
        <v>6</v>
      </c>
      <c r="AN41" s="48"/>
      <c r="AO41" t="s">
        <v>767</v>
      </c>
      <c r="AP41" s="120"/>
    </row>
    <row r="42" spans="1:42" s="121" customFormat="1" ht="36" x14ac:dyDescent="0.3">
      <c r="A42" s="4">
        <v>39</v>
      </c>
      <c r="B42" s="2" t="s">
        <v>494</v>
      </c>
      <c r="C42" s="2" t="s">
        <v>32</v>
      </c>
      <c r="D42" s="2">
        <v>106.719729</v>
      </c>
      <c r="E42" s="2">
        <v>10.806206</v>
      </c>
      <c r="F42" s="2" t="s">
        <v>501</v>
      </c>
      <c r="G42" s="34" t="s">
        <v>355</v>
      </c>
      <c r="H42" s="27" t="s">
        <v>895</v>
      </c>
      <c r="I42" s="25" t="s">
        <v>895</v>
      </c>
      <c r="J42" s="20">
        <v>44881</v>
      </c>
      <c r="K42" s="20">
        <v>46706</v>
      </c>
      <c r="L42" s="34"/>
      <c r="M42" s="97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1175</v>
      </c>
      <c r="Z42" s="101">
        <v>8000000</v>
      </c>
      <c r="AA42" s="101"/>
      <c r="AB42" s="95">
        <v>12600000</v>
      </c>
      <c r="AC42" s="101">
        <v>0</v>
      </c>
      <c r="AD42" s="154">
        <v>0</v>
      </c>
      <c r="AE42" s="87" t="s">
        <v>17</v>
      </c>
      <c r="AF42" s="111" t="s">
        <v>77</v>
      </c>
      <c r="AG42" s="118"/>
      <c r="AH42" s="119" t="s">
        <v>510</v>
      </c>
      <c r="AI42" s="117" t="s">
        <v>502</v>
      </c>
      <c r="AJ42" s="110" t="s">
        <v>503</v>
      </c>
      <c r="AK42" s="2" t="s">
        <v>504</v>
      </c>
      <c r="AL42" s="2">
        <v>35.799999999999997</v>
      </c>
      <c r="AM42" s="2">
        <v>6</v>
      </c>
      <c r="AN42" s="48"/>
      <c r="AO42" t="s">
        <v>767</v>
      </c>
      <c r="AP42" s="120"/>
    </row>
    <row r="43" spans="1:42" s="121" customFormat="1" ht="24" x14ac:dyDescent="0.3">
      <c r="A43" s="4">
        <v>40</v>
      </c>
      <c r="B43" s="2" t="s">
        <v>486</v>
      </c>
      <c r="C43" s="2" t="s">
        <v>66</v>
      </c>
      <c r="D43" s="2">
        <v>106.697784</v>
      </c>
      <c r="E43" s="2">
        <v>10.826632999999999</v>
      </c>
      <c r="F43" s="2" t="s">
        <v>505</v>
      </c>
      <c r="G43" s="34" t="s">
        <v>356</v>
      </c>
      <c r="H43" s="27" t="s">
        <v>895</v>
      </c>
      <c r="I43" s="34" t="s">
        <v>1238</v>
      </c>
      <c r="J43" s="20">
        <v>44885</v>
      </c>
      <c r="K43" s="20">
        <v>46710</v>
      </c>
      <c r="L43" s="34"/>
      <c r="M43" s="97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1176</v>
      </c>
      <c r="Z43" s="101">
        <v>7000000</v>
      </c>
      <c r="AA43" s="101">
        <v>5300000</v>
      </c>
      <c r="AB43" s="95">
        <v>8000000</v>
      </c>
      <c r="AC43" s="101">
        <v>6500000</v>
      </c>
      <c r="AD43" s="154">
        <v>0</v>
      </c>
      <c r="AE43" s="87" t="s">
        <v>17</v>
      </c>
      <c r="AF43" s="111" t="s">
        <v>77</v>
      </c>
      <c r="AG43" s="118"/>
      <c r="AH43" s="119" t="s">
        <v>507</v>
      </c>
      <c r="AI43" s="117" t="s">
        <v>506</v>
      </c>
      <c r="AJ43" s="110" t="s">
        <v>508</v>
      </c>
      <c r="AK43" s="2" t="s">
        <v>509</v>
      </c>
      <c r="AL43" s="2">
        <v>23</v>
      </c>
      <c r="AM43" s="2">
        <v>6</v>
      </c>
      <c r="AN43" s="48"/>
      <c r="AO43" t="s">
        <v>767</v>
      </c>
      <c r="AP43" s="120"/>
    </row>
    <row r="44" spans="1:42" s="121" customFormat="1" ht="36" x14ac:dyDescent="0.3">
      <c r="A44" s="4">
        <v>41</v>
      </c>
      <c r="B44" s="2" t="s">
        <v>543</v>
      </c>
      <c r="C44" s="2" t="s">
        <v>378</v>
      </c>
      <c r="D44" s="2">
        <v>106.80708300000001</v>
      </c>
      <c r="E44" s="2">
        <v>10.852672999999999</v>
      </c>
      <c r="F44" s="2" t="s">
        <v>544</v>
      </c>
      <c r="G44" s="34" t="s">
        <v>355</v>
      </c>
      <c r="H44" s="27" t="s">
        <v>895</v>
      </c>
      <c r="I44" s="25" t="s">
        <v>895</v>
      </c>
      <c r="J44" s="20">
        <v>44985</v>
      </c>
      <c r="K44" s="20">
        <v>46810</v>
      </c>
      <c r="L44" s="34"/>
      <c r="M44" s="97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1177</v>
      </c>
      <c r="Z44" s="101">
        <v>6500000</v>
      </c>
      <c r="AA44" s="101"/>
      <c r="AB44" s="95">
        <v>11400000</v>
      </c>
      <c r="AC44" s="101">
        <v>0</v>
      </c>
      <c r="AD44" s="154">
        <v>0</v>
      </c>
      <c r="AE44" s="87" t="s">
        <v>17</v>
      </c>
      <c r="AF44" s="111" t="s">
        <v>77</v>
      </c>
      <c r="AG44" s="118"/>
      <c r="AH44" s="119" t="s">
        <v>545</v>
      </c>
      <c r="AI44" s="117" t="s">
        <v>546</v>
      </c>
      <c r="AJ44" s="110" t="s">
        <v>194</v>
      </c>
      <c r="AK44" s="2" t="s">
        <v>547</v>
      </c>
      <c r="AL44" s="2">
        <v>14</v>
      </c>
      <c r="AM44" s="2">
        <v>9</v>
      </c>
      <c r="AN44" s="48"/>
      <c r="AO44" t="s">
        <v>768</v>
      </c>
      <c r="AP44" s="120"/>
    </row>
    <row r="45" spans="1:42" s="121" customFormat="1" ht="24" x14ac:dyDescent="0.3">
      <c r="A45" s="4">
        <v>42</v>
      </c>
      <c r="B45" s="2" t="s">
        <v>552</v>
      </c>
      <c r="C45" s="2" t="s">
        <v>229</v>
      </c>
      <c r="D45" s="2">
        <v>106.58574299999999</v>
      </c>
      <c r="E45" s="2">
        <v>10.793623999999999</v>
      </c>
      <c r="F45" s="2" t="s">
        <v>553</v>
      </c>
      <c r="G45" s="34" t="s">
        <v>355</v>
      </c>
      <c r="H45" s="27" t="s">
        <v>895</v>
      </c>
      <c r="I45" s="25" t="s">
        <v>895</v>
      </c>
      <c r="J45" s="20">
        <v>45001</v>
      </c>
      <c r="K45" s="20">
        <v>46827</v>
      </c>
      <c r="L45" s="34"/>
      <c r="M45" s="97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1178</v>
      </c>
      <c r="Z45" s="101">
        <v>6000000</v>
      </c>
      <c r="AA45" s="101"/>
      <c r="AB45" s="95">
        <v>11000000</v>
      </c>
      <c r="AC45" s="101">
        <v>0</v>
      </c>
      <c r="AD45" s="154">
        <v>0</v>
      </c>
      <c r="AE45" s="87"/>
      <c r="AF45" s="111" t="s">
        <v>77</v>
      </c>
      <c r="AG45" s="118"/>
      <c r="AH45" s="119" t="s">
        <v>554</v>
      </c>
      <c r="AI45" s="117" t="s">
        <v>555</v>
      </c>
      <c r="AJ45" s="110" t="s">
        <v>170</v>
      </c>
      <c r="AK45" s="2" t="s">
        <v>556</v>
      </c>
      <c r="AL45" s="2">
        <v>12.5</v>
      </c>
      <c r="AM45" s="2">
        <v>12</v>
      </c>
      <c r="AN45" s="48"/>
      <c r="AO45" t="s">
        <v>768</v>
      </c>
      <c r="AP45" s="120"/>
    </row>
    <row r="46" spans="1:42" s="121" customFormat="1" ht="24" x14ac:dyDescent="0.3">
      <c r="A46" s="4">
        <v>43</v>
      </c>
      <c r="B46" s="153" t="s">
        <v>559</v>
      </c>
      <c r="C46" s="2" t="s">
        <v>558</v>
      </c>
      <c r="D46" s="2">
        <v>106.67829</v>
      </c>
      <c r="E46" s="2">
        <v>10.7887</v>
      </c>
      <c r="F46" s="2" t="s">
        <v>557</v>
      </c>
      <c r="G46" s="34" t="s">
        <v>356</v>
      </c>
      <c r="H46" s="27" t="s">
        <v>895</v>
      </c>
      <c r="I46" s="25" t="s">
        <v>895</v>
      </c>
      <c r="J46" s="20">
        <v>44985</v>
      </c>
      <c r="K46" s="20">
        <v>46810</v>
      </c>
      <c r="L46" s="34"/>
      <c r="M46" s="97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1168</v>
      </c>
      <c r="Z46" s="101">
        <v>0</v>
      </c>
      <c r="AA46" s="101"/>
      <c r="AB46" s="95">
        <v>6500000</v>
      </c>
      <c r="AC46" s="101">
        <v>0</v>
      </c>
      <c r="AD46" s="101">
        <v>0</v>
      </c>
      <c r="AE46" s="87"/>
      <c r="AF46" s="111" t="s">
        <v>77</v>
      </c>
      <c r="AG46" s="118"/>
      <c r="AH46" s="119" t="s">
        <v>562</v>
      </c>
      <c r="AI46" s="117" t="s">
        <v>561</v>
      </c>
      <c r="AJ46" s="110" t="s">
        <v>400</v>
      </c>
      <c r="AK46" s="2" t="s">
        <v>560</v>
      </c>
      <c r="AL46" s="2">
        <v>14</v>
      </c>
      <c r="AM46" s="2">
        <v>6</v>
      </c>
      <c r="AN46" s="48"/>
      <c r="AO46" t="s">
        <v>768</v>
      </c>
      <c r="AP46" s="120"/>
    </row>
    <row r="47" spans="1:42" s="121" customFormat="1" ht="24" x14ac:dyDescent="0.3">
      <c r="A47" s="4">
        <v>44</v>
      </c>
      <c r="B47" s="153" t="s">
        <v>1140</v>
      </c>
      <c r="C47" s="2" t="s">
        <v>32</v>
      </c>
      <c r="D47" s="2">
        <v>106.71091</v>
      </c>
      <c r="E47" s="2">
        <v>10.79884</v>
      </c>
      <c r="F47" s="2" t="s">
        <v>563</v>
      </c>
      <c r="G47" s="110" t="s">
        <v>355</v>
      </c>
      <c r="H47" s="27" t="s">
        <v>895</v>
      </c>
      <c r="I47" s="25" t="s">
        <v>895</v>
      </c>
      <c r="J47" s="20" t="s">
        <v>899</v>
      </c>
      <c r="K47" s="20" t="s">
        <v>899</v>
      </c>
      <c r="L47" s="110"/>
      <c r="M47" s="97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957</v>
      </c>
      <c r="Z47" s="101">
        <v>0</v>
      </c>
      <c r="AA47" s="101"/>
      <c r="AB47" s="95">
        <v>10700000</v>
      </c>
      <c r="AC47" s="101">
        <v>0</v>
      </c>
      <c r="AD47" s="101">
        <v>0</v>
      </c>
      <c r="AE47" s="87"/>
      <c r="AF47" s="111" t="s">
        <v>79</v>
      </c>
      <c r="AG47" s="118"/>
      <c r="AH47" s="119" t="s">
        <v>635</v>
      </c>
      <c r="AI47" s="117" t="s">
        <v>636</v>
      </c>
      <c r="AJ47" s="110" t="s">
        <v>637</v>
      </c>
      <c r="AK47" s="2" t="s">
        <v>642</v>
      </c>
      <c r="AL47" s="2"/>
      <c r="AM47" s="2"/>
      <c r="AN47" s="48"/>
      <c r="AO47" t="s">
        <v>769</v>
      </c>
      <c r="AP47" s="120"/>
    </row>
    <row r="48" spans="1:42" s="121" customFormat="1" ht="24" x14ac:dyDescent="0.3">
      <c r="A48" s="4">
        <v>45</v>
      </c>
      <c r="B48" s="2" t="s">
        <v>570</v>
      </c>
      <c r="C48" s="2" t="s">
        <v>470</v>
      </c>
      <c r="D48" s="2">
        <v>106.627933</v>
      </c>
      <c r="E48" s="2">
        <v>10.788978999999999</v>
      </c>
      <c r="F48" s="2" t="s">
        <v>596</v>
      </c>
      <c r="G48" s="34" t="s">
        <v>356</v>
      </c>
      <c r="H48" s="27" t="s">
        <v>895</v>
      </c>
      <c r="I48" s="25" t="s">
        <v>895</v>
      </c>
      <c r="J48" s="20">
        <v>45102</v>
      </c>
      <c r="K48" s="20">
        <v>46928</v>
      </c>
      <c r="L48" s="34"/>
      <c r="M48" s="97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903</v>
      </c>
      <c r="Z48" s="101">
        <v>4300000</v>
      </c>
      <c r="AA48" s="101">
        <v>4500000</v>
      </c>
      <c r="AB48" s="95">
        <v>6500000</v>
      </c>
      <c r="AC48" s="101">
        <v>0</v>
      </c>
      <c r="AD48" s="154">
        <v>0</v>
      </c>
      <c r="AE48" s="87"/>
      <c r="AF48" s="111" t="s">
        <v>79</v>
      </c>
      <c r="AG48" s="118"/>
      <c r="AH48" s="119" t="s">
        <v>597</v>
      </c>
      <c r="AI48" s="117" t="s">
        <v>599</v>
      </c>
      <c r="AJ48" s="110" t="s">
        <v>598</v>
      </c>
      <c r="AK48" s="2" t="s">
        <v>600</v>
      </c>
      <c r="AL48" s="2">
        <v>15.5</v>
      </c>
      <c r="AM48" s="2">
        <v>6</v>
      </c>
      <c r="AN48" s="48"/>
      <c r="AO48" t="s">
        <v>768</v>
      </c>
      <c r="AP48" s="120"/>
    </row>
    <row r="49" spans="1:42" s="121" customFormat="1" ht="24" x14ac:dyDescent="0.3">
      <c r="A49" s="4">
        <v>46</v>
      </c>
      <c r="B49" s="2" t="s">
        <v>571</v>
      </c>
      <c r="C49" s="2" t="s">
        <v>575</v>
      </c>
      <c r="D49" s="2">
        <v>106.7666253</v>
      </c>
      <c r="E49" s="2">
        <v>10.8351422</v>
      </c>
      <c r="F49" s="2" t="s">
        <v>576</v>
      </c>
      <c r="G49" s="34" t="s">
        <v>355</v>
      </c>
      <c r="H49" s="27" t="s">
        <v>895</v>
      </c>
      <c r="I49" s="25" t="s">
        <v>895</v>
      </c>
      <c r="J49" s="20">
        <v>45061</v>
      </c>
      <c r="K49" s="20">
        <v>46887</v>
      </c>
      <c r="L49" s="34"/>
      <c r="M49" s="97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1179</v>
      </c>
      <c r="Z49" s="101">
        <v>6000000</v>
      </c>
      <c r="AA49" s="101"/>
      <c r="AB49" s="95">
        <v>11200000</v>
      </c>
      <c r="AC49" s="101">
        <v>0</v>
      </c>
      <c r="AD49" s="154">
        <v>0</v>
      </c>
      <c r="AE49" s="87"/>
      <c r="AF49" s="111" t="s">
        <v>1160</v>
      </c>
      <c r="AG49" s="118"/>
      <c r="AH49" s="119" t="s">
        <v>577</v>
      </c>
      <c r="AI49" s="117" t="s">
        <v>578</v>
      </c>
      <c r="AJ49" s="110" t="s">
        <v>400</v>
      </c>
      <c r="AK49" s="2" t="s">
        <v>579</v>
      </c>
      <c r="AL49" s="2">
        <v>11</v>
      </c>
      <c r="AM49" s="2">
        <v>12</v>
      </c>
      <c r="AN49" s="48"/>
      <c r="AO49" t="s">
        <v>768</v>
      </c>
      <c r="AP49" s="120"/>
    </row>
    <row r="50" spans="1:42" s="121" customFormat="1" ht="24" x14ac:dyDescent="0.3">
      <c r="A50" s="4">
        <v>47</v>
      </c>
      <c r="B50" s="2" t="s">
        <v>572</v>
      </c>
      <c r="C50" s="2" t="s">
        <v>581</v>
      </c>
      <c r="D50" s="2">
        <v>106.663482</v>
      </c>
      <c r="E50" s="2">
        <v>10.76826</v>
      </c>
      <c r="F50" s="2" t="s">
        <v>580</v>
      </c>
      <c r="G50" s="34" t="s">
        <v>356</v>
      </c>
      <c r="H50" s="27" t="s">
        <v>895</v>
      </c>
      <c r="I50" s="25" t="s">
        <v>895</v>
      </c>
      <c r="J50" s="20">
        <v>45078</v>
      </c>
      <c r="K50" s="20">
        <v>46904</v>
      </c>
      <c r="L50" s="34"/>
      <c r="M50" s="97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1180</v>
      </c>
      <c r="Z50" s="101">
        <v>4000000</v>
      </c>
      <c r="AA50" s="101">
        <v>5000000</v>
      </c>
      <c r="AB50" s="95">
        <v>7000000</v>
      </c>
      <c r="AC50" s="101">
        <v>0</v>
      </c>
      <c r="AD50" s="154">
        <v>0</v>
      </c>
      <c r="AE50" s="87"/>
      <c r="AF50" s="111" t="s">
        <v>79</v>
      </c>
      <c r="AG50" s="118"/>
      <c r="AH50" s="119" t="s">
        <v>582</v>
      </c>
      <c r="AI50" s="117" t="s">
        <v>583</v>
      </c>
      <c r="AJ50" s="117" t="s">
        <v>170</v>
      </c>
      <c r="AK50" s="2" t="s">
        <v>584</v>
      </c>
      <c r="AL50" s="2">
        <v>17</v>
      </c>
      <c r="AM50" s="2">
        <v>6</v>
      </c>
      <c r="AN50" s="48"/>
      <c r="AO50" t="s">
        <v>768</v>
      </c>
      <c r="AP50" s="120"/>
    </row>
    <row r="51" spans="1:42" s="121" customFormat="1" ht="24" x14ac:dyDescent="0.3">
      <c r="A51" s="4">
        <v>48</v>
      </c>
      <c r="B51" s="2" t="s">
        <v>573</v>
      </c>
      <c r="C51" s="2" t="s">
        <v>581</v>
      </c>
      <c r="D51" s="2">
        <v>106.66824699999999</v>
      </c>
      <c r="E51" s="2">
        <v>10.784117</v>
      </c>
      <c r="F51" s="2" t="s">
        <v>585</v>
      </c>
      <c r="G51" s="34" t="s">
        <v>356</v>
      </c>
      <c r="H51" s="27" t="s">
        <v>895</v>
      </c>
      <c r="I51" s="25" t="s">
        <v>895</v>
      </c>
      <c r="J51" s="20">
        <v>45078</v>
      </c>
      <c r="K51" s="20">
        <v>46904</v>
      </c>
      <c r="L51" s="34"/>
      <c r="M51" s="97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904</v>
      </c>
      <c r="Z51" s="101">
        <v>4000000</v>
      </c>
      <c r="AA51" s="101">
        <v>5000000</v>
      </c>
      <c r="AB51" s="95">
        <v>7000000</v>
      </c>
      <c r="AC51" s="101">
        <v>0</v>
      </c>
      <c r="AD51" s="154">
        <v>0</v>
      </c>
      <c r="AE51" s="87"/>
      <c r="AF51" s="111" t="s">
        <v>79</v>
      </c>
      <c r="AG51" s="118"/>
      <c r="AH51" s="119" t="s">
        <v>587</v>
      </c>
      <c r="AI51" s="117" t="s">
        <v>586</v>
      </c>
      <c r="AJ51" s="110" t="s">
        <v>588</v>
      </c>
      <c r="AK51" s="2" t="s">
        <v>589</v>
      </c>
      <c r="AL51" s="2">
        <v>14.5</v>
      </c>
      <c r="AM51" s="2">
        <v>6</v>
      </c>
      <c r="AN51" s="48"/>
      <c r="AO51" t="s">
        <v>768</v>
      </c>
      <c r="AP51" s="120"/>
    </row>
    <row r="52" spans="1:42" s="121" customFormat="1" ht="24" x14ac:dyDescent="0.3">
      <c r="A52" s="4">
        <v>49</v>
      </c>
      <c r="B52" s="2" t="s">
        <v>574</v>
      </c>
      <c r="C52" s="2" t="s">
        <v>470</v>
      </c>
      <c r="D52" s="2">
        <v>106.636156</v>
      </c>
      <c r="E52" s="2">
        <v>10.783979</v>
      </c>
      <c r="F52" s="2" t="s">
        <v>590</v>
      </c>
      <c r="G52" s="34" t="s">
        <v>355</v>
      </c>
      <c r="H52" s="27" t="s">
        <v>895</v>
      </c>
      <c r="I52" s="25" t="s">
        <v>895</v>
      </c>
      <c r="J52" s="20">
        <v>45073</v>
      </c>
      <c r="K52" s="20">
        <v>46899</v>
      </c>
      <c r="L52" s="34"/>
      <c r="M52" s="97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1181</v>
      </c>
      <c r="Z52" s="101">
        <v>6500000</v>
      </c>
      <c r="AA52" s="101"/>
      <c r="AB52" s="95">
        <v>10100000</v>
      </c>
      <c r="AC52" s="101">
        <v>0</v>
      </c>
      <c r="AD52" s="154">
        <v>0</v>
      </c>
      <c r="AE52" s="87"/>
      <c r="AF52" s="111" t="s">
        <v>79</v>
      </c>
      <c r="AG52" s="118"/>
      <c r="AH52" s="119" t="s">
        <v>592</v>
      </c>
      <c r="AI52" s="117" t="s">
        <v>591</v>
      </c>
      <c r="AJ52" s="110" t="s">
        <v>593</v>
      </c>
      <c r="AK52" s="2" t="s">
        <v>594</v>
      </c>
      <c r="AL52" s="2">
        <v>24</v>
      </c>
      <c r="AM52" s="2">
        <v>6</v>
      </c>
      <c r="AN52" s="48"/>
      <c r="AO52" t="s">
        <v>768</v>
      </c>
      <c r="AP52" s="120"/>
    </row>
    <row r="53" spans="1:42" s="121" customFormat="1" ht="24" x14ac:dyDescent="0.3">
      <c r="A53" s="4">
        <v>50</v>
      </c>
      <c r="B53" s="2" t="s">
        <v>616</v>
      </c>
      <c r="C53" s="2" t="s">
        <v>575</v>
      </c>
      <c r="D53" s="2">
        <v>106.732218</v>
      </c>
      <c r="E53" s="2">
        <v>10.863514</v>
      </c>
      <c r="F53" s="2" t="s">
        <v>617</v>
      </c>
      <c r="G53" s="34" t="s">
        <v>355</v>
      </c>
      <c r="H53" s="27" t="s">
        <v>895</v>
      </c>
      <c r="I53" s="25" t="s">
        <v>895</v>
      </c>
      <c r="J53" s="20">
        <v>45232</v>
      </c>
      <c r="K53" s="20">
        <v>47058</v>
      </c>
      <c r="L53" s="34"/>
      <c r="M53" s="97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1182</v>
      </c>
      <c r="Z53" s="101">
        <v>6000000</v>
      </c>
      <c r="AA53" s="101">
        <v>7000000</v>
      </c>
      <c r="AB53" s="95">
        <v>10200000</v>
      </c>
      <c r="AC53" s="101">
        <v>0</v>
      </c>
      <c r="AD53" s="154">
        <v>0</v>
      </c>
      <c r="AE53" s="87"/>
      <c r="AF53" s="111" t="s">
        <v>79</v>
      </c>
      <c r="AG53" s="118"/>
      <c r="AH53" s="119" t="s">
        <v>619</v>
      </c>
      <c r="AI53" s="117" t="s">
        <v>618</v>
      </c>
      <c r="AJ53" s="110" t="s">
        <v>588</v>
      </c>
      <c r="AK53" s="2" t="s">
        <v>620</v>
      </c>
      <c r="AL53" s="2">
        <v>16</v>
      </c>
      <c r="AM53" s="2">
        <v>9</v>
      </c>
      <c r="AN53" s="48"/>
      <c r="AO53" t="s">
        <v>768</v>
      </c>
      <c r="AP53" s="120"/>
    </row>
    <row r="54" spans="1:42" s="121" customFormat="1" ht="24" x14ac:dyDescent="0.3">
      <c r="A54" s="4">
        <v>51</v>
      </c>
      <c r="B54" s="2" t="s">
        <v>621</v>
      </c>
      <c r="C54" s="2" t="s">
        <v>575</v>
      </c>
      <c r="D54" s="2">
        <v>106.755152</v>
      </c>
      <c r="E54" s="2">
        <v>10.838282</v>
      </c>
      <c r="F54" s="2" t="s">
        <v>622</v>
      </c>
      <c r="G54" s="34" t="s">
        <v>355</v>
      </c>
      <c r="H54" s="27" t="s">
        <v>895</v>
      </c>
      <c r="I54" s="25" t="s">
        <v>895</v>
      </c>
      <c r="J54" s="20">
        <v>45216</v>
      </c>
      <c r="K54" s="20">
        <v>47042</v>
      </c>
      <c r="L54" s="34"/>
      <c r="M54" s="97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1183</v>
      </c>
      <c r="Z54" s="101">
        <v>6000000</v>
      </c>
      <c r="AA54" s="101">
        <v>7000000</v>
      </c>
      <c r="AB54" s="95">
        <v>11300000</v>
      </c>
      <c r="AC54" s="101">
        <v>0</v>
      </c>
      <c r="AD54" s="154">
        <v>0</v>
      </c>
      <c r="AE54" s="87"/>
      <c r="AF54" s="111" t="s">
        <v>79</v>
      </c>
      <c r="AG54" s="118"/>
      <c r="AH54" s="119" t="s">
        <v>624</v>
      </c>
      <c r="AI54" s="117" t="s">
        <v>623</v>
      </c>
      <c r="AJ54" s="110" t="s">
        <v>625</v>
      </c>
      <c r="AK54" s="2" t="s">
        <v>626</v>
      </c>
      <c r="AL54" s="2">
        <v>15</v>
      </c>
      <c r="AM54" s="2">
        <v>12</v>
      </c>
      <c r="AN54" s="48"/>
      <c r="AO54" t="s">
        <v>768</v>
      </c>
      <c r="AP54" s="120"/>
    </row>
    <row r="55" spans="1:42" s="121" customFormat="1" ht="36" x14ac:dyDescent="0.3">
      <c r="A55" s="4">
        <v>52</v>
      </c>
      <c r="B55" s="2" t="s">
        <v>610</v>
      </c>
      <c r="C55" s="2" t="s">
        <v>575</v>
      </c>
      <c r="D55" s="2">
        <v>106.832753</v>
      </c>
      <c r="E55" s="2">
        <v>10.887543000000001</v>
      </c>
      <c r="F55" s="2" t="s">
        <v>627</v>
      </c>
      <c r="G55" s="34" t="s">
        <v>355</v>
      </c>
      <c r="H55" s="27" t="s">
        <v>895</v>
      </c>
      <c r="I55" s="25" t="s">
        <v>895</v>
      </c>
      <c r="J55" s="20">
        <v>45164</v>
      </c>
      <c r="K55" s="20">
        <v>46990</v>
      </c>
      <c r="L55" s="34"/>
      <c r="M55" s="97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1184</v>
      </c>
      <c r="Z55" s="101">
        <v>6000000</v>
      </c>
      <c r="AA55" s="101"/>
      <c r="AB55" s="95">
        <v>12000000</v>
      </c>
      <c r="AC55" s="101">
        <v>0</v>
      </c>
      <c r="AD55" s="154">
        <v>0</v>
      </c>
      <c r="AE55" s="87"/>
      <c r="AF55" s="111" t="s">
        <v>79</v>
      </c>
      <c r="AG55" s="118"/>
      <c r="AH55" s="119" t="s">
        <v>628</v>
      </c>
      <c r="AI55" s="117" t="s">
        <v>629</v>
      </c>
      <c r="AJ55" s="110" t="s">
        <v>630</v>
      </c>
      <c r="AK55" s="2" t="s">
        <v>631</v>
      </c>
      <c r="AL55" s="2">
        <v>17</v>
      </c>
      <c r="AM55" s="2">
        <v>9</v>
      </c>
      <c r="AN55" s="48"/>
      <c r="AO55" t="s">
        <v>768</v>
      </c>
      <c r="AP55" s="120"/>
    </row>
    <row r="56" spans="1:42" s="121" customFormat="1" ht="24" x14ac:dyDescent="0.3">
      <c r="A56" s="4">
        <v>53</v>
      </c>
      <c r="B56" s="2" t="s">
        <v>638</v>
      </c>
      <c r="C56" s="2" t="s">
        <v>558</v>
      </c>
      <c r="D56" s="2">
        <v>106.67816500000001</v>
      </c>
      <c r="E56" s="2">
        <v>10.767367</v>
      </c>
      <c r="F56" s="2" t="s">
        <v>640</v>
      </c>
      <c r="G56" s="34" t="s">
        <v>356</v>
      </c>
      <c r="H56" s="27" t="s">
        <v>895</v>
      </c>
      <c r="I56" s="25" t="s">
        <v>895</v>
      </c>
      <c r="J56" s="20">
        <v>45225</v>
      </c>
      <c r="K56" s="20">
        <v>47051</v>
      </c>
      <c r="L56" s="34"/>
      <c r="M56" s="97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1185</v>
      </c>
      <c r="Z56" s="101">
        <v>4000000</v>
      </c>
      <c r="AA56" s="101"/>
      <c r="AB56" s="95">
        <v>6600000</v>
      </c>
      <c r="AC56" s="101">
        <v>0</v>
      </c>
      <c r="AD56" s="154">
        <v>0</v>
      </c>
      <c r="AE56" s="87"/>
      <c r="AF56" s="111" t="s">
        <v>79</v>
      </c>
      <c r="AG56" s="118"/>
      <c r="AH56" s="119" t="s">
        <v>652</v>
      </c>
      <c r="AI56" s="117" t="s">
        <v>651</v>
      </c>
      <c r="AJ56" s="110" t="s">
        <v>153</v>
      </c>
      <c r="AK56" s="2" t="s">
        <v>653</v>
      </c>
      <c r="AL56" s="2">
        <v>24</v>
      </c>
      <c r="AM56" s="2">
        <v>6</v>
      </c>
      <c r="AN56" s="48"/>
      <c r="AO56" t="s">
        <v>768</v>
      </c>
      <c r="AP56" s="120"/>
    </row>
    <row r="57" spans="1:42" s="121" customFormat="1" ht="24" x14ac:dyDescent="0.3">
      <c r="A57" s="4">
        <v>54</v>
      </c>
      <c r="B57" s="2" t="s">
        <v>639</v>
      </c>
      <c r="C57" s="2" t="s">
        <v>581</v>
      </c>
      <c r="D57" s="2">
        <v>106.662549</v>
      </c>
      <c r="E57" s="2">
        <v>10.771064000000001</v>
      </c>
      <c r="F57" s="2" t="s">
        <v>641</v>
      </c>
      <c r="G57" s="34" t="s">
        <v>356</v>
      </c>
      <c r="H57" s="27" t="s">
        <v>895</v>
      </c>
      <c r="I57" s="25" t="s">
        <v>895</v>
      </c>
      <c r="J57" s="20">
        <v>45231</v>
      </c>
      <c r="K57" s="20">
        <v>47057</v>
      </c>
      <c r="L57" s="34"/>
      <c r="M57" s="97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1186</v>
      </c>
      <c r="Z57" s="101">
        <v>4500000</v>
      </c>
      <c r="AA57" s="101"/>
      <c r="AB57" s="95">
        <v>6700000</v>
      </c>
      <c r="AC57" s="101">
        <v>0</v>
      </c>
      <c r="AD57" s="154">
        <v>0</v>
      </c>
      <c r="AE57" s="87"/>
      <c r="AF57" s="111" t="s">
        <v>79</v>
      </c>
      <c r="AG57" s="118"/>
      <c r="AH57" s="119" t="s">
        <v>655</v>
      </c>
      <c r="AI57" s="117" t="s">
        <v>656</v>
      </c>
      <c r="AJ57" s="110" t="s">
        <v>588</v>
      </c>
      <c r="AK57" s="2" t="s">
        <v>654</v>
      </c>
      <c r="AL57" s="2">
        <v>24</v>
      </c>
      <c r="AM57" s="2">
        <v>6</v>
      </c>
      <c r="AN57" s="48"/>
      <c r="AO57" t="s">
        <v>768</v>
      </c>
      <c r="AP57" s="120"/>
    </row>
    <row r="58" spans="1:42" s="121" customFormat="1" ht="24" x14ac:dyDescent="0.3">
      <c r="A58" s="4">
        <v>55</v>
      </c>
      <c r="B58" s="2" t="s">
        <v>670</v>
      </c>
      <c r="C58" s="2" t="s">
        <v>66</v>
      </c>
      <c r="D58" s="2">
        <v>106.68352400000001</v>
      </c>
      <c r="E58" s="2">
        <v>10.845613</v>
      </c>
      <c r="F58" s="2" t="s">
        <v>675</v>
      </c>
      <c r="G58" s="34" t="s">
        <v>356</v>
      </c>
      <c r="H58" s="27" t="s">
        <v>895</v>
      </c>
      <c r="I58" s="25" t="s">
        <v>895</v>
      </c>
      <c r="J58" s="20">
        <v>45295</v>
      </c>
      <c r="K58" s="20">
        <v>47121</v>
      </c>
      <c r="L58" s="34"/>
      <c r="M58" s="97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1187</v>
      </c>
      <c r="Z58" s="101">
        <v>4000000</v>
      </c>
      <c r="AA58" s="101">
        <v>4600000</v>
      </c>
      <c r="AB58" s="95">
        <v>6500000</v>
      </c>
      <c r="AC58" s="101">
        <v>0</v>
      </c>
      <c r="AD58" s="154">
        <v>0</v>
      </c>
      <c r="AE58" s="87"/>
      <c r="AF58" s="111" t="s">
        <v>79</v>
      </c>
      <c r="AG58" s="118"/>
      <c r="AH58" s="119" t="s">
        <v>680</v>
      </c>
      <c r="AI58" s="117" t="s">
        <v>681</v>
      </c>
      <c r="AJ58" s="110" t="s">
        <v>400</v>
      </c>
      <c r="AK58" s="2" t="s">
        <v>682</v>
      </c>
      <c r="AL58" s="2">
        <v>15.5</v>
      </c>
      <c r="AM58" s="2">
        <v>6</v>
      </c>
      <c r="AN58" s="48"/>
      <c r="AO58" t="s">
        <v>770</v>
      </c>
      <c r="AP58" s="120"/>
    </row>
    <row r="59" spans="1:42" s="121" customFormat="1" ht="24" x14ac:dyDescent="0.3">
      <c r="A59" s="4">
        <v>56</v>
      </c>
      <c r="B59" s="2" t="s">
        <v>671</v>
      </c>
      <c r="C59" s="2" t="s">
        <v>32</v>
      </c>
      <c r="D59" s="2">
        <v>106.68946819999999</v>
      </c>
      <c r="E59" s="2">
        <v>10.8050829</v>
      </c>
      <c r="F59" s="2" t="s">
        <v>676</v>
      </c>
      <c r="G59" s="34" t="s">
        <v>356</v>
      </c>
      <c r="H59" s="27" t="s">
        <v>895</v>
      </c>
      <c r="I59" s="25" t="s">
        <v>895</v>
      </c>
      <c r="J59" s="20">
        <v>45309</v>
      </c>
      <c r="K59" s="20">
        <v>47135</v>
      </c>
      <c r="L59" s="34"/>
      <c r="M59" s="97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1188</v>
      </c>
      <c r="Z59" s="101">
        <v>4000000</v>
      </c>
      <c r="AA59" s="101"/>
      <c r="AB59" s="95">
        <v>6700000</v>
      </c>
      <c r="AC59" s="101">
        <v>0</v>
      </c>
      <c r="AD59" s="154">
        <v>0</v>
      </c>
      <c r="AE59" s="87"/>
      <c r="AF59" s="111" t="s">
        <v>79</v>
      </c>
      <c r="AG59" s="118"/>
      <c r="AH59" s="119" t="s">
        <v>684</v>
      </c>
      <c r="AI59" s="117" t="s">
        <v>685</v>
      </c>
      <c r="AJ59" s="110" t="s">
        <v>410</v>
      </c>
      <c r="AK59" s="2" t="s">
        <v>683</v>
      </c>
      <c r="AL59" s="2">
        <v>15</v>
      </c>
      <c r="AM59" s="2">
        <v>6</v>
      </c>
      <c r="AN59" s="48"/>
      <c r="AO59" t="s">
        <v>770</v>
      </c>
      <c r="AP59" s="120"/>
    </row>
    <row r="60" spans="1:42" s="121" customFormat="1" ht="24" x14ac:dyDescent="0.3">
      <c r="A60" s="4">
        <v>57</v>
      </c>
      <c r="B60" s="2" t="s">
        <v>672</v>
      </c>
      <c r="C60" s="2" t="s">
        <v>581</v>
      </c>
      <c r="D60" s="2">
        <v>106.67948699999999</v>
      </c>
      <c r="E60" s="2">
        <v>10.778354</v>
      </c>
      <c r="F60" s="2" t="s">
        <v>677</v>
      </c>
      <c r="G60" s="34" t="s">
        <v>356</v>
      </c>
      <c r="H60" s="27" t="s">
        <v>895</v>
      </c>
      <c r="I60" s="25" t="s">
        <v>895</v>
      </c>
      <c r="J60" s="20">
        <v>45310</v>
      </c>
      <c r="K60" s="20">
        <v>47136</v>
      </c>
      <c r="L60" s="34"/>
      <c r="M60" s="97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1189</v>
      </c>
      <c r="Z60" s="101">
        <v>4000000</v>
      </c>
      <c r="AA60" s="101"/>
      <c r="AB60" s="95">
        <v>6700000</v>
      </c>
      <c r="AC60" s="101">
        <v>0</v>
      </c>
      <c r="AD60" s="154">
        <v>0</v>
      </c>
      <c r="AE60" s="87"/>
      <c r="AF60" s="111" t="s">
        <v>79</v>
      </c>
      <c r="AG60" s="118"/>
      <c r="AH60" s="119" t="s">
        <v>687</v>
      </c>
      <c r="AI60" s="117" t="s">
        <v>688</v>
      </c>
      <c r="AJ60" s="110" t="s">
        <v>689</v>
      </c>
      <c r="AK60" s="2" t="s">
        <v>686</v>
      </c>
      <c r="AL60" s="2">
        <v>17.5</v>
      </c>
      <c r="AM60" s="2">
        <v>6</v>
      </c>
      <c r="AN60" s="48"/>
      <c r="AO60" t="s">
        <v>770</v>
      </c>
      <c r="AP60" s="120"/>
    </row>
    <row r="61" spans="1:42" s="121" customFormat="1" ht="24" x14ac:dyDescent="0.3">
      <c r="A61" s="4">
        <v>58</v>
      </c>
      <c r="B61" s="2" t="s">
        <v>673</v>
      </c>
      <c r="C61" s="2" t="s">
        <v>156</v>
      </c>
      <c r="D61" s="2">
        <v>106.64586</v>
      </c>
      <c r="E61" s="2">
        <v>10.80012</v>
      </c>
      <c r="F61" s="2" t="s">
        <v>678</v>
      </c>
      <c r="G61" s="34" t="s">
        <v>356</v>
      </c>
      <c r="H61" s="27" t="s">
        <v>895</v>
      </c>
      <c r="I61" s="25" t="s">
        <v>895</v>
      </c>
      <c r="J61" s="20">
        <v>45345</v>
      </c>
      <c r="K61" s="20">
        <v>47171</v>
      </c>
      <c r="L61" s="34"/>
      <c r="M61" s="97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1190</v>
      </c>
      <c r="Z61" s="101">
        <v>4000000</v>
      </c>
      <c r="AA61" s="101"/>
      <c r="AB61" s="95">
        <v>6700000</v>
      </c>
      <c r="AC61" s="101">
        <v>0</v>
      </c>
      <c r="AD61" s="154">
        <v>0</v>
      </c>
      <c r="AE61" s="87"/>
      <c r="AF61" s="111" t="s">
        <v>79</v>
      </c>
      <c r="AG61" s="118"/>
      <c r="AH61" s="119" t="s">
        <v>696</v>
      </c>
      <c r="AI61" s="117" t="s">
        <v>695</v>
      </c>
      <c r="AJ61" s="110" t="s">
        <v>410</v>
      </c>
      <c r="AK61" s="2" t="s">
        <v>694</v>
      </c>
      <c r="AL61" s="2"/>
      <c r="AM61" s="2"/>
      <c r="AN61" s="48"/>
      <c r="AO61" t="s">
        <v>770</v>
      </c>
      <c r="AP61" s="120"/>
    </row>
    <row r="62" spans="1:42" s="121" customFormat="1" ht="24" x14ac:dyDescent="0.3">
      <c r="A62" s="4">
        <v>59</v>
      </c>
      <c r="B62" s="2" t="s">
        <v>674</v>
      </c>
      <c r="C62" s="2" t="s">
        <v>156</v>
      </c>
      <c r="D62" s="2">
        <v>106.64458</v>
      </c>
      <c r="E62" s="2">
        <v>10.80631</v>
      </c>
      <c r="F62" s="2" t="s">
        <v>679</v>
      </c>
      <c r="G62" s="34" t="s">
        <v>356</v>
      </c>
      <c r="H62" s="27" t="s">
        <v>895</v>
      </c>
      <c r="I62" s="25" t="s">
        <v>895</v>
      </c>
      <c r="J62" s="20">
        <v>45352</v>
      </c>
      <c r="K62" s="20">
        <v>47177</v>
      </c>
      <c r="L62" s="34"/>
      <c r="M62" s="97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905</v>
      </c>
      <c r="Z62" s="101">
        <v>4000000</v>
      </c>
      <c r="AA62" s="101"/>
      <c r="AB62" s="95">
        <v>6600000</v>
      </c>
      <c r="AC62" s="101">
        <v>0</v>
      </c>
      <c r="AD62" s="154">
        <v>0</v>
      </c>
      <c r="AE62" s="87"/>
      <c r="AF62" s="111" t="s">
        <v>79</v>
      </c>
      <c r="AG62" s="118"/>
      <c r="AH62" s="119" t="s">
        <v>691</v>
      </c>
      <c r="AI62" s="117" t="s">
        <v>692</v>
      </c>
      <c r="AJ62" s="110" t="s">
        <v>693</v>
      </c>
      <c r="AK62" s="2" t="s">
        <v>690</v>
      </c>
      <c r="AL62" s="2"/>
      <c r="AM62" s="2"/>
      <c r="AN62" s="48"/>
      <c r="AO62" t="s">
        <v>770</v>
      </c>
      <c r="AP62" s="120"/>
    </row>
    <row r="63" spans="1:42" s="121" customFormat="1" ht="24" x14ac:dyDescent="0.3">
      <c r="A63" s="4">
        <v>60</v>
      </c>
      <c r="B63" s="2" t="s">
        <v>704</v>
      </c>
      <c r="C63" s="2" t="s">
        <v>290</v>
      </c>
      <c r="D63" s="2">
        <v>106.6938191</v>
      </c>
      <c r="E63" s="2">
        <v>10.8678408</v>
      </c>
      <c r="F63" s="2" t="s">
        <v>705</v>
      </c>
      <c r="G63" s="34" t="s">
        <v>355</v>
      </c>
      <c r="H63" s="27" t="s">
        <v>895</v>
      </c>
      <c r="I63" s="25" t="s">
        <v>895</v>
      </c>
      <c r="J63" s="20">
        <v>45392</v>
      </c>
      <c r="K63" s="20">
        <v>47217</v>
      </c>
      <c r="L63" s="34"/>
      <c r="M63" s="97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906</v>
      </c>
      <c r="Z63" s="101">
        <v>5500000</v>
      </c>
      <c r="AA63" s="101"/>
      <c r="AB63" s="95">
        <v>11300000</v>
      </c>
      <c r="AC63" s="101">
        <v>0</v>
      </c>
      <c r="AD63" s="154">
        <v>0</v>
      </c>
      <c r="AE63" s="87" t="s">
        <v>721</v>
      </c>
      <c r="AF63" s="111" t="s">
        <v>79</v>
      </c>
      <c r="AG63" s="118"/>
      <c r="AH63" s="119" t="s">
        <v>723</v>
      </c>
      <c r="AI63" s="117" t="s">
        <v>722</v>
      </c>
      <c r="AJ63" s="110" t="s">
        <v>153</v>
      </c>
      <c r="AK63" s="2" t="s">
        <v>706</v>
      </c>
      <c r="AL63" s="2">
        <v>12.5</v>
      </c>
      <c r="AM63" s="2">
        <v>9</v>
      </c>
      <c r="AN63" s="48"/>
      <c r="AO63" t="s">
        <v>770</v>
      </c>
      <c r="AP63" s="120"/>
    </row>
    <row r="64" spans="1:42" s="121" customFormat="1" ht="24" x14ac:dyDescent="0.3">
      <c r="A64" s="4">
        <v>61</v>
      </c>
      <c r="B64" s="2" t="s">
        <v>707</v>
      </c>
      <c r="C64" s="2" t="s">
        <v>290</v>
      </c>
      <c r="D64" s="2">
        <v>106.643762</v>
      </c>
      <c r="E64" s="2">
        <v>10.889957000000001</v>
      </c>
      <c r="F64" s="2" t="s">
        <v>708</v>
      </c>
      <c r="G64" s="34" t="s">
        <v>355</v>
      </c>
      <c r="H64" s="27" t="s">
        <v>895</v>
      </c>
      <c r="I64" s="34" t="s">
        <v>1235</v>
      </c>
      <c r="J64" s="20">
        <v>45402</v>
      </c>
      <c r="K64" s="20">
        <v>47227</v>
      </c>
      <c r="L64" s="34"/>
      <c r="M64" s="97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907</v>
      </c>
      <c r="Z64" s="101">
        <v>5000000</v>
      </c>
      <c r="AA64" s="101"/>
      <c r="AB64" s="95">
        <v>9800000</v>
      </c>
      <c r="AC64" s="101">
        <v>8000000</v>
      </c>
      <c r="AD64" s="154">
        <v>0</v>
      </c>
      <c r="AE64" s="87" t="s">
        <v>720</v>
      </c>
      <c r="AF64" s="111" t="s">
        <v>79</v>
      </c>
      <c r="AG64" s="118"/>
      <c r="AH64" s="119" t="s">
        <v>719</v>
      </c>
      <c r="AI64" s="117" t="s">
        <v>718</v>
      </c>
      <c r="AJ64" s="110" t="s">
        <v>410</v>
      </c>
      <c r="AK64" s="2" t="s">
        <v>709</v>
      </c>
      <c r="AL64" s="2">
        <v>13.5</v>
      </c>
      <c r="AM64" s="2">
        <v>12</v>
      </c>
      <c r="AN64" s="48"/>
      <c r="AO64" t="s">
        <v>770</v>
      </c>
      <c r="AP64" s="120"/>
    </row>
    <row r="65" spans="1:42" s="121" customFormat="1" ht="36" x14ac:dyDescent="0.3">
      <c r="A65" s="4">
        <v>62</v>
      </c>
      <c r="B65" s="2" t="s">
        <v>710</v>
      </c>
      <c r="C65" s="2" t="s">
        <v>32</v>
      </c>
      <c r="D65" s="2">
        <v>106.722944</v>
      </c>
      <c r="E65" s="2">
        <v>10.80025</v>
      </c>
      <c r="F65" s="2" t="s">
        <v>711</v>
      </c>
      <c r="G65" s="34" t="s">
        <v>355</v>
      </c>
      <c r="H65" s="27" t="s">
        <v>895</v>
      </c>
      <c r="I65" s="25" t="s">
        <v>895</v>
      </c>
      <c r="J65" s="20">
        <v>45422</v>
      </c>
      <c r="K65" s="20">
        <v>47247</v>
      </c>
      <c r="L65" s="34"/>
      <c r="M65" s="97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1191</v>
      </c>
      <c r="Z65" s="101">
        <v>7500000</v>
      </c>
      <c r="AA65" s="101"/>
      <c r="AB65" s="95">
        <v>13300000</v>
      </c>
      <c r="AC65" s="101">
        <v>0</v>
      </c>
      <c r="AD65" s="154">
        <v>0</v>
      </c>
      <c r="AE65" s="87" t="s">
        <v>741</v>
      </c>
      <c r="AF65" s="111" t="s">
        <v>79</v>
      </c>
      <c r="AG65" s="118"/>
      <c r="AH65" s="148" t="s">
        <v>731</v>
      </c>
      <c r="AI65" s="149" t="s">
        <v>730</v>
      </c>
      <c r="AJ65" s="36" t="s">
        <v>805</v>
      </c>
      <c r="AK65" s="8" t="s">
        <v>712</v>
      </c>
      <c r="AL65" s="8">
        <v>25</v>
      </c>
      <c r="AM65" s="8">
        <v>12</v>
      </c>
      <c r="AN65" s="99"/>
      <c r="AO65" t="s">
        <v>770</v>
      </c>
      <c r="AP65" s="120"/>
    </row>
    <row r="66" spans="1:42" s="121" customFormat="1" ht="24" x14ac:dyDescent="0.3">
      <c r="A66" s="4">
        <v>63</v>
      </c>
      <c r="B66" s="2" t="s">
        <v>713</v>
      </c>
      <c r="C66" s="2" t="s">
        <v>229</v>
      </c>
      <c r="D66" s="2">
        <v>106.577326</v>
      </c>
      <c r="E66" s="2">
        <v>10.760555999999999</v>
      </c>
      <c r="F66" s="2" t="s">
        <v>714</v>
      </c>
      <c r="G66" s="34" t="s">
        <v>355</v>
      </c>
      <c r="H66" s="27" t="s">
        <v>895</v>
      </c>
      <c r="I66" s="25" t="s">
        <v>895</v>
      </c>
      <c r="J66" s="20">
        <v>45430</v>
      </c>
      <c r="K66" s="20">
        <v>47255</v>
      </c>
      <c r="L66" s="34"/>
      <c r="M66" s="97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908</v>
      </c>
      <c r="Z66" s="101">
        <v>5000000</v>
      </c>
      <c r="AA66" s="101"/>
      <c r="AB66" s="95">
        <v>10000000</v>
      </c>
      <c r="AC66" s="101">
        <v>0</v>
      </c>
      <c r="AD66" s="154">
        <v>0</v>
      </c>
      <c r="AE66" s="87" t="s">
        <v>724</v>
      </c>
      <c r="AF66" s="111" t="s">
        <v>79</v>
      </c>
      <c r="AG66" s="118"/>
      <c r="AH66" s="119" t="s">
        <v>716</v>
      </c>
      <c r="AI66" s="117" t="s">
        <v>717</v>
      </c>
      <c r="AJ66" s="110" t="s">
        <v>170</v>
      </c>
      <c r="AK66" s="2" t="s">
        <v>715</v>
      </c>
      <c r="AL66" s="2">
        <v>14</v>
      </c>
      <c r="AM66" s="2"/>
      <c r="AN66" s="48"/>
      <c r="AO66" t="s">
        <v>770</v>
      </c>
      <c r="AP66" s="120"/>
    </row>
    <row r="67" spans="1:42" s="121" customFormat="1" ht="24" x14ac:dyDescent="0.3">
      <c r="A67" s="4">
        <v>64</v>
      </c>
      <c r="B67" s="2" t="s">
        <v>725</v>
      </c>
      <c r="C67" s="2" t="s">
        <v>15</v>
      </c>
      <c r="D67" s="2">
        <v>106.610331</v>
      </c>
      <c r="E67" s="2">
        <v>10.845826000000001</v>
      </c>
      <c r="F67" s="2" t="s">
        <v>726</v>
      </c>
      <c r="G67" s="34" t="s">
        <v>355</v>
      </c>
      <c r="H67" s="27" t="s">
        <v>895</v>
      </c>
      <c r="I67" s="34" t="s">
        <v>1240</v>
      </c>
      <c r="J67" s="20">
        <v>45397</v>
      </c>
      <c r="K67" s="20">
        <v>47222</v>
      </c>
      <c r="L67" s="34"/>
      <c r="M67" s="97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909</v>
      </c>
      <c r="Z67" s="101">
        <v>5000000</v>
      </c>
      <c r="AA67" s="101"/>
      <c r="AB67" s="95">
        <v>9500000</v>
      </c>
      <c r="AC67" s="101">
        <v>0</v>
      </c>
      <c r="AD67" s="154">
        <v>0</v>
      </c>
      <c r="AE67" s="87" t="s">
        <v>739</v>
      </c>
      <c r="AF67" s="111" t="s">
        <v>79</v>
      </c>
      <c r="AG67" s="118"/>
      <c r="AH67" s="119" t="s">
        <v>727</v>
      </c>
      <c r="AI67" s="117" t="s">
        <v>728</v>
      </c>
      <c r="AJ67" s="110" t="s">
        <v>395</v>
      </c>
      <c r="AK67" s="2" t="s">
        <v>729</v>
      </c>
      <c r="AL67" s="2">
        <v>22</v>
      </c>
      <c r="AM67" s="2">
        <v>6</v>
      </c>
      <c r="AN67" s="48"/>
      <c r="AO67" t="s">
        <v>770</v>
      </c>
      <c r="AP67" s="120"/>
    </row>
    <row r="68" spans="1:42" s="121" customFormat="1" ht="36" x14ac:dyDescent="0.3">
      <c r="A68" s="4">
        <v>65</v>
      </c>
      <c r="B68" s="2" t="s">
        <v>732</v>
      </c>
      <c r="C68" s="2" t="s">
        <v>290</v>
      </c>
      <c r="D68" s="2">
        <v>106.695172</v>
      </c>
      <c r="E68" s="2">
        <v>10.842267</v>
      </c>
      <c r="F68" s="2" t="s">
        <v>733</v>
      </c>
      <c r="G68" s="34" t="s">
        <v>356</v>
      </c>
      <c r="H68" s="27" t="s">
        <v>895</v>
      </c>
      <c r="I68" s="25" t="s">
        <v>895</v>
      </c>
      <c r="J68" s="20">
        <v>45388</v>
      </c>
      <c r="K68" s="20">
        <v>47213</v>
      </c>
      <c r="L68" s="34"/>
      <c r="M68" s="97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1192</v>
      </c>
      <c r="Z68" s="101">
        <v>4000000</v>
      </c>
      <c r="AA68" s="101"/>
      <c r="AB68" s="95">
        <v>6400000</v>
      </c>
      <c r="AC68" s="101">
        <v>0</v>
      </c>
      <c r="AD68" s="154">
        <v>0</v>
      </c>
      <c r="AE68" s="87" t="s">
        <v>736</v>
      </c>
      <c r="AF68" s="111" t="s">
        <v>79</v>
      </c>
      <c r="AG68" s="118"/>
      <c r="AH68" s="119" t="s">
        <v>735</v>
      </c>
      <c r="AI68" s="117" t="s">
        <v>734</v>
      </c>
      <c r="AJ68" s="110" t="s">
        <v>737</v>
      </c>
      <c r="AK68" s="2" t="s">
        <v>738</v>
      </c>
      <c r="AL68" s="2">
        <v>13</v>
      </c>
      <c r="AM68" s="2">
        <v>6</v>
      </c>
      <c r="AN68" s="48"/>
      <c r="AO68" t="s">
        <v>770</v>
      </c>
      <c r="AP68" s="120"/>
    </row>
    <row r="69" spans="1:42" s="121" customFormat="1" ht="24" x14ac:dyDescent="0.3">
      <c r="A69" s="4">
        <v>66</v>
      </c>
      <c r="B69" s="2" t="s">
        <v>742</v>
      </c>
      <c r="C69" s="2" t="s">
        <v>15</v>
      </c>
      <c r="D69" s="2">
        <v>106.608891</v>
      </c>
      <c r="E69" s="2">
        <v>10.858193999999999</v>
      </c>
      <c r="F69" s="2" t="s">
        <v>755</v>
      </c>
      <c r="G69" s="34" t="s">
        <v>355</v>
      </c>
      <c r="H69" s="27" t="s">
        <v>895</v>
      </c>
      <c r="I69" s="25" t="s">
        <v>895</v>
      </c>
      <c r="J69" s="20">
        <v>45465</v>
      </c>
      <c r="K69" s="20">
        <v>47290</v>
      </c>
      <c r="L69" s="34"/>
      <c r="M69" s="97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910</v>
      </c>
      <c r="Z69" s="101">
        <v>5000000</v>
      </c>
      <c r="AA69" s="101"/>
      <c r="AB69" s="95">
        <v>9000000</v>
      </c>
      <c r="AC69" s="101">
        <v>0</v>
      </c>
      <c r="AD69" s="154">
        <v>0</v>
      </c>
      <c r="AE69" s="87" t="s">
        <v>761</v>
      </c>
      <c r="AF69" s="111" t="s">
        <v>79</v>
      </c>
      <c r="AG69" s="118"/>
      <c r="AH69" s="119" t="s">
        <v>756</v>
      </c>
      <c r="AI69" s="117" t="s">
        <v>757</v>
      </c>
      <c r="AJ69" s="110" t="s">
        <v>703</v>
      </c>
      <c r="AK69" s="2" t="s">
        <v>754</v>
      </c>
      <c r="AL69" s="2"/>
      <c r="AM69" s="2"/>
      <c r="AN69" s="48"/>
      <c r="AO69" t="s">
        <v>770</v>
      </c>
      <c r="AP69" s="120"/>
    </row>
    <row r="70" spans="1:42" s="121" customFormat="1" ht="24" x14ac:dyDescent="0.3">
      <c r="A70" s="4">
        <v>67</v>
      </c>
      <c r="B70" s="2" t="s">
        <v>743</v>
      </c>
      <c r="C70" s="2" t="s">
        <v>117</v>
      </c>
      <c r="D70" s="2">
        <v>106.58026</v>
      </c>
      <c r="E70" s="2">
        <v>10.693832</v>
      </c>
      <c r="F70" s="2" t="s">
        <v>750</v>
      </c>
      <c r="G70" s="34" t="s">
        <v>356</v>
      </c>
      <c r="H70" s="27" t="s">
        <v>895</v>
      </c>
      <c r="I70" s="25" t="s">
        <v>895</v>
      </c>
      <c r="J70" s="20">
        <v>45469</v>
      </c>
      <c r="K70" s="20">
        <v>47294</v>
      </c>
      <c r="L70" s="34"/>
      <c r="M70" s="97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1193</v>
      </c>
      <c r="Z70" s="101">
        <v>4500000</v>
      </c>
      <c r="AA70" s="101"/>
      <c r="AB70" s="95">
        <v>6400000</v>
      </c>
      <c r="AC70" s="101">
        <v>0</v>
      </c>
      <c r="AD70" s="154">
        <v>0</v>
      </c>
      <c r="AE70" s="87"/>
      <c r="AF70" s="111" t="s">
        <v>79</v>
      </c>
      <c r="AG70" s="118"/>
      <c r="AH70" s="119" t="s">
        <v>752</v>
      </c>
      <c r="AI70" s="117" t="s">
        <v>751</v>
      </c>
      <c r="AJ70" s="110" t="s">
        <v>703</v>
      </c>
      <c r="AK70" s="2" t="s">
        <v>753</v>
      </c>
      <c r="AL70" s="2"/>
      <c r="AM70" s="2"/>
      <c r="AN70" s="48"/>
      <c r="AO70" t="s">
        <v>770</v>
      </c>
      <c r="AP70" s="120"/>
    </row>
    <row r="71" spans="1:42" s="121" customFormat="1" ht="24" x14ac:dyDescent="0.3">
      <c r="A71" s="4">
        <v>68</v>
      </c>
      <c r="B71" s="2" t="s">
        <v>744</v>
      </c>
      <c r="C71" s="2" t="s">
        <v>15</v>
      </c>
      <c r="D71" s="2">
        <v>106.648195</v>
      </c>
      <c r="E71" s="2">
        <v>10.901745</v>
      </c>
      <c r="F71" s="2" t="s">
        <v>746</v>
      </c>
      <c r="G71" s="34" t="s">
        <v>355</v>
      </c>
      <c r="H71" s="27" t="s">
        <v>895</v>
      </c>
      <c r="I71" s="25" t="s">
        <v>895</v>
      </c>
      <c r="J71" s="20">
        <v>45483</v>
      </c>
      <c r="K71" s="20">
        <v>47308</v>
      </c>
      <c r="L71" s="34"/>
      <c r="M71" s="97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1194</v>
      </c>
      <c r="Z71" s="101">
        <v>5500000</v>
      </c>
      <c r="AA71" s="101"/>
      <c r="AB71" s="95">
        <v>9400000</v>
      </c>
      <c r="AC71" s="101">
        <v>0</v>
      </c>
      <c r="AD71" s="154">
        <v>0</v>
      </c>
      <c r="AE71" s="87"/>
      <c r="AF71" s="111" t="s">
        <v>79</v>
      </c>
      <c r="AG71" s="118"/>
      <c r="AH71" s="119" t="s">
        <v>759</v>
      </c>
      <c r="AI71" s="117" t="s">
        <v>758</v>
      </c>
      <c r="AJ71" s="110" t="s">
        <v>760</v>
      </c>
      <c r="AK71" s="2" t="s">
        <v>747</v>
      </c>
      <c r="AL71" s="2">
        <v>12</v>
      </c>
      <c r="AM71" s="2">
        <v>12</v>
      </c>
      <c r="AN71" s="48"/>
      <c r="AO71" t="s">
        <v>770</v>
      </c>
      <c r="AP71" s="120"/>
    </row>
    <row r="72" spans="1:42" s="121" customFormat="1" ht="24" x14ac:dyDescent="0.3">
      <c r="A72" s="4">
        <v>69</v>
      </c>
      <c r="B72" s="2" t="s">
        <v>745</v>
      </c>
      <c r="C72" s="2" t="s">
        <v>229</v>
      </c>
      <c r="D72" s="2">
        <v>106.599693</v>
      </c>
      <c r="E72" s="2">
        <v>10.779717</v>
      </c>
      <c r="F72" s="2" t="s">
        <v>748</v>
      </c>
      <c r="G72" s="34" t="s">
        <v>355</v>
      </c>
      <c r="H72" s="27" t="s">
        <v>895</v>
      </c>
      <c r="I72" s="25" t="s">
        <v>895</v>
      </c>
      <c r="J72" s="20">
        <v>45483</v>
      </c>
      <c r="K72" s="20">
        <v>47308</v>
      </c>
      <c r="L72" s="34"/>
      <c r="M72" s="97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1195</v>
      </c>
      <c r="Z72" s="101">
        <v>5000000</v>
      </c>
      <c r="AA72" s="101"/>
      <c r="AB72" s="95">
        <v>9400000</v>
      </c>
      <c r="AC72" s="101">
        <v>0</v>
      </c>
      <c r="AD72" s="154">
        <v>0</v>
      </c>
      <c r="AE72" s="87"/>
      <c r="AF72" s="111" t="s">
        <v>79</v>
      </c>
      <c r="AG72" s="118"/>
      <c r="AH72" s="119" t="s">
        <v>771</v>
      </c>
      <c r="AI72" s="117" t="s">
        <v>772</v>
      </c>
      <c r="AJ72" s="110" t="s">
        <v>773</v>
      </c>
      <c r="AK72" s="2" t="s">
        <v>749</v>
      </c>
      <c r="AL72" s="2">
        <v>11</v>
      </c>
      <c r="AM72" s="2">
        <v>12</v>
      </c>
      <c r="AN72" s="48"/>
      <c r="AO72" t="s">
        <v>770</v>
      </c>
      <c r="AP72" s="120"/>
    </row>
    <row r="73" spans="1:42" s="121" customFormat="1" ht="24" x14ac:dyDescent="0.3">
      <c r="A73" s="4">
        <v>70</v>
      </c>
      <c r="B73" s="2" t="s">
        <v>740</v>
      </c>
      <c r="C73" s="2" t="s">
        <v>32</v>
      </c>
      <c r="D73" s="2">
        <v>106.699208</v>
      </c>
      <c r="E73" s="2">
        <v>10.805695099999999</v>
      </c>
      <c r="F73" s="2" t="s">
        <v>763</v>
      </c>
      <c r="G73" s="34" t="s">
        <v>356</v>
      </c>
      <c r="H73" s="27" t="s">
        <v>895</v>
      </c>
      <c r="I73" s="25" t="s">
        <v>895</v>
      </c>
      <c r="J73" s="20">
        <v>45373</v>
      </c>
      <c r="K73" s="20">
        <v>47198</v>
      </c>
      <c r="L73" s="34"/>
      <c r="M73" s="97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1196</v>
      </c>
      <c r="Z73" s="101">
        <v>4000000</v>
      </c>
      <c r="AA73" s="101"/>
      <c r="AB73" s="95">
        <v>6700000</v>
      </c>
      <c r="AC73" s="101">
        <v>0</v>
      </c>
      <c r="AD73" s="154">
        <v>0</v>
      </c>
      <c r="AE73" s="87"/>
      <c r="AF73" s="111" t="s">
        <v>79</v>
      </c>
      <c r="AG73" s="118"/>
      <c r="AH73" s="119" t="s">
        <v>697</v>
      </c>
      <c r="AI73" s="117" t="s">
        <v>698</v>
      </c>
      <c r="AJ73" s="110" t="s">
        <v>699</v>
      </c>
      <c r="AK73" s="2" t="s">
        <v>700</v>
      </c>
      <c r="AL73" s="2"/>
      <c r="AM73" s="2"/>
      <c r="AN73" s="48"/>
      <c r="AO73" t="s">
        <v>770</v>
      </c>
      <c r="AP73" s="120"/>
    </row>
    <row r="74" spans="1:42" s="121" customFormat="1" ht="24" x14ac:dyDescent="0.3">
      <c r="A74" s="4">
        <v>71</v>
      </c>
      <c r="B74" s="2" t="s">
        <v>609</v>
      </c>
      <c r="C74" s="2" t="s">
        <v>764</v>
      </c>
      <c r="D74" s="2">
        <v>106.69146499999999</v>
      </c>
      <c r="E74" s="2">
        <v>10.760405</v>
      </c>
      <c r="F74" s="2" t="s">
        <v>765</v>
      </c>
      <c r="G74" s="34" t="s">
        <v>356</v>
      </c>
      <c r="H74" s="27" t="s">
        <v>895</v>
      </c>
      <c r="I74" s="25" t="s">
        <v>895</v>
      </c>
      <c r="J74" s="20">
        <v>45078</v>
      </c>
      <c r="K74" s="20">
        <v>46904</v>
      </c>
      <c r="L74" s="34"/>
      <c r="M74" s="97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1197</v>
      </c>
      <c r="Z74" s="101">
        <v>5500000</v>
      </c>
      <c r="AA74" s="101"/>
      <c r="AB74" s="95">
        <v>7500000</v>
      </c>
      <c r="AC74" s="101">
        <v>0</v>
      </c>
      <c r="AD74" s="154">
        <v>0</v>
      </c>
      <c r="AE74" s="87"/>
      <c r="AF74" s="111" t="s">
        <v>79</v>
      </c>
      <c r="AG74" s="118"/>
      <c r="AH74" s="119" t="s">
        <v>666</v>
      </c>
      <c r="AI74" s="117" t="s">
        <v>667</v>
      </c>
      <c r="AJ74" s="110" t="s">
        <v>668</v>
      </c>
      <c r="AK74" s="2" t="s">
        <v>669</v>
      </c>
      <c r="AL74" s="2"/>
      <c r="AM74" s="2"/>
      <c r="AN74" s="48"/>
      <c r="AO74" t="s">
        <v>768</v>
      </c>
      <c r="AP74" s="120"/>
    </row>
    <row r="75" spans="1:42" s="121" customFormat="1" ht="24" x14ac:dyDescent="0.3">
      <c r="A75" s="4">
        <v>72</v>
      </c>
      <c r="B75" s="2" t="s">
        <v>774</v>
      </c>
      <c r="C75" s="2" t="s">
        <v>32</v>
      </c>
      <c r="D75" s="2">
        <v>106.70027</v>
      </c>
      <c r="E75" s="2">
        <v>10.828835</v>
      </c>
      <c r="F75" s="2" t="s">
        <v>775</v>
      </c>
      <c r="G75" s="34" t="s">
        <v>355</v>
      </c>
      <c r="H75" s="27" t="s">
        <v>895</v>
      </c>
      <c r="I75" s="25" t="s">
        <v>895</v>
      </c>
      <c r="J75" s="20">
        <v>45469</v>
      </c>
      <c r="K75" s="20">
        <v>47294</v>
      </c>
      <c r="L75" s="34"/>
      <c r="M75" s="97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1198</v>
      </c>
      <c r="Z75" s="101">
        <v>6000000</v>
      </c>
      <c r="AA75" s="101"/>
      <c r="AB75" s="95">
        <v>10500000</v>
      </c>
      <c r="AC75" s="101">
        <v>0</v>
      </c>
      <c r="AD75" s="154">
        <v>0</v>
      </c>
      <c r="AE75" s="87" t="s">
        <v>776</v>
      </c>
      <c r="AF75" s="111" t="s">
        <v>79</v>
      </c>
      <c r="AG75" s="118"/>
      <c r="AH75" s="119" t="s">
        <v>777</v>
      </c>
      <c r="AI75" s="117" t="s">
        <v>778</v>
      </c>
      <c r="AJ75" s="110" t="s">
        <v>773</v>
      </c>
      <c r="AK75" s="2" t="s">
        <v>779</v>
      </c>
      <c r="AL75" s="2" t="s">
        <v>780</v>
      </c>
      <c r="AM75" s="2">
        <v>9</v>
      </c>
      <c r="AN75" s="48"/>
      <c r="AO75" t="s">
        <v>770</v>
      </c>
      <c r="AP75" s="120"/>
    </row>
    <row r="76" spans="1:42" s="121" customFormat="1" ht="24" x14ac:dyDescent="0.3">
      <c r="A76" s="4">
        <v>73</v>
      </c>
      <c r="B76" s="2" t="s">
        <v>781</v>
      </c>
      <c r="C76" s="2" t="s">
        <v>156</v>
      </c>
      <c r="D76" s="2">
        <v>106.66424809999999</v>
      </c>
      <c r="E76" s="2">
        <v>10.790502399999999</v>
      </c>
      <c r="F76" s="2" t="s">
        <v>782</v>
      </c>
      <c r="G76" s="34" t="s">
        <v>356</v>
      </c>
      <c r="H76" s="27" t="s">
        <v>895</v>
      </c>
      <c r="I76" s="25" t="s">
        <v>895</v>
      </c>
      <c r="J76" s="20" t="s">
        <v>899</v>
      </c>
      <c r="K76" s="20" t="s">
        <v>899</v>
      </c>
      <c r="L76" s="34"/>
      <c r="M76" s="97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1199</v>
      </c>
      <c r="Z76" s="101">
        <v>4000000</v>
      </c>
      <c r="AA76" s="101"/>
      <c r="AB76" s="95">
        <v>6400000</v>
      </c>
      <c r="AC76" s="101">
        <v>0</v>
      </c>
      <c r="AD76" s="154">
        <v>0</v>
      </c>
      <c r="AE76" s="87" t="s">
        <v>776</v>
      </c>
      <c r="AF76" s="111" t="s">
        <v>79</v>
      </c>
      <c r="AG76" s="118"/>
      <c r="AH76" s="119" t="s">
        <v>783</v>
      </c>
      <c r="AI76" s="117" t="s">
        <v>784</v>
      </c>
      <c r="AJ76" s="110" t="s">
        <v>785</v>
      </c>
      <c r="AK76" s="2" t="s">
        <v>786</v>
      </c>
      <c r="AL76" s="2" t="s">
        <v>787</v>
      </c>
      <c r="AM76" s="2">
        <v>6</v>
      </c>
      <c r="AN76" s="48"/>
      <c r="AO76" t="s">
        <v>770</v>
      </c>
      <c r="AP76" s="120"/>
    </row>
    <row r="77" spans="1:42" s="121" customFormat="1" ht="24" x14ac:dyDescent="0.3">
      <c r="A77" s="4">
        <v>74</v>
      </c>
      <c r="B77" s="2" t="s">
        <v>790</v>
      </c>
      <c r="C77" s="2" t="s">
        <v>575</v>
      </c>
      <c r="D77" s="2">
        <v>106.787966</v>
      </c>
      <c r="E77" s="2">
        <v>10.769964999999999</v>
      </c>
      <c r="F77" s="2" t="s">
        <v>789</v>
      </c>
      <c r="G77" s="34" t="s">
        <v>355</v>
      </c>
      <c r="H77" s="27" t="s">
        <v>895</v>
      </c>
      <c r="I77" s="25" t="s">
        <v>895</v>
      </c>
      <c r="J77" s="20">
        <v>45616</v>
      </c>
      <c r="K77" s="20">
        <v>47441</v>
      </c>
      <c r="L77" s="34"/>
      <c r="M77" s="97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1200</v>
      </c>
      <c r="Z77" s="101">
        <v>7000000</v>
      </c>
      <c r="AA77" s="101"/>
      <c r="AB77" s="95">
        <v>11400000</v>
      </c>
      <c r="AC77" s="101">
        <v>0</v>
      </c>
      <c r="AD77" s="154">
        <v>0</v>
      </c>
      <c r="AE77" s="87" t="s">
        <v>776</v>
      </c>
      <c r="AF77" s="111" t="s">
        <v>79</v>
      </c>
      <c r="AG77" s="118"/>
      <c r="AH77" s="119" t="s">
        <v>792</v>
      </c>
      <c r="AI77" s="117" t="s">
        <v>791</v>
      </c>
      <c r="AJ77" s="110" t="s">
        <v>793</v>
      </c>
      <c r="AK77" s="2" t="s">
        <v>788</v>
      </c>
      <c r="AL77" s="2" t="s">
        <v>787</v>
      </c>
      <c r="AM77" s="2">
        <v>9</v>
      </c>
      <c r="AN77" s="48"/>
      <c r="AO77" t="s">
        <v>770</v>
      </c>
      <c r="AP77" s="120"/>
    </row>
    <row r="78" spans="1:42" s="121" customFormat="1" ht="24" x14ac:dyDescent="0.3">
      <c r="A78" s="4">
        <v>75</v>
      </c>
      <c r="B78" s="2" t="s">
        <v>794</v>
      </c>
      <c r="C78" s="2" t="s">
        <v>32</v>
      </c>
      <c r="D78" s="2">
        <v>106.715318</v>
      </c>
      <c r="E78" s="2">
        <v>10.795153000000001</v>
      </c>
      <c r="F78" s="2" t="s">
        <v>804</v>
      </c>
      <c r="G78" s="34" t="s">
        <v>356</v>
      </c>
      <c r="H78" s="27" t="s">
        <v>895</v>
      </c>
      <c r="I78" s="25" t="s">
        <v>895</v>
      </c>
      <c r="J78" s="20">
        <v>45638</v>
      </c>
      <c r="K78" s="20">
        <v>47463</v>
      </c>
      <c r="L78" s="34"/>
      <c r="M78" s="97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1201</v>
      </c>
      <c r="Z78" s="101">
        <v>4000000</v>
      </c>
      <c r="AA78" s="101">
        <v>4400000</v>
      </c>
      <c r="AB78" s="95">
        <v>6400000</v>
      </c>
      <c r="AC78" s="101">
        <v>0</v>
      </c>
      <c r="AD78" s="154">
        <v>0</v>
      </c>
      <c r="AE78" s="87" t="s">
        <v>802</v>
      </c>
      <c r="AF78" s="111" t="s">
        <v>79</v>
      </c>
      <c r="AG78" s="118"/>
      <c r="AH78" s="119" t="s">
        <v>801</v>
      </c>
      <c r="AI78" s="117" t="s">
        <v>861</v>
      </c>
      <c r="AJ78" s="110" t="s">
        <v>699</v>
      </c>
      <c r="AK78" s="2" t="s">
        <v>800</v>
      </c>
      <c r="AL78" s="2"/>
      <c r="AM78" s="2">
        <v>6</v>
      </c>
      <c r="AN78" s="48"/>
      <c r="AO78" t="s">
        <v>770</v>
      </c>
      <c r="AP78" s="120"/>
    </row>
    <row r="79" spans="1:42" s="121" customFormat="1" ht="24" x14ac:dyDescent="0.3">
      <c r="A79" s="4">
        <v>76</v>
      </c>
      <c r="B79" s="2" t="s">
        <v>795</v>
      </c>
      <c r="C79" s="2" t="s">
        <v>156</v>
      </c>
      <c r="D79" s="2">
        <v>106.6566996</v>
      </c>
      <c r="E79" s="2">
        <v>10.793421199999999</v>
      </c>
      <c r="F79" s="2" t="s">
        <v>796</v>
      </c>
      <c r="G79" s="34" t="s">
        <v>356</v>
      </c>
      <c r="H79" s="27" t="s">
        <v>895</v>
      </c>
      <c r="I79" s="25" t="s">
        <v>895</v>
      </c>
      <c r="J79" s="20" t="s">
        <v>899</v>
      </c>
      <c r="K79" s="20" t="s">
        <v>899</v>
      </c>
      <c r="L79" s="34"/>
      <c r="M79" s="97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1202</v>
      </c>
      <c r="Z79" s="101">
        <v>4000000</v>
      </c>
      <c r="AA79" s="101">
        <v>4500000</v>
      </c>
      <c r="AB79" s="95">
        <v>6500000</v>
      </c>
      <c r="AC79" s="101">
        <v>0</v>
      </c>
      <c r="AD79" s="154">
        <v>0</v>
      </c>
      <c r="AE79" s="87" t="s">
        <v>803</v>
      </c>
      <c r="AF79" s="111" t="s">
        <v>79</v>
      </c>
      <c r="AG79" s="118"/>
      <c r="AH79" s="119" t="s">
        <v>797</v>
      </c>
      <c r="AI79" s="117" t="s">
        <v>798</v>
      </c>
      <c r="AJ79" s="110" t="s">
        <v>170</v>
      </c>
      <c r="AK79" s="2" t="s">
        <v>799</v>
      </c>
      <c r="AL79" s="2"/>
      <c r="AM79" s="2">
        <v>6</v>
      </c>
      <c r="AN79" s="48"/>
      <c r="AO79" t="s">
        <v>770</v>
      </c>
      <c r="AP79" s="120"/>
    </row>
    <row r="80" spans="1:42" s="121" customFormat="1" ht="24" x14ac:dyDescent="0.3">
      <c r="A80" s="4">
        <v>77</v>
      </c>
      <c r="B80" s="2" t="s">
        <v>806</v>
      </c>
      <c r="C80" s="2" t="s">
        <v>117</v>
      </c>
      <c r="D80" s="2">
        <v>106.652019</v>
      </c>
      <c r="E80" s="2">
        <v>10.706345000000001</v>
      </c>
      <c r="F80" s="2" t="s">
        <v>807</v>
      </c>
      <c r="G80" s="34" t="s">
        <v>355</v>
      </c>
      <c r="H80" s="27" t="s">
        <v>895</v>
      </c>
      <c r="I80" s="25" t="s">
        <v>895</v>
      </c>
      <c r="J80" s="20">
        <v>45705</v>
      </c>
      <c r="K80" s="20">
        <v>47530</v>
      </c>
      <c r="L80" s="34"/>
      <c r="M80" s="97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1203</v>
      </c>
      <c r="Z80" s="101">
        <v>5000000</v>
      </c>
      <c r="AA80" s="101">
        <v>6500000</v>
      </c>
      <c r="AB80" s="95">
        <v>9300000</v>
      </c>
      <c r="AC80" s="101">
        <v>0</v>
      </c>
      <c r="AD80" s="154">
        <v>0</v>
      </c>
      <c r="AE80" s="87" t="s">
        <v>803</v>
      </c>
      <c r="AF80" s="111" t="s">
        <v>79</v>
      </c>
      <c r="AG80" s="118"/>
      <c r="AH80" s="119" t="s">
        <v>808</v>
      </c>
      <c r="AI80" s="117" t="s">
        <v>809</v>
      </c>
      <c r="AJ80" s="110" t="s">
        <v>153</v>
      </c>
      <c r="AK80" s="2" t="s">
        <v>810</v>
      </c>
      <c r="AL80" s="2"/>
      <c r="AM80" s="2"/>
      <c r="AN80" s="48"/>
      <c r="AO80">
        <v>2025</v>
      </c>
      <c r="AP80" s="120"/>
    </row>
    <row r="81" spans="1:42" s="121" customFormat="1" ht="24" x14ac:dyDescent="0.3">
      <c r="A81" s="4">
        <v>78</v>
      </c>
      <c r="B81" s="2" t="s">
        <v>817</v>
      </c>
      <c r="C81" s="2" t="s">
        <v>66</v>
      </c>
      <c r="D81" s="2" t="s">
        <v>862</v>
      </c>
      <c r="E81" s="2" t="s">
        <v>863</v>
      </c>
      <c r="F81" s="2" t="s">
        <v>475</v>
      </c>
      <c r="G81" s="34" t="s">
        <v>896</v>
      </c>
      <c r="H81" s="27" t="s">
        <v>895</v>
      </c>
      <c r="I81" s="25" t="s">
        <v>895</v>
      </c>
      <c r="J81" s="20" t="s">
        <v>899</v>
      </c>
      <c r="K81" s="20" t="s">
        <v>899</v>
      </c>
      <c r="L81" s="34"/>
      <c r="M81" s="97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1204</v>
      </c>
      <c r="Z81" s="101">
        <v>0</v>
      </c>
      <c r="AA81" s="101"/>
      <c r="AB81" s="95">
        <v>1500000</v>
      </c>
      <c r="AC81" s="101">
        <v>0</v>
      </c>
      <c r="AD81" s="154">
        <v>0</v>
      </c>
      <c r="AE81" s="87"/>
      <c r="AF81" s="119" t="s">
        <v>900</v>
      </c>
      <c r="AG81" s="118"/>
      <c r="AH81" s="119" t="s">
        <v>900</v>
      </c>
      <c r="AI81" s="119" t="s">
        <v>900</v>
      </c>
      <c r="AJ81" s="119" t="s">
        <v>900</v>
      </c>
      <c r="AK81" s="119" t="s">
        <v>900</v>
      </c>
      <c r="AL81" s="2"/>
      <c r="AM81" s="2"/>
      <c r="AN81" s="48"/>
      <c r="AO81">
        <v>2025</v>
      </c>
      <c r="AP81" s="120"/>
    </row>
    <row r="82" spans="1:42" s="121" customFormat="1" ht="24" x14ac:dyDescent="0.3">
      <c r="A82" s="4">
        <v>79</v>
      </c>
      <c r="B82" s="2" t="s">
        <v>818</v>
      </c>
      <c r="C82" s="2" t="s">
        <v>66</v>
      </c>
      <c r="D82" s="2" t="s">
        <v>864</v>
      </c>
      <c r="E82" s="2" t="s">
        <v>863</v>
      </c>
      <c r="F82" s="2" t="s">
        <v>475</v>
      </c>
      <c r="G82" s="34" t="s">
        <v>896</v>
      </c>
      <c r="H82" s="27" t="s">
        <v>895</v>
      </c>
      <c r="I82" s="25" t="s">
        <v>895</v>
      </c>
      <c r="J82" s="20" t="s">
        <v>899</v>
      </c>
      <c r="K82" s="20" t="s">
        <v>899</v>
      </c>
      <c r="L82" s="34"/>
      <c r="M82" s="97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1204</v>
      </c>
      <c r="Z82" s="101">
        <v>0</v>
      </c>
      <c r="AA82" s="101"/>
      <c r="AB82" s="95">
        <v>1500000</v>
      </c>
      <c r="AC82" s="101">
        <v>0</v>
      </c>
      <c r="AD82" s="154">
        <v>0</v>
      </c>
      <c r="AE82" s="87"/>
      <c r="AF82" s="119" t="s">
        <v>900</v>
      </c>
      <c r="AG82" s="118"/>
      <c r="AH82" s="119" t="s">
        <v>900</v>
      </c>
      <c r="AI82" s="119" t="s">
        <v>900</v>
      </c>
      <c r="AJ82" s="119" t="s">
        <v>900</v>
      </c>
      <c r="AK82" s="119" t="s">
        <v>900</v>
      </c>
      <c r="AL82" s="2"/>
      <c r="AM82" s="2"/>
      <c r="AN82" s="48"/>
      <c r="AO82">
        <v>2025</v>
      </c>
      <c r="AP82" s="120"/>
    </row>
    <row r="83" spans="1:42" s="121" customFormat="1" ht="24" x14ac:dyDescent="0.3">
      <c r="A83" s="4">
        <v>80</v>
      </c>
      <c r="B83" s="2" t="s">
        <v>819</v>
      </c>
      <c r="C83" s="2" t="s">
        <v>66</v>
      </c>
      <c r="D83" s="2" t="s">
        <v>865</v>
      </c>
      <c r="E83" s="2" t="s">
        <v>866</v>
      </c>
      <c r="F83" s="2" t="s">
        <v>475</v>
      </c>
      <c r="G83" s="34" t="s">
        <v>896</v>
      </c>
      <c r="H83" s="27" t="s">
        <v>895</v>
      </c>
      <c r="I83" s="25" t="s">
        <v>895</v>
      </c>
      <c r="J83" s="20" t="s">
        <v>899</v>
      </c>
      <c r="K83" s="20" t="s">
        <v>899</v>
      </c>
      <c r="L83" s="34"/>
      <c r="M83" s="97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1204</v>
      </c>
      <c r="Z83" s="101">
        <v>0</v>
      </c>
      <c r="AA83" s="101"/>
      <c r="AB83" s="95">
        <v>1500000</v>
      </c>
      <c r="AC83" s="101">
        <v>0</v>
      </c>
      <c r="AD83" s="154">
        <v>0</v>
      </c>
      <c r="AE83" s="87"/>
      <c r="AF83" s="119" t="s">
        <v>900</v>
      </c>
      <c r="AG83" s="118"/>
      <c r="AH83" s="119" t="s">
        <v>900</v>
      </c>
      <c r="AI83" s="119" t="s">
        <v>900</v>
      </c>
      <c r="AJ83" s="119" t="s">
        <v>900</v>
      </c>
      <c r="AK83" s="119" t="s">
        <v>900</v>
      </c>
      <c r="AL83" s="2"/>
      <c r="AM83" s="2"/>
      <c r="AN83" s="48"/>
      <c r="AO83">
        <v>2025</v>
      </c>
      <c r="AP83" s="120"/>
    </row>
    <row r="84" spans="1:42" s="121" customFormat="1" ht="24" x14ac:dyDescent="0.3">
      <c r="A84" s="4">
        <v>81</v>
      </c>
      <c r="B84" s="2" t="s">
        <v>820</v>
      </c>
      <c r="C84" s="2" t="s">
        <v>66</v>
      </c>
      <c r="D84" s="2" t="s">
        <v>867</v>
      </c>
      <c r="E84" s="2" t="s">
        <v>868</v>
      </c>
      <c r="F84" s="2" t="s">
        <v>475</v>
      </c>
      <c r="G84" s="34" t="s">
        <v>896</v>
      </c>
      <c r="H84" s="27" t="s">
        <v>895</v>
      </c>
      <c r="I84" s="25" t="s">
        <v>895</v>
      </c>
      <c r="J84" s="20" t="s">
        <v>899</v>
      </c>
      <c r="K84" s="20" t="s">
        <v>899</v>
      </c>
      <c r="L84" s="34"/>
      <c r="M84" s="97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1204</v>
      </c>
      <c r="Z84" s="101">
        <v>0</v>
      </c>
      <c r="AA84" s="101"/>
      <c r="AB84" s="95">
        <v>1500000</v>
      </c>
      <c r="AC84" s="101">
        <v>0</v>
      </c>
      <c r="AD84" s="154">
        <v>0</v>
      </c>
      <c r="AE84" s="87"/>
      <c r="AF84" s="119" t="s">
        <v>900</v>
      </c>
      <c r="AG84" s="118"/>
      <c r="AH84" s="119" t="s">
        <v>900</v>
      </c>
      <c r="AI84" s="119" t="s">
        <v>900</v>
      </c>
      <c r="AJ84" s="119" t="s">
        <v>900</v>
      </c>
      <c r="AK84" s="119" t="s">
        <v>900</v>
      </c>
      <c r="AL84" s="2"/>
      <c r="AM84" s="2"/>
      <c r="AN84" s="48"/>
      <c r="AO84">
        <v>2025</v>
      </c>
      <c r="AP84" s="120"/>
    </row>
    <row r="85" spans="1:42" s="121" customFormat="1" ht="24" x14ac:dyDescent="0.3">
      <c r="A85" s="4">
        <v>82</v>
      </c>
      <c r="B85" s="2" t="s">
        <v>821</v>
      </c>
      <c r="C85" s="2" t="s">
        <v>66</v>
      </c>
      <c r="D85" s="2" t="s">
        <v>869</v>
      </c>
      <c r="E85" s="2" t="s">
        <v>870</v>
      </c>
      <c r="F85" s="2" t="s">
        <v>475</v>
      </c>
      <c r="G85" s="34" t="s">
        <v>896</v>
      </c>
      <c r="H85" s="27" t="s">
        <v>895</v>
      </c>
      <c r="I85" s="25" t="s">
        <v>895</v>
      </c>
      <c r="J85" s="20" t="s">
        <v>899</v>
      </c>
      <c r="K85" s="20" t="s">
        <v>899</v>
      </c>
      <c r="L85" s="34"/>
      <c r="M85" s="97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1204</v>
      </c>
      <c r="Z85" s="101">
        <v>0</v>
      </c>
      <c r="AA85" s="101"/>
      <c r="AB85" s="95">
        <v>1500000</v>
      </c>
      <c r="AC85" s="101">
        <v>0</v>
      </c>
      <c r="AD85" s="154">
        <v>0</v>
      </c>
      <c r="AE85" s="87"/>
      <c r="AF85" s="119" t="s">
        <v>900</v>
      </c>
      <c r="AG85" s="118"/>
      <c r="AH85" s="119" t="s">
        <v>900</v>
      </c>
      <c r="AI85" s="119" t="s">
        <v>900</v>
      </c>
      <c r="AJ85" s="119" t="s">
        <v>900</v>
      </c>
      <c r="AK85" s="119" t="s">
        <v>900</v>
      </c>
      <c r="AL85" s="2"/>
      <c r="AM85" s="2"/>
      <c r="AN85" s="48"/>
      <c r="AO85">
        <v>2025</v>
      </c>
      <c r="AP85" s="120"/>
    </row>
    <row r="86" spans="1:42" s="121" customFormat="1" ht="24" x14ac:dyDescent="0.3">
      <c r="A86" s="4">
        <v>83</v>
      </c>
      <c r="B86" s="2" t="s">
        <v>822</v>
      </c>
      <c r="C86" s="2" t="s">
        <v>66</v>
      </c>
      <c r="D86" s="2" t="s">
        <v>871</v>
      </c>
      <c r="E86" s="2" t="s">
        <v>872</v>
      </c>
      <c r="F86" s="2" t="s">
        <v>475</v>
      </c>
      <c r="G86" s="34" t="s">
        <v>896</v>
      </c>
      <c r="H86" s="27" t="s">
        <v>895</v>
      </c>
      <c r="I86" s="25" t="s">
        <v>895</v>
      </c>
      <c r="J86" s="20" t="s">
        <v>899</v>
      </c>
      <c r="K86" s="20" t="s">
        <v>899</v>
      </c>
      <c r="L86" s="34"/>
      <c r="M86" s="97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1204</v>
      </c>
      <c r="Z86" s="101">
        <v>0</v>
      </c>
      <c r="AA86" s="101"/>
      <c r="AB86" s="95">
        <v>1500000</v>
      </c>
      <c r="AC86" s="101">
        <v>0</v>
      </c>
      <c r="AD86" s="154">
        <v>0</v>
      </c>
      <c r="AE86" s="87"/>
      <c r="AF86" s="119" t="s">
        <v>900</v>
      </c>
      <c r="AG86" s="118"/>
      <c r="AH86" s="119" t="s">
        <v>900</v>
      </c>
      <c r="AI86" s="119" t="s">
        <v>900</v>
      </c>
      <c r="AJ86" s="119" t="s">
        <v>900</v>
      </c>
      <c r="AK86" s="119" t="s">
        <v>900</v>
      </c>
      <c r="AL86" s="2"/>
      <c r="AM86" s="2"/>
      <c r="AN86" s="48"/>
      <c r="AO86">
        <v>2025</v>
      </c>
      <c r="AP86" s="120"/>
    </row>
    <row r="87" spans="1:42" s="121" customFormat="1" ht="24" x14ac:dyDescent="0.3">
      <c r="A87" s="4">
        <v>84</v>
      </c>
      <c r="B87" s="2" t="s">
        <v>823</v>
      </c>
      <c r="C87" s="2" t="s">
        <v>66</v>
      </c>
      <c r="D87" s="2" t="s">
        <v>873</v>
      </c>
      <c r="E87" s="2" t="s">
        <v>874</v>
      </c>
      <c r="F87" s="2" t="s">
        <v>475</v>
      </c>
      <c r="G87" s="34" t="s">
        <v>896</v>
      </c>
      <c r="H87" s="27" t="s">
        <v>895</v>
      </c>
      <c r="I87" s="25" t="s">
        <v>895</v>
      </c>
      <c r="J87" s="20" t="s">
        <v>899</v>
      </c>
      <c r="K87" s="20" t="s">
        <v>899</v>
      </c>
      <c r="L87" s="34"/>
      <c r="M87" s="97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1204</v>
      </c>
      <c r="Z87" s="101">
        <v>0</v>
      </c>
      <c r="AA87" s="101"/>
      <c r="AB87" s="95">
        <v>1500000</v>
      </c>
      <c r="AC87" s="101">
        <v>0</v>
      </c>
      <c r="AD87" s="154">
        <v>0</v>
      </c>
      <c r="AE87" s="87"/>
      <c r="AF87" s="119" t="s">
        <v>900</v>
      </c>
      <c r="AG87" s="118"/>
      <c r="AH87" s="119" t="s">
        <v>900</v>
      </c>
      <c r="AI87" s="119" t="s">
        <v>900</v>
      </c>
      <c r="AJ87" s="119" t="s">
        <v>900</v>
      </c>
      <c r="AK87" s="119" t="s">
        <v>900</v>
      </c>
      <c r="AL87" s="2"/>
      <c r="AM87" s="2"/>
      <c r="AN87" s="48"/>
      <c r="AO87">
        <v>2025</v>
      </c>
      <c r="AP87" s="120"/>
    </row>
    <row r="88" spans="1:42" s="121" customFormat="1" ht="24" x14ac:dyDescent="0.3">
      <c r="A88" s="4">
        <v>85</v>
      </c>
      <c r="B88" s="2" t="s">
        <v>824</v>
      </c>
      <c r="C88" s="2" t="s">
        <v>66</v>
      </c>
      <c r="D88" s="2" t="s">
        <v>875</v>
      </c>
      <c r="E88" s="2" t="s">
        <v>876</v>
      </c>
      <c r="F88" s="2" t="s">
        <v>475</v>
      </c>
      <c r="G88" s="34" t="s">
        <v>896</v>
      </c>
      <c r="H88" s="27" t="s">
        <v>895</v>
      </c>
      <c r="I88" s="25" t="s">
        <v>895</v>
      </c>
      <c r="J88" s="20" t="s">
        <v>899</v>
      </c>
      <c r="K88" s="20" t="s">
        <v>899</v>
      </c>
      <c r="L88" s="34"/>
      <c r="M88" s="97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1204</v>
      </c>
      <c r="Z88" s="101">
        <v>0</v>
      </c>
      <c r="AA88" s="101"/>
      <c r="AB88" s="95">
        <v>1500000</v>
      </c>
      <c r="AC88" s="101">
        <v>0</v>
      </c>
      <c r="AD88" s="154">
        <v>0</v>
      </c>
      <c r="AE88" s="87"/>
      <c r="AF88" s="119" t="s">
        <v>900</v>
      </c>
      <c r="AG88" s="118"/>
      <c r="AH88" s="119" t="s">
        <v>900</v>
      </c>
      <c r="AI88" s="119" t="s">
        <v>900</v>
      </c>
      <c r="AJ88" s="119" t="s">
        <v>900</v>
      </c>
      <c r="AK88" s="119" t="s">
        <v>900</v>
      </c>
      <c r="AL88" s="2"/>
      <c r="AM88" s="2"/>
      <c r="AN88" s="48"/>
      <c r="AO88">
        <v>2025</v>
      </c>
      <c r="AP88" s="120"/>
    </row>
    <row r="89" spans="1:42" s="121" customFormat="1" x14ac:dyDescent="0.3">
      <c r="A89" s="4">
        <v>86</v>
      </c>
      <c r="B89" s="2" t="s">
        <v>825</v>
      </c>
      <c r="C89" s="2" t="s">
        <v>66</v>
      </c>
      <c r="D89" s="2" t="s">
        <v>877</v>
      </c>
      <c r="E89" s="2" t="s">
        <v>878</v>
      </c>
      <c r="F89" s="2" t="s">
        <v>829</v>
      </c>
      <c r="G89" s="34" t="s">
        <v>896</v>
      </c>
      <c r="H89" s="27" t="s">
        <v>895</v>
      </c>
      <c r="I89" s="25" t="s">
        <v>895</v>
      </c>
      <c r="J89" s="20" t="s">
        <v>899</v>
      </c>
      <c r="K89" s="20" t="s">
        <v>899</v>
      </c>
      <c r="L89" s="34"/>
      <c r="M89" s="97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1205</v>
      </c>
      <c r="Z89" s="101" t="s">
        <v>833</v>
      </c>
      <c r="AA89" s="101"/>
      <c r="AB89" s="95">
        <v>2200000</v>
      </c>
      <c r="AC89" s="101">
        <v>0</v>
      </c>
      <c r="AD89" s="154">
        <v>0</v>
      </c>
      <c r="AE89" s="87"/>
      <c r="AF89" s="119" t="s">
        <v>915</v>
      </c>
      <c r="AG89" s="118"/>
      <c r="AH89" s="119" t="s">
        <v>900</v>
      </c>
      <c r="AI89" s="119" t="s">
        <v>900</v>
      </c>
      <c r="AJ89" s="119" t="s">
        <v>900</v>
      </c>
      <c r="AK89" s="119" t="s">
        <v>900</v>
      </c>
      <c r="AL89" s="2"/>
      <c r="AM89" s="2"/>
      <c r="AN89" s="48"/>
      <c r="AO89">
        <v>2025</v>
      </c>
      <c r="AP89" s="120"/>
    </row>
    <row r="90" spans="1:42" s="121" customFormat="1" x14ac:dyDescent="0.3">
      <c r="A90" s="4">
        <v>87</v>
      </c>
      <c r="B90" s="2" t="s">
        <v>826</v>
      </c>
      <c r="C90" s="2" t="s">
        <v>66</v>
      </c>
      <c r="D90" s="2" t="s">
        <v>879</v>
      </c>
      <c r="E90" s="2" t="s">
        <v>880</v>
      </c>
      <c r="F90" s="2" t="s">
        <v>830</v>
      </c>
      <c r="G90" s="34" t="s">
        <v>896</v>
      </c>
      <c r="H90" s="27" t="s">
        <v>895</v>
      </c>
      <c r="I90" s="25" t="s">
        <v>895</v>
      </c>
      <c r="J90" s="20" t="s">
        <v>899</v>
      </c>
      <c r="K90" s="20" t="s">
        <v>899</v>
      </c>
      <c r="L90" s="34"/>
      <c r="M90" s="97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1205</v>
      </c>
      <c r="Z90" s="101" t="s">
        <v>833</v>
      </c>
      <c r="AA90" s="101"/>
      <c r="AB90" s="95">
        <v>2200000</v>
      </c>
      <c r="AC90" s="101">
        <v>0</v>
      </c>
      <c r="AD90" s="154">
        <v>0</v>
      </c>
      <c r="AE90" s="87"/>
      <c r="AF90" s="119" t="s">
        <v>915</v>
      </c>
      <c r="AG90" s="118"/>
      <c r="AH90" s="119" t="s">
        <v>900</v>
      </c>
      <c r="AI90" s="119" t="s">
        <v>900</v>
      </c>
      <c r="AJ90" s="119" t="s">
        <v>900</v>
      </c>
      <c r="AK90" s="119" t="s">
        <v>900</v>
      </c>
      <c r="AL90" s="2"/>
      <c r="AM90" s="2"/>
      <c r="AN90" s="48"/>
      <c r="AO90">
        <v>2025</v>
      </c>
      <c r="AP90" s="120"/>
    </row>
    <row r="91" spans="1:42" s="121" customFormat="1" x14ac:dyDescent="0.3">
      <c r="A91" s="4">
        <v>88</v>
      </c>
      <c r="B91" s="2" t="s">
        <v>827</v>
      </c>
      <c r="C91" s="2" t="s">
        <v>66</v>
      </c>
      <c r="D91" s="2" t="s">
        <v>881</v>
      </c>
      <c r="E91" s="2" t="s">
        <v>882</v>
      </c>
      <c r="F91" s="2" t="s">
        <v>831</v>
      </c>
      <c r="G91" s="34" t="s">
        <v>896</v>
      </c>
      <c r="H91" s="27" t="s">
        <v>895</v>
      </c>
      <c r="I91" s="25" t="s">
        <v>895</v>
      </c>
      <c r="J91" s="20" t="s">
        <v>899</v>
      </c>
      <c r="K91" s="20" t="s">
        <v>899</v>
      </c>
      <c r="L91" s="34"/>
      <c r="M91" s="97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1205</v>
      </c>
      <c r="Z91" s="101" t="s">
        <v>833</v>
      </c>
      <c r="AA91" s="101"/>
      <c r="AB91" s="95">
        <v>2200000</v>
      </c>
      <c r="AC91" s="101">
        <v>0</v>
      </c>
      <c r="AD91" s="154">
        <v>0</v>
      </c>
      <c r="AE91" s="87"/>
      <c r="AF91" s="119" t="s">
        <v>915</v>
      </c>
      <c r="AG91" s="118"/>
      <c r="AH91" s="119" t="s">
        <v>900</v>
      </c>
      <c r="AI91" s="119" t="s">
        <v>900</v>
      </c>
      <c r="AJ91" s="119" t="s">
        <v>900</v>
      </c>
      <c r="AK91" s="119" t="s">
        <v>900</v>
      </c>
      <c r="AL91" s="2"/>
      <c r="AM91" s="2"/>
      <c r="AN91" s="48"/>
      <c r="AO91">
        <v>2025</v>
      </c>
      <c r="AP91" s="120"/>
    </row>
    <row r="92" spans="1:42" s="121" customFormat="1" x14ac:dyDescent="0.3">
      <c r="A92" s="4">
        <v>89</v>
      </c>
      <c r="B92" s="2" t="s">
        <v>828</v>
      </c>
      <c r="C92" s="2" t="s">
        <v>66</v>
      </c>
      <c r="D92" s="2" t="s">
        <v>883</v>
      </c>
      <c r="E92" s="2" t="s">
        <v>884</v>
      </c>
      <c r="F92" s="2" t="s">
        <v>832</v>
      </c>
      <c r="G92" s="34" t="s">
        <v>896</v>
      </c>
      <c r="H92" s="27" t="s">
        <v>895</v>
      </c>
      <c r="I92" s="25" t="s">
        <v>895</v>
      </c>
      <c r="J92" s="20" t="s">
        <v>899</v>
      </c>
      <c r="K92" s="20" t="s">
        <v>899</v>
      </c>
      <c r="L92" s="34"/>
      <c r="M92" s="97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1205</v>
      </c>
      <c r="Z92" s="101" t="s">
        <v>833</v>
      </c>
      <c r="AA92" s="101"/>
      <c r="AB92" s="95">
        <v>2200000</v>
      </c>
      <c r="AC92" s="101">
        <v>0</v>
      </c>
      <c r="AD92" s="154">
        <v>0</v>
      </c>
      <c r="AE92" s="87"/>
      <c r="AF92" s="119" t="s">
        <v>915</v>
      </c>
      <c r="AG92" s="118"/>
      <c r="AH92" s="119" t="s">
        <v>900</v>
      </c>
      <c r="AI92" s="119" t="s">
        <v>900</v>
      </c>
      <c r="AJ92" s="119" t="s">
        <v>900</v>
      </c>
      <c r="AK92" s="119" t="s">
        <v>900</v>
      </c>
      <c r="AL92" s="2"/>
      <c r="AM92" s="2"/>
      <c r="AN92" s="48"/>
      <c r="AO92">
        <v>2025</v>
      </c>
      <c r="AP92" s="120"/>
    </row>
    <row r="93" spans="1:42" s="121" customFormat="1" ht="24" x14ac:dyDescent="0.3">
      <c r="A93" s="4">
        <v>90</v>
      </c>
      <c r="B93" s="2" t="s">
        <v>834</v>
      </c>
      <c r="C93" s="2" t="s">
        <v>15</v>
      </c>
      <c r="D93" s="2">
        <v>106.597342</v>
      </c>
      <c r="E93" s="2">
        <v>10.860189999999999</v>
      </c>
      <c r="F93" s="2" t="s">
        <v>835</v>
      </c>
      <c r="G93" s="34" t="s">
        <v>355</v>
      </c>
      <c r="H93" s="27" t="s">
        <v>895</v>
      </c>
      <c r="I93" s="25" t="s">
        <v>895</v>
      </c>
      <c r="J93" s="20">
        <v>45813</v>
      </c>
      <c r="K93" s="20">
        <v>47638</v>
      </c>
      <c r="L93" s="34"/>
      <c r="M93" s="97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911</v>
      </c>
      <c r="Z93" s="101">
        <v>5000000</v>
      </c>
      <c r="AA93" s="101">
        <v>6000000</v>
      </c>
      <c r="AB93" s="95">
        <v>9100000</v>
      </c>
      <c r="AC93" s="101">
        <v>0</v>
      </c>
      <c r="AD93" s="154">
        <v>0</v>
      </c>
      <c r="AE93" s="87">
        <v>45857</v>
      </c>
      <c r="AF93" s="111" t="s">
        <v>79</v>
      </c>
      <c r="AG93" s="118"/>
      <c r="AH93" s="119" t="s">
        <v>842</v>
      </c>
      <c r="AI93" s="117" t="s">
        <v>841</v>
      </c>
      <c r="AJ93" s="110" t="s">
        <v>153</v>
      </c>
      <c r="AK93" s="2" t="s">
        <v>843</v>
      </c>
      <c r="AL93" s="2"/>
      <c r="AM93" s="2">
        <v>9</v>
      </c>
      <c r="AN93" s="48"/>
      <c r="AO93">
        <v>2025</v>
      </c>
      <c r="AP93" s="120"/>
    </row>
    <row r="94" spans="1:42" s="121" customFormat="1" ht="33" customHeight="1" x14ac:dyDescent="0.3">
      <c r="A94" s="4">
        <v>91</v>
      </c>
      <c r="B94" s="2" t="s">
        <v>836</v>
      </c>
      <c r="C94" s="2" t="s">
        <v>229</v>
      </c>
      <c r="D94" s="2">
        <v>106.608164</v>
      </c>
      <c r="E94" s="2">
        <v>10.803616</v>
      </c>
      <c r="F94" s="2" t="s">
        <v>850</v>
      </c>
      <c r="G94" s="34" t="s">
        <v>355</v>
      </c>
      <c r="H94" s="27" t="s">
        <v>895</v>
      </c>
      <c r="I94" s="25" t="s">
        <v>895</v>
      </c>
      <c r="J94" s="20">
        <v>45809</v>
      </c>
      <c r="K94" s="20">
        <v>47634</v>
      </c>
      <c r="L94" s="34"/>
      <c r="M94" s="97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1206</v>
      </c>
      <c r="Z94" s="101">
        <v>5000000</v>
      </c>
      <c r="AA94" s="101"/>
      <c r="AB94" s="95">
        <v>9900000</v>
      </c>
      <c r="AC94" s="101">
        <v>0</v>
      </c>
      <c r="AD94" s="154">
        <v>0</v>
      </c>
      <c r="AE94" s="87">
        <v>45870</v>
      </c>
      <c r="AF94" s="111" t="s">
        <v>79</v>
      </c>
      <c r="AG94" s="118"/>
      <c r="AH94" s="119" t="s">
        <v>852</v>
      </c>
      <c r="AI94" s="117" t="s">
        <v>851</v>
      </c>
      <c r="AJ94" s="110" t="s">
        <v>853</v>
      </c>
      <c r="AK94" s="2" t="s">
        <v>849</v>
      </c>
      <c r="AL94" s="2"/>
      <c r="AM94" s="2">
        <v>9</v>
      </c>
      <c r="AN94" s="48"/>
      <c r="AO94">
        <v>2025</v>
      </c>
      <c r="AP94" s="120"/>
    </row>
    <row r="95" spans="1:42" s="121" customFormat="1" ht="34.799999999999997" customHeight="1" x14ac:dyDescent="0.3">
      <c r="A95" s="4">
        <v>92</v>
      </c>
      <c r="B95" s="2" t="s">
        <v>838</v>
      </c>
      <c r="C95" s="2" t="s">
        <v>290</v>
      </c>
      <c r="D95" s="2">
        <v>106.6436025</v>
      </c>
      <c r="E95" s="2">
        <v>10.869358</v>
      </c>
      <c r="F95" s="2" t="s">
        <v>845</v>
      </c>
      <c r="G95" s="34" t="s">
        <v>356</v>
      </c>
      <c r="H95" s="27" t="s">
        <v>895</v>
      </c>
      <c r="I95" s="25" t="s">
        <v>895</v>
      </c>
      <c r="J95" s="20">
        <v>45785</v>
      </c>
      <c r="K95" s="20">
        <v>47610</v>
      </c>
      <c r="L95" s="34"/>
      <c r="M95" s="97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1207</v>
      </c>
      <c r="Z95" s="101">
        <v>4000000</v>
      </c>
      <c r="AA95" s="101"/>
      <c r="AB95" s="95">
        <v>6250000</v>
      </c>
      <c r="AC95" s="101">
        <v>0</v>
      </c>
      <c r="AD95" s="154">
        <v>0</v>
      </c>
      <c r="AE95" s="87">
        <v>45846</v>
      </c>
      <c r="AF95" s="111" t="s">
        <v>79</v>
      </c>
      <c r="AG95" s="118"/>
      <c r="AH95" s="119" t="s">
        <v>847</v>
      </c>
      <c r="AI95" s="119" t="s">
        <v>846</v>
      </c>
      <c r="AJ95" s="110" t="s">
        <v>848</v>
      </c>
      <c r="AK95" s="2" t="s">
        <v>844</v>
      </c>
      <c r="AL95" s="2"/>
      <c r="AM95" s="2">
        <v>6</v>
      </c>
      <c r="AN95" s="48"/>
      <c r="AO95">
        <v>2025</v>
      </c>
      <c r="AP95" s="120"/>
    </row>
    <row r="96" spans="1:42" s="121" customFormat="1" ht="34.799999999999997" customHeight="1" x14ac:dyDescent="0.3">
      <c r="A96" s="4">
        <v>93</v>
      </c>
      <c r="B96" s="2" t="s">
        <v>976</v>
      </c>
      <c r="C96" s="2" t="s">
        <v>66</v>
      </c>
      <c r="D96" s="2">
        <v>106.683274</v>
      </c>
      <c r="E96" s="2">
        <v>10.837393199999999</v>
      </c>
      <c r="F96" s="2" t="s">
        <v>839</v>
      </c>
      <c r="G96" s="34" t="s">
        <v>356</v>
      </c>
      <c r="H96" s="27" t="s">
        <v>895</v>
      </c>
      <c r="I96" s="25" t="s">
        <v>895</v>
      </c>
      <c r="J96" s="20">
        <v>45804</v>
      </c>
      <c r="K96" s="20">
        <v>47629</v>
      </c>
      <c r="L96" s="34"/>
      <c r="M96" s="97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1208</v>
      </c>
      <c r="Z96" s="101">
        <v>4000000</v>
      </c>
      <c r="AA96" s="101"/>
      <c r="AB96" s="95">
        <v>6400000</v>
      </c>
      <c r="AC96" s="101">
        <v>0</v>
      </c>
      <c r="AD96" s="154">
        <v>0</v>
      </c>
      <c r="AE96" s="87">
        <v>45804</v>
      </c>
      <c r="AF96" s="111" t="s">
        <v>79</v>
      </c>
      <c r="AG96" s="118"/>
      <c r="AH96" s="119" t="s">
        <v>815</v>
      </c>
      <c r="AI96" s="119" t="s">
        <v>814</v>
      </c>
      <c r="AJ96" s="110" t="s">
        <v>840</v>
      </c>
      <c r="AK96" s="2" t="s">
        <v>816</v>
      </c>
      <c r="AL96" s="2"/>
      <c r="AM96" s="2">
        <v>6</v>
      </c>
      <c r="AN96" s="48"/>
      <c r="AO96">
        <v>2025</v>
      </c>
      <c r="AP96" s="120"/>
    </row>
    <row r="97" spans="1:42" s="121" customFormat="1" ht="34.799999999999997" customHeight="1" x14ac:dyDescent="0.3">
      <c r="A97" s="4">
        <v>94</v>
      </c>
      <c r="B97" s="2" t="s">
        <v>811</v>
      </c>
      <c r="C97" s="2" t="s">
        <v>117</v>
      </c>
      <c r="D97" s="2">
        <v>106.518545</v>
      </c>
      <c r="E97" s="2">
        <v>10.738443</v>
      </c>
      <c r="F97" s="2" t="s">
        <v>854</v>
      </c>
      <c r="G97" s="34" t="s">
        <v>355</v>
      </c>
      <c r="H97" s="34" t="s">
        <v>1230</v>
      </c>
      <c r="I97" s="25" t="s">
        <v>895</v>
      </c>
      <c r="J97" s="20">
        <v>45738</v>
      </c>
      <c r="K97" s="20">
        <v>47563</v>
      </c>
      <c r="L97" s="34"/>
      <c r="M97" s="97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1209</v>
      </c>
      <c r="Z97" s="101">
        <v>3000000</v>
      </c>
      <c r="AA97" s="101"/>
      <c r="AB97" s="95">
        <v>13400000</v>
      </c>
      <c r="AC97" s="101">
        <v>0</v>
      </c>
      <c r="AD97" s="154">
        <v>0</v>
      </c>
      <c r="AE97" s="87">
        <v>45799</v>
      </c>
      <c r="AF97" s="111" t="s">
        <v>79</v>
      </c>
      <c r="AG97" s="118">
        <f>EDATE(AE97,6)</f>
        <v>45983</v>
      </c>
      <c r="AH97" s="119" t="s">
        <v>812</v>
      </c>
      <c r="AI97" s="119" t="s">
        <v>813</v>
      </c>
      <c r="AJ97" s="110" t="s">
        <v>170</v>
      </c>
      <c r="AK97" s="2" t="s">
        <v>855</v>
      </c>
      <c r="AL97" s="2">
        <v>0</v>
      </c>
      <c r="AM97" s="2">
        <v>30</v>
      </c>
      <c r="AN97" s="48"/>
      <c r="AO97">
        <v>2025</v>
      </c>
      <c r="AP97" s="120"/>
    </row>
    <row r="98" spans="1:42" s="121" customFormat="1" ht="24" x14ac:dyDescent="0.3">
      <c r="A98" s="4">
        <v>95</v>
      </c>
      <c r="B98" s="2" t="s">
        <v>837</v>
      </c>
      <c r="C98" s="2" t="s">
        <v>581</v>
      </c>
      <c r="D98" s="2">
        <v>106.6705798</v>
      </c>
      <c r="E98" s="2">
        <v>10.763659000000001</v>
      </c>
      <c r="F98" s="2" t="s">
        <v>856</v>
      </c>
      <c r="G98" s="34" t="s">
        <v>356</v>
      </c>
      <c r="H98" s="27" t="s">
        <v>895</v>
      </c>
      <c r="I98" s="25" t="s">
        <v>895</v>
      </c>
      <c r="J98" s="20">
        <v>45823</v>
      </c>
      <c r="K98" s="20">
        <v>47648</v>
      </c>
      <c r="L98" s="34"/>
      <c r="M98" s="97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1210</v>
      </c>
      <c r="Z98" s="101">
        <v>5000000</v>
      </c>
      <c r="AA98" s="101"/>
      <c r="AB98" s="95">
        <v>6400000</v>
      </c>
      <c r="AC98" s="101">
        <v>0</v>
      </c>
      <c r="AD98" s="154">
        <v>0</v>
      </c>
      <c r="AE98" s="87"/>
      <c r="AF98" s="111" t="s">
        <v>79</v>
      </c>
      <c r="AG98" s="118"/>
      <c r="AH98" s="119" t="s">
        <v>859</v>
      </c>
      <c r="AI98" s="117" t="s">
        <v>857</v>
      </c>
      <c r="AJ98" s="110" t="s">
        <v>858</v>
      </c>
      <c r="AK98" s="2" t="s">
        <v>860</v>
      </c>
      <c r="AL98" s="2">
        <v>18</v>
      </c>
      <c r="AM98" s="2">
        <v>6</v>
      </c>
      <c r="AN98" s="48"/>
      <c r="AO98">
        <v>2025</v>
      </c>
      <c r="AP98" s="120"/>
    </row>
    <row r="99" spans="1:42" s="121" customFormat="1" ht="36" x14ac:dyDescent="0.3">
      <c r="A99" s="4">
        <v>96</v>
      </c>
      <c r="B99" s="2" t="s">
        <v>885</v>
      </c>
      <c r="C99" s="2" t="s">
        <v>66</v>
      </c>
      <c r="D99" s="2">
        <v>106.6493112</v>
      </c>
      <c r="E99" s="2">
        <v>10.8455811</v>
      </c>
      <c r="F99" s="2" t="s">
        <v>889</v>
      </c>
      <c r="G99" s="34" t="s">
        <v>356</v>
      </c>
      <c r="H99" s="27" t="s">
        <v>895</v>
      </c>
      <c r="I99" s="25" t="s">
        <v>895</v>
      </c>
      <c r="J99" s="20">
        <v>45850</v>
      </c>
      <c r="K99" s="20">
        <v>47675</v>
      </c>
      <c r="L99" s="34"/>
      <c r="M99" s="97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1211</v>
      </c>
      <c r="Z99" s="101">
        <v>4000000</v>
      </c>
      <c r="AA99" s="101"/>
      <c r="AB99" s="95">
        <v>6500000</v>
      </c>
      <c r="AC99" s="101">
        <v>0</v>
      </c>
      <c r="AD99" s="101">
        <v>0</v>
      </c>
      <c r="AE99" s="87">
        <v>45905</v>
      </c>
      <c r="AF99" s="111" t="s">
        <v>79</v>
      </c>
      <c r="AG99" s="118"/>
      <c r="AH99" s="42" t="s">
        <v>887</v>
      </c>
      <c r="AI99" s="152" t="s">
        <v>886</v>
      </c>
      <c r="AJ99" s="41" t="s">
        <v>693</v>
      </c>
      <c r="AK99" s="2" t="s">
        <v>888</v>
      </c>
      <c r="AL99" s="2"/>
      <c r="AM99" s="2"/>
      <c r="AN99" s="48"/>
      <c r="AO99">
        <v>2025</v>
      </c>
      <c r="AP99" s="120"/>
    </row>
    <row r="100" spans="1:42" s="121" customFormat="1" ht="36" x14ac:dyDescent="0.3">
      <c r="A100" s="4">
        <v>97</v>
      </c>
      <c r="B100" s="2" t="s">
        <v>892</v>
      </c>
      <c r="C100" s="2" t="s">
        <v>66</v>
      </c>
      <c r="D100" s="2">
        <v>106.688222</v>
      </c>
      <c r="E100" s="2">
        <v>10.824833</v>
      </c>
      <c r="F100" s="2" t="s">
        <v>890</v>
      </c>
      <c r="G100" s="34" t="s">
        <v>355</v>
      </c>
      <c r="H100" s="27" t="s">
        <v>895</v>
      </c>
      <c r="I100" s="25" t="s">
        <v>895</v>
      </c>
      <c r="J100" s="20">
        <v>45878</v>
      </c>
      <c r="K100" s="20">
        <v>47703</v>
      </c>
      <c r="L100" s="34"/>
      <c r="M100" s="97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1212</v>
      </c>
      <c r="Z100" s="101">
        <v>6000000</v>
      </c>
      <c r="AA100" s="101"/>
      <c r="AB100" s="95">
        <v>10600000</v>
      </c>
      <c r="AC100" s="101">
        <v>0</v>
      </c>
      <c r="AD100" s="101">
        <v>0</v>
      </c>
      <c r="AE100" s="87"/>
      <c r="AF100" s="111" t="s">
        <v>79</v>
      </c>
      <c r="AG100" s="118"/>
      <c r="AH100" s="42" t="s">
        <v>893</v>
      </c>
      <c r="AI100" s="152" t="s">
        <v>891</v>
      </c>
      <c r="AJ100" s="41" t="s">
        <v>102</v>
      </c>
      <c r="AK100" s="2" t="s">
        <v>894</v>
      </c>
      <c r="AL100" s="2"/>
      <c r="AM100" s="2"/>
      <c r="AN100" s="48"/>
      <c r="AO100">
        <v>2025</v>
      </c>
      <c r="AP100" s="120"/>
    </row>
    <row r="101" spans="1:42" ht="24" x14ac:dyDescent="0.3">
      <c r="A101" s="4">
        <v>98</v>
      </c>
      <c r="B101" s="2" t="s">
        <v>1034</v>
      </c>
      <c r="C101" s="2" t="s">
        <v>396</v>
      </c>
      <c r="D101" s="2">
        <v>106.60477</v>
      </c>
      <c r="E101" s="2">
        <v>10.977980000000001</v>
      </c>
      <c r="F101" s="2" t="s">
        <v>1129</v>
      </c>
      <c r="G101" s="34" t="s">
        <v>355</v>
      </c>
      <c r="H101" s="27" t="s">
        <v>895</v>
      </c>
      <c r="I101" s="25" t="s">
        <v>895</v>
      </c>
      <c r="J101" s="20">
        <v>45286</v>
      </c>
      <c r="K101" s="20">
        <v>47112</v>
      </c>
      <c r="L101" s="34"/>
      <c r="M101" s="97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957</v>
      </c>
      <c r="Z101" s="101">
        <v>4500000</v>
      </c>
      <c r="AA101" s="101"/>
      <c r="AB101" s="95">
        <v>12000000</v>
      </c>
      <c r="AC101" s="101"/>
      <c r="AD101" s="101"/>
      <c r="AE101" s="87"/>
      <c r="AF101" s="111" t="s">
        <v>79</v>
      </c>
      <c r="AG101" s="118"/>
      <c r="AH101" s="18" t="s">
        <v>1131</v>
      </c>
      <c r="AI101" s="2" t="s">
        <v>1130</v>
      </c>
      <c r="AJ101" s="2" t="s">
        <v>400</v>
      </c>
      <c r="AK101" s="2" t="s">
        <v>1132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1133</v>
      </c>
      <c r="C102" s="2" t="s">
        <v>15</v>
      </c>
      <c r="D102" s="2">
        <v>106.63862</v>
      </c>
      <c r="E102" s="2">
        <v>10.901565</v>
      </c>
      <c r="F102" s="2" t="s">
        <v>1134</v>
      </c>
      <c r="G102" s="34" t="s">
        <v>355</v>
      </c>
      <c r="H102" s="27" t="s">
        <v>895</v>
      </c>
      <c r="I102" s="25" t="s">
        <v>895</v>
      </c>
      <c r="J102" s="20">
        <v>45853</v>
      </c>
      <c r="K102" s="20">
        <v>47678</v>
      </c>
      <c r="L102" s="34"/>
      <c r="M102" s="97">
        <v>45868</v>
      </c>
      <c r="N102" s="48"/>
      <c r="O102" s="97">
        <v>45952</v>
      </c>
      <c r="P102" s="97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1213</v>
      </c>
      <c r="Z102" s="101">
        <v>6000000</v>
      </c>
      <c r="AA102" s="101"/>
      <c r="AB102" s="95">
        <v>9000000</v>
      </c>
      <c r="AC102" s="101"/>
      <c r="AD102" s="101"/>
      <c r="AE102" s="87"/>
      <c r="AF102" s="111" t="s">
        <v>79</v>
      </c>
      <c r="AG102" s="118"/>
      <c r="AH102" s="42" t="s">
        <v>1136</v>
      </c>
      <c r="AI102" s="2" t="s">
        <v>1135</v>
      </c>
      <c r="AJ102" s="41" t="s">
        <v>1137</v>
      </c>
      <c r="AK102" s="2" t="s">
        <v>1138</v>
      </c>
      <c r="AL102" s="2">
        <v>14</v>
      </c>
      <c r="AM102" s="2">
        <v>12</v>
      </c>
      <c r="AN102" s="48"/>
      <c r="AO102">
        <v>2025</v>
      </c>
    </row>
  </sheetData>
  <autoFilter ref="A3:AQ102" xr:uid="{00000000-0001-0000-0000-000000000000}"/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D15" sqref="D15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4" width="17.33203125" style="222" customWidth="1"/>
    <col min="5" max="11" width="9" style="159" bestFit="1" customWidth="1"/>
    <col min="12" max="12" width="8.5546875" style="159" customWidth="1"/>
    <col min="13" max="15" width="9" style="159" bestFit="1" customWidth="1"/>
    <col min="16" max="16" width="7.88671875" style="159" customWidth="1"/>
    <col min="17" max="28" width="9" style="159" bestFit="1" customWidth="1"/>
    <col min="29" max="33" width="9" style="159" customWidth="1"/>
    <col min="34" max="34" width="9" style="159" bestFit="1" customWidth="1"/>
    <col min="35" max="35" width="10.21875" style="159" bestFit="1" customWidth="1"/>
    <col min="36" max="36" width="9" style="159" bestFit="1" customWidth="1"/>
    <col min="37" max="16384" width="8.88671875" style="159"/>
  </cols>
  <sheetData>
    <row r="1" spans="1:36" ht="30.6" x14ac:dyDescent="0.2">
      <c r="A1" s="155" t="s">
        <v>24</v>
      </c>
      <c r="B1" s="155" t="s">
        <v>365</v>
      </c>
      <c r="C1" s="155" t="s">
        <v>917</v>
      </c>
      <c r="D1" s="155" t="s">
        <v>918</v>
      </c>
      <c r="E1" s="156" t="s">
        <v>80</v>
      </c>
      <c r="F1" s="156" t="s">
        <v>82</v>
      </c>
      <c r="G1" s="156" t="s">
        <v>81</v>
      </c>
      <c r="H1" s="156" t="s">
        <v>68</v>
      </c>
      <c r="I1" s="155" t="s">
        <v>919</v>
      </c>
      <c r="J1" s="155" t="s">
        <v>982</v>
      </c>
      <c r="K1" s="155" t="s">
        <v>920</v>
      </c>
      <c r="L1" s="155" t="s">
        <v>921</v>
      </c>
      <c r="M1" s="155" t="s">
        <v>922</v>
      </c>
      <c r="N1" s="155" t="s">
        <v>923</v>
      </c>
      <c r="O1" s="155" t="s">
        <v>924</v>
      </c>
      <c r="P1" s="155" t="s">
        <v>925</v>
      </c>
      <c r="Q1" s="155" t="s">
        <v>926</v>
      </c>
      <c r="R1" s="155" t="s">
        <v>927</v>
      </c>
      <c r="S1" s="155" t="s">
        <v>928</v>
      </c>
      <c r="T1" s="157" t="s">
        <v>929</v>
      </c>
      <c r="U1" s="157" t="s">
        <v>930</v>
      </c>
      <c r="V1" s="157" t="s">
        <v>931</v>
      </c>
      <c r="W1" s="157" t="s">
        <v>932</v>
      </c>
      <c r="X1" s="157" t="s">
        <v>933</v>
      </c>
      <c r="Y1" s="157" t="s">
        <v>934</v>
      </c>
      <c r="Z1" s="157" t="s">
        <v>935</v>
      </c>
      <c r="AA1" s="157" t="s">
        <v>936</v>
      </c>
      <c r="AB1" s="157" t="s">
        <v>936</v>
      </c>
      <c r="AC1" s="157" t="s">
        <v>977</v>
      </c>
      <c r="AD1" s="157" t="s">
        <v>978</v>
      </c>
      <c r="AE1" s="157" t="s">
        <v>979</v>
      </c>
      <c r="AF1" s="157" t="s">
        <v>980</v>
      </c>
      <c r="AG1" s="157" t="s">
        <v>981</v>
      </c>
      <c r="AH1" s="158" t="s">
        <v>937</v>
      </c>
      <c r="AI1" s="155" t="s">
        <v>938</v>
      </c>
      <c r="AJ1" s="155" t="s">
        <v>172</v>
      </c>
    </row>
    <row r="2" spans="1:36" x14ac:dyDescent="0.2">
      <c r="A2" s="155">
        <f t="shared" ref="A2:AH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si="0"/>
        <v>82</v>
      </c>
      <c r="F2" s="155">
        <f t="shared" si="0"/>
        <v>82</v>
      </c>
      <c r="G2" s="155">
        <f t="shared" si="0"/>
        <v>82</v>
      </c>
      <c r="H2" s="155">
        <f t="shared" si="0"/>
        <v>82</v>
      </c>
      <c r="I2" s="155">
        <v>82</v>
      </c>
      <c r="J2" s="155">
        <f t="shared" si="0"/>
        <v>82</v>
      </c>
      <c r="K2" s="155">
        <f t="shared" si="0"/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ref="AC2:AF2" si="1">SUBTOTAL(3,AC4:AC91)</f>
        <v>82</v>
      </c>
      <c r="AD2" s="155">
        <f t="shared" si="1"/>
        <v>82</v>
      </c>
      <c r="AE2" s="155">
        <f t="shared" si="1"/>
        <v>82</v>
      </c>
      <c r="AF2" s="155">
        <f t="shared" si="1"/>
        <v>82</v>
      </c>
      <c r="AG2" s="155">
        <f t="shared" ref="AG2" si="2">SUBTOTAL(3,AG4:AG91)</f>
        <v>82</v>
      </c>
      <c r="AH2" s="155">
        <f t="shared" ca="1" si="0"/>
        <v>82</v>
      </c>
      <c r="AI2" s="160">
        <f>SUBTOTAL(9,AI4:AI90)</f>
        <v>2205675000</v>
      </c>
      <c r="AJ2" s="155">
        <f t="shared" ref="AJ2" si="3">SUBTOTAL(3,AJ4:AJ91)</f>
        <v>82</v>
      </c>
    </row>
    <row r="3" spans="1:36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</row>
    <row r="4" spans="1:36" x14ac:dyDescent="0.2">
      <c r="A4" s="162">
        <v>1</v>
      </c>
      <c r="B4" s="163" t="s">
        <v>14</v>
      </c>
      <c r="C4" s="163" t="s">
        <v>15</v>
      </c>
      <c r="D4" s="164">
        <v>6500000</v>
      </c>
      <c r="E4" s="164" t="s">
        <v>84</v>
      </c>
      <c r="F4" s="164" t="s">
        <v>83</v>
      </c>
      <c r="G4" s="164" t="s">
        <v>85</v>
      </c>
      <c r="H4" s="164" t="s">
        <v>69</v>
      </c>
      <c r="I4" s="165" t="s">
        <v>77</v>
      </c>
      <c r="J4" s="166">
        <v>44593</v>
      </c>
      <c r="K4" s="167">
        <f>EDATE(J4,3)</f>
        <v>44682</v>
      </c>
      <c r="L4" s="167">
        <f t="shared" ref="L4:AG6" si="4">EDATE(K4,3)</f>
        <v>44774</v>
      </c>
      <c r="M4" s="167">
        <f t="shared" si="4"/>
        <v>44866</v>
      </c>
      <c r="N4" s="167">
        <f t="shared" si="4"/>
        <v>44958</v>
      </c>
      <c r="O4" s="167">
        <f t="shared" si="4"/>
        <v>45047</v>
      </c>
      <c r="P4" s="167">
        <f t="shared" si="4"/>
        <v>45139</v>
      </c>
      <c r="Q4" s="167">
        <f t="shared" si="4"/>
        <v>45231</v>
      </c>
      <c r="R4" s="167">
        <f t="shared" si="4"/>
        <v>45323</v>
      </c>
      <c r="S4" s="167">
        <f t="shared" si="4"/>
        <v>45413</v>
      </c>
      <c r="T4" s="167">
        <f t="shared" si="4"/>
        <v>45505</v>
      </c>
      <c r="U4" s="167">
        <f t="shared" si="4"/>
        <v>45597</v>
      </c>
      <c r="V4" s="167">
        <f t="shared" si="4"/>
        <v>45689</v>
      </c>
      <c r="W4" s="167">
        <f t="shared" si="4"/>
        <v>45778</v>
      </c>
      <c r="X4" s="167">
        <f t="shared" si="4"/>
        <v>45870</v>
      </c>
      <c r="Y4" s="167">
        <f t="shared" si="4"/>
        <v>45962</v>
      </c>
      <c r="Z4" s="167">
        <f t="shared" ref="Z4:AG4" si="5">EDATE(Y4,3)</f>
        <v>46054</v>
      </c>
      <c r="AA4" s="167">
        <f t="shared" si="5"/>
        <v>46143</v>
      </c>
      <c r="AB4" s="167">
        <f t="shared" si="5"/>
        <v>46235</v>
      </c>
      <c r="AC4" s="167">
        <f t="shared" si="5"/>
        <v>46327</v>
      </c>
      <c r="AD4" s="167">
        <f t="shared" si="5"/>
        <v>46419</v>
      </c>
      <c r="AE4" s="167">
        <f t="shared" si="5"/>
        <v>46508</v>
      </c>
      <c r="AF4" s="167">
        <f t="shared" si="5"/>
        <v>46600</v>
      </c>
      <c r="AG4" s="167">
        <f t="shared" si="5"/>
        <v>46692</v>
      </c>
      <c r="AH4" s="169">
        <f ca="1">AA4-TODAY()</f>
        <v>-59</v>
      </c>
      <c r="AI4" s="170">
        <f>3*D4</f>
        <v>19500000</v>
      </c>
      <c r="AJ4" s="162" t="s">
        <v>939</v>
      </c>
    </row>
    <row r="5" spans="1:36" x14ac:dyDescent="0.2">
      <c r="A5" s="171">
        <v>2</v>
      </c>
      <c r="B5" s="172" t="s">
        <v>19</v>
      </c>
      <c r="C5" s="163" t="s">
        <v>15</v>
      </c>
      <c r="D5" s="173">
        <v>7000000</v>
      </c>
      <c r="E5" s="173" t="s">
        <v>91</v>
      </c>
      <c r="F5" s="173" t="s">
        <v>89</v>
      </c>
      <c r="G5" s="173" t="s">
        <v>90</v>
      </c>
      <c r="H5" s="173" t="s">
        <v>70</v>
      </c>
      <c r="I5" s="174" t="s">
        <v>77</v>
      </c>
      <c r="J5" s="175">
        <v>44535</v>
      </c>
      <c r="K5" s="176">
        <f>EDATE(J5,3)</f>
        <v>44625</v>
      </c>
      <c r="L5" s="175">
        <f t="shared" si="4"/>
        <v>44717</v>
      </c>
      <c r="M5" s="175">
        <f t="shared" si="4"/>
        <v>44809</v>
      </c>
      <c r="N5" s="177">
        <f t="shared" si="4"/>
        <v>44900</v>
      </c>
      <c r="O5" s="177">
        <f t="shared" si="4"/>
        <v>44990</v>
      </c>
      <c r="P5" s="177">
        <f t="shared" si="4"/>
        <v>45082</v>
      </c>
      <c r="Q5" s="177">
        <f t="shared" si="4"/>
        <v>45174</v>
      </c>
      <c r="R5" s="177">
        <f>EDATE(Q5,3)</f>
        <v>45265</v>
      </c>
      <c r="S5" s="177">
        <f t="shared" si="4"/>
        <v>45356</v>
      </c>
      <c r="T5" s="167">
        <f>EDATE(S5,3)</f>
        <v>45448</v>
      </c>
      <c r="U5" s="177">
        <f t="shared" si="4"/>
        <v>45540</v>
      </c>
      <c r="V5" s="177">
        <f>EDATE(U5,3)</f>
        <v>45631</v>
      </c>
      <c r="W5" s="177">
        <f t="shared" si="4"/>
        <v>45721</v>
      </c>
      <c r="X5" s="177">
        <f t="shared" si="4"/>
        <v>45813</v>
      </c>
      <c r="Y5" s="177">
        <f t="shared" si="4"/>
        <v>45905</v>
      </c>
      <c r="Z5" s="177">
        <f t="shared" si="4"/>
        <v>45996</v>
      </c>
      <c r="AA5" s="177">
        <f t="shared" si="4"/>
        <v>46086</v>
      </c>
      <c r="AB5" s="177">
        <f t="shared" si="4"/>
        <v>46178</v>
      </c>
      <c r="AC5" s="177">
        <f t="shared" si="4"/>
        <v>46270</v>
      </c>
      <c r="AD5" s="177">
        <f t="shared" si="4"/>
        <v>46361</v>
      </c>
      <c r="AE5" s="177">
        <f t="shared" si="4"/>
        <v>46451</v>
      </c>
      <c r="AF5" s="177">
        <f t="shared" si="4"/>
        <v>46543</v>
      </c>
      <c r="AG5" s="177">
        <f t="shared" si="4"/>
        <v>46635</v>
      </c>
      <c r="AH5" s="179">
        <f ca="1">AB5-TODAY()</f>
        <v>-24</v>
      </c>
      <c r="AI5" s="173">
        <f>3*D5</f>
        <v>21000000</v>
      </c>
      <c r="AJ5" s="171" t="s">
        <v>940</v>
      </c>
    </row>
    <row r="6" spans="1:36" x14ac:dyDescent="0.2">
      <c r="A6" s="162">
        <v>3</v>
      </c>
      <c r="B6" s="163" t="s">
        <v>29</v>
      </c>
      <c r="C6" s="163" t="s">
        <v>15</v>
      </c>
      <c r="D6" s="180">
        <v>5875000</v>
      </c>
      <c r="E6" s="164" t="s">
        <v>87</v>
      </c>
      <c r="F6" s="164" t="s">
        <v>86</v>
      </c>
      <c r="G6" s="164" t="s">
        <v>88</v>
      </c>
      <c r="H6" s="164" t="s">
        <v>71</v>
      </c>
      <c r="I6" s="181" t="s">
        <v>77</v>
      </c>
      <c r="J6" s="166">
        <v>44681</v>
      </c>
      <c r="K6" s="182">
        <f>EDATE(J6,3)</f>
        <v>44772</v>
      </c>
      <c r="L6" s="167">
        <f t="shared" si="4"/>
        <v>44864</v>
      </c>
      <c r="M6" s="167">
        <f t="shared" si="4"/>
        <v>44956</v>
      </c>
      <c r="N6" s="167">
        <f t="shared" si="4"/>
        <v>45046</v>
      </c>
      <c r="O6" s="167">
        <f t="shared" si="4"/>
        <v>45137</v>
      </c>
      <c r="P6" s="167">
        <f t="shared" si="4"/>
        <v>45229</v>
      </c>
      <c r="Q6" s="167">
        <f t="shared" si="4"/>
        <v>45321</v>
      </c>
      <c r="R6" s="167">
        <f>EDATE(Q6,3)</f>
        <v>45412</v>
      </c>
      <c r="S6" s="167">
        <f>EDATE(R6,3)</f>
        <v>45503</v>
      </c>
      <c r="T6" s="167">
        <f>EDATE(S6,3)</f>
        <v>45595</v>
      </c>
      <c r="U6" s="167">
        <f>EDATE(T6,3)</f>
        <v>45687</v>
      </c>
      <c r="V6" s="167">
        <f>EDATE(U6,3)</f>
        <v>45777</v>
      </c>
      <c r="W6" s="167">
        <f>EDATE(V6,3)</f>
        <v>45868</v>
      </c>
      <c r="X6" s="167">
        <f t="shared" ref="X6:AG6" si="6">EDATE(W6,3)</f>
        <v>45960</v>
      </c>
      <c r="Y6" s="167">
        <f>EDATE(X6,3)</f>
        <v>46052</v>
      </c>
      <c r="Z6" s="168">
        <f>EDATE(Y6,3)</f>
        <v>46142</v>
      </c>
      <c r="AA6" s="167">
        <f t="shared" si="6"/>
        <v>46233</v>
      </c>
      <c r="AB6" s="167">
        <f t="shared" si="6"/>
        <v>46325</v>
      </c>
      <c r="AC6" s="167">
        <f t="shared" si="6"/>
        <v>46417</v>
      </c>
      <c r="AD6" s="167">
        <f t="shared" si="6"/>
        <v>46507</v>
      </c>
      <c r="AE6" s="167">
        <f t="shared" si="6"/>
        <v>46598</v>
      </c>
      <c r="AF6" s="167">
        <f t="shared" si="6"/>
        <v>46690</v>
      </c>
      <c r="AG6" s="167">
        <f t="shared" si="6"/>
        <v>46782</v>
      </c>
      <c r="AH6" s="169">
        <f ca="1">Z6-TODAY()</f>
        <v>-60</v>
      </c>
      <c r="AI6" s="170">
        <f>3*D6</f>
        <v>17625000</v>
      </c>
      <c r="AJ6" s="162" t="s">
        <v>941</v>
      </c>
    </row>
    <row r="7" spans="1:36" x14ac:dyDescent="0.2">
      <c r="A7" s="171">
        <v>4</v>
      </c>
      <c r="B7" s="171" t="s">
        <v>975</v>
      </c>
      <c r="C7" s="163" t="s">
        <v>32</v>
      </c>
      <c r="D7" s="173">
        <v>4000000</v>
      </c>
      <c r="E7" s="173" t="s">
        <v>113</v>
      </c>
      <c r="F7" s="173" t="s">
        <v>112</v>
      </c>
      <c r="G7" s="173" t="s">
        <v>114</v>
      </c>
      <c r="H7" s="173" t="s">
        <v>72</v>
      </c>
      <c r="I7" s="183" t="s">
        <v>79</v>
      </c>
      <c r="J7" s="175">
        <v>44652</v>
      </c>
      <c r="K7" s="176">
        <f t="shared" ref="K7:P7" si="7">EDATE(J7,6)</f>
        <v>44835</v>
      </c>
      <c r="L7" s="176">
        <f t="shared" si="7"/>
        <v>45017</v>
      </c>
      <c r="M7" s="177">
        <f t="shared" si="7"/>
        <v>45200</v>
      </c>
      <c r="N7" s="176">
        <f t="shared" si="7"/>
        <v>45383</v>
      </c>
      <c r="O7" s="176">
        <f t="shared" si="7"/>
        <v>45566</v>
      </c>
      <c r="P7" s="176">
        <f t="shared" si="7"/>
        <v>45748</v>
      </c>
      <c r="Q7" s="176">
        <f>EDATE(P7,6)</f>
        <v>45931</v>
      </c>
      <c r="R7" s="176">
        <f>EDATE(Q7,6)</f>
        <v>46113</v>
      </c>
      <c r="S7" s="176">
        <f t="shared" ref="S7:AG7" si="8">EDATE(R7,6)</f>
        <v>46296</v>
      </c>
      <c r="T7" s="176">
        <f t="shared" si="8"/>
        <v>46478</v>
      </c>
      <c r="U7" s="176">
        <f t="shared" si="8"/>
        <v>46661</v>
      </c>
      <c r="V7" s="176">
        <f t="shared" si="8"/>
        <v>46844</v>
      </c>
      <c r="W7" s="176">
        <f t="shared" si="8"/>
        <v>47027</v>
      </c>
      <c r="X7" s="176">
        <f t="shared" si="8"/>
        <v>47209</v>
      </c>
      <c r="Y7" s="176">
        <f t="shared" si="8"/>
        <v>47392</v>
      </c>
      <c r="Z7" s="176">
        <f t="shared" si="8"/>
        <v>47574</v>
      </c>
      <c r="AA7" s="176">
        <f t="shared" si="8"/>
        <v>47757</v>
      </c>
      <c r="AB7" s="176">
        <f t="shared" si="8"/>
        <v>47939</v>
      </c>
      <c r="AC7" s="176">
        <f t="shared" si="8"/>
        <v>48122</v>
      </c>
      <c r="AD7" s="176">
        <f t="shared" si="8"/>
        <v>48305</v>
      </c>
      <c r="AE7" s="176">
        <f t="shared" si="8"/>
        <v>48488</v>
      </c>
      <c r="AF7" s="176">
        <f t="shared" si="8"/>
        <v>48670</v>
      </c>
      <c r="AG7" s="176">
        <f t="shared" si="8"/>
        <v>48853</v>
      </c>
      <c r="AH7" s="179">
        <f ca="1">R7-TODAY()</f>
        <v>-89</v>
      </c>
      <c r="AI7" s="173">
        <f>6*D7</f>
        <v>24000000</v>
      </c>
      <c r="AJ7" s="171" t="s">
        <v>942</v>
      </c>
    </row>
    <row r="8" spans="1:36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 t="s">
        <v>101</v>
      </c>
      <c r="F8" s="164" t="s">
        <v>99</v>
      </c>
      <c r="G8" s="164" t="s">
        <v>102</v>
      </c>
      <c r="H8" s="164" t="s">
        <v>103</v>
      </c>
      <c r="I8" s="165" t="s">
        <v>77</v>
      </c>
      <c r="J8" s="166">
        <v>44713</v>
      </c>
      <c r="K8" s="166">
        <f>J8+90+2</f>
        <v>44805</v>
      </c>
      <c r="L8" s="166">
        <f t="shared" ref="L8:R14" si="9">EDATE(K8,3)</f>
        <v>44896</v>
      </c>
      <c r="M8" s="166">
        <f t="shared" si="9"/>
        <v>44986</v>
      </c>
      <c r="N8" s="167">
        <f t="shared" si="9"/>
        <v>45078</v>
      </c>
      <c r="O8" s="166">
        <f>EDATE(N8,3)</f>
        <v>45170</v>
      </c>
      <c r="P8" s="167">
        <f>EDATE(O8,3)</f>
        <v>45261</v>
      </c>
      <c r="Q8" s="166">
        <f t="shared" ref="O8:AG14" si="10">EDATE(P8,3)</f>
        <v>45352</v>
      </c>
      <c r="R8" s="167">
        <f t="shared" si="10"/>
        <v>45444</v>
      </c>
      <c r="S8" s="166">
        <f t="shared" si="10"/>
        <v>45536</v>
      </c>
      <c r="T8" s="166">
        <f t="shared" si="10"/>
        <v>45627</v>
      </c>
      <c r="U8" s="166">
        <f t="shared" si="10"/>
        <v>45717</v>
      </c>
      <c r="V8" s="166">
        <f t="shared" si="10"/>
        <v>45809</v>
      </c>
      <c r="W8" s="166">
        <f t="shared" si="10"/>
        <v>45901</v>
      </c>
      <c r="X8" s="166">
        <f>EDATE(W8,3)</f>
        <v>45992</v>
      </c>
      <c r="Y8" s="185">
        <f>EDATE(X8,3)</f>
        <v>46082</v>
      </c>
      <c r="Z8" s="166">
        <f>EDATE(Y8,3)-1</f>
        <v>46173</v>
      </c>
      <c r="AA8" s="166">
        <f t="shared" ref="Z8:AG9" si="11">EDATE(Z8,3)</f>
        <v>46265</v>
      </c>
      <c r="AB8" s="166">
        <f t="shared" si="11"/>
        <v>46356</v>
      </c>
      <c r="AC8" s="166">
        <f t="shared" si="11"/>
        <v>46446</v>
      </c>
      <c r="AD8" s="166">
        <f t="shared" si="11"/>
        <v>46535</v>
      </c>
      <c r="AE8" s="166">
        <f t="shared" si="11"/>
        <v>46627</v>
      </c>
      <c r="AF8" s="166">
        <f t="shared" si="11"/>
        <v>46719</v>
      </c>
      <c r="AG8" s="166">
        <f t="shared" si="11"/>
        <v>46811</v>
      </c>
      <c r="AH8" s="186">
        <f ca="1">Z8-TODAY()</f>
        <v>-29</v>
      </c>
      <c r="AI8" s="164">
        <f>3*D8</f>
        <v>14250000</v>
      </c>
      <c r="AJ8" s="162" t="s">
        <v>941</v>
      </c>
    </row>
    <row r="9" spans="1:36" x14ac:dyDescent="0.2">
      <c r="A9" s="171">
        <v>6</v>
      </c>
      <c r="B9" s="162" t="s">
        <v>253</v>
      </c>
      <c r="C9" s="163" t="s">
        <v>107</v>
      </c>
      <c r="D9" s="164">
        <v>8300000</v>
      </c>
      <c r="E9" s="164" t="s">
        <v>131</v>
      </c>
      <c r="F9" s="164" t="s">
        <v>130</v>
      </c>
      <c r="G9" s="164" t="s">
        <v>102</v>
      </c>
      <c r="H9" s="164" t="s">
        <v>132</v>
      </c>
      <c r="I9" s="165" t="s">
        <v>77</v>
      </c>
      <c r="J9" s="167">
        <v>44696</v>
      </c>
      <c r="K9" s="167">
        <f>EDATE(J9,3)</f>
        <v>44788</v>
      </c>
      <c r="L9" s="167">
        <f t="shared" si="9"/>
        <v>44880</v>
      </c>
      <c r="M9" s="167">
        <f t="shared" si="9"/>
        <v>44972</v>
      </c>
      <c r="N9" s="167">
        <f t="shared" si="9"/>
        <v>45061</v>
      </c>
      <c r="O9" s="167">
        <f t="shared" si="10"/>
        <v>45153</v>
      </c>
      <c r="P9" s="167">
        <f t="shared" si="9"/>
        <v>45245</v>
      </c>
      <c r="Q9" s="167">
        <f>EDATE(P9,3)</f>
        <v>45337</v>
      </c>
      <c r="R9" s="167">
        <f t="shared" si="9"/>
        <v>45427</v>
      </c>
      <c r="S9" s="167">
        <f>EDATE(R9,3)</f>
        <v>45519</v>
      </c>
      <c r="T9" s="167">
        <f t="shared" si="10"/>
        <v>45611</v>
      </c>
      <c r="U9" s="167">
        <f>EDATE(T9,3)</f>
        <v>45703</v>
      </c>
      <c r="V9" s="167">
        <f t="shared" si="10"/>
        <v>45792</v>
      </c>
      <c r="W9" s="167">
        <f t="shared" si="10"/>
        <v>45884</v>
      </c>
      <c r="X9" s="167">
        <f>EDATE(W9,3)</f>
        <v>45976</v>
      </c>
      <c r="Y9" s="167">
        <f>EDATE(X9,3)</f>
        <v>46068</v>
      </c>
      <c r="Z9" s="168">
        <f t="shared" si="11"/>
        <v>46157</v>
      </c>
      <c r="AA9" s="167">
        <f t="shared" si="11"/>
        <v>46249</v>
      </c>
      <c r="AB9" s="167">
        <f t="shared" si="11"/>
        <v>46341</v>
      </c>
      <c r="AC9" s="167">
        <f t="shared" si="11"/>
        <v>46433</v>
      </c>
      <c r="AD9" s="167">
        <f t="shared" si="11"/>
        <v>46522</v>
      </c>
      <c r="AE9" s="167">
        <f t="shared" si="11"/>
        <v>46614</v>
      </c>
      <c r="AF9" s="167">
        <f t="shared" si="11"/>
        <v>46706</v>
      </c>
      <c r="AG9" s="167">
        <f t="shared" si="11"/>
        <v>46798</v>
      </c>
      <c r="AH9" s="169">
        <f ca="1">Z9-TODAY()</f>
        <v>-45</v>
      </c>
      <c r="AI9" s="164">
        <f>3*D9</f>
        <v>24900000</v>
      </c>
      <c r="AJ9" s="162" t="s">
        <v>943</v>
      </c>
    </row>
    <row r="10" spans="1:36" x14ac:dyDescent="0.2">
      <c r="A10" s="162">
        <v>7</v>
      </c>
      <c r="B10" s="162" t="s">
        <v>256</v>
      </c>
      <c r="C10" s="163" t="s">
        <v>117</v>
      </c>
      <c r="D10" s="164">
        <v>6000000</v>
      </c>
      <c r="E10" s="164" t="s">
        <v>119</v>
      </c>
      <c r="F10" s="164" t="s">
        <v>120</v>
      </c>
      <c r="G10" s="164" t="s">
        <v>121</v>
      </c>
      <c r="H10" s="164" t="s">
        <v>122</v>
      </c>
      <c r="I10" s="165" t="s">
        <v>77</v>
      </c>
      <c r="J10" s="167">
        <v>44652</v>
      </c>
      <c r="K10" s="182">
        <f>EDATE(J10,3)</f>
        <v>44743</v>
      </c>
      <c r="L10" s="167">
        <f t="shared" si="9"/>
        <v>44835</v>
      </c>
      <c r="M10" s="167">
        <f t="shared" si="9"/>
        <v>44927</v>
      </c>
      <c r="N10" s="167">
        <f t="shared" si="9"/>
        <v>45017</v>
      </c>
      <c r="O10" s="167">
        <f t="shared" si="10"/>
        <v>45108</v>
      </c>
      <c r="P10" s="167">
        <f>EDATE(O10,3)</f>
        <v>45200</v>
      </c>
      <c r="Q10" s="167">
        <f>EDATE(P10,3)</f>
        <v>45292</v>
      </c>
      <c r="R10" s="167">
        <f>EDATE(Q10,3)</f>
        <v>45383</v>
      </c>
      <c r="S10" s="167">
        <f>EDATE(R10,3)</f>
        <v>45474</v>
      </c>
      <c r="T10" s="167">
        <f>EDATE(S10,3)</f>
        <v>45566</v>
      </c>
      <c r="U10" s="167">
        <f>EDATE(T10,3)</f>
        <v>45658</v>
      </c>
      <c r="V10" s="167">
        <f t="shared" si="10"/>
        <v>45748</v>
      </c>
      <c r="W10" s="167">
        <f t="shared" si="10"/>
        <v>45839</v>
      </c>
      <c r="X10" s="167">
        <f t="shared" si="10"/>
        <v>45931</v>
      </c>
      <c r="Y10" s="167">
        <f>EDATE(X10,3)</f>
        <v>46023</v>
      </c>
      <c r="Z10" s="168">
        <f>EDATE(Y10,3)</f>
        <v>46113</v>
      </c>
      <c r="AA10" s="167">
        <f t="shared" si="10"/>
        <v>46204</v>
      </c>
      <c r="AB10" s="167">
        <f t="shared" si="10"/>
        <v>46296</v>
      </c>
      <c r="AC10" s="167">
        <f t="shared" si="10"/>
        <v>46388</v>
      </c>
      <c r="AD10" s="167">
        <f t="shared" si="10"/>
        <v>46478</v>
      </c>
      <c r="AE10" s="167">
        <f t="shared" si="10"/>
        <v>46569</v>
      </c>
      <c r="AF10" s="167">
        <f t="shared" si="10"/>
        <v>46661</v>
      </c>
      <c r="AG10" s="167">
        <f t="shared" si="10"/>
        <v>46753</v>
      </c>
      <c r="AH10" s="169">
        <f ca="1">Z10-TODAY()</f>
        <v>-89</v>
      </c>
      <c r="AI10" s="164">
        <f>D10*3</f>
        <v>18000000</v>
      </c>
      <c r="AJ10" s="162" t="s">
        <v>941</v>
      </c>
    </row>
    <row r="11" spans="1:36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 t="s">
        <v>151</v>
      </c>
      <c r="F11" s="164" t="s">
        <v>152</v>
      </c>
      <c r="G11" s="164" t="s">
        <v>153</v>
      </c>
      <c r="H11" s="164" t="s">
        <v>154</v>
      </c>
      <c r="I11" s="165" t="s">
        <v>77</v>
      </c>
      <c r="J11" s="167">
        <v>44645</v>
      </c>
      <c r="K11" s="182">
        <f>EDATE(J11,3)</f>
        <v>44737</v>
      </c>
      <c r="L11" s="167">
        <f t="shared" si="9"/>
        <v>44829</v>
      </c>
      <c r="M11" s="167">
        <f t="shared" si="9"/>
        <v>44920</v>
      </c>
      <c r="N11" s="167">
        <f t="shared" si="9"/>
        <v>45010</v>
      </c>
      <c r="O11" s="167">
        <f t="shared" si="10"/>
        <v>45102</v>
      </c>
      <c r="P11" s="167">
        <f>EDATE(O11,3)</f>
        <v>45194</v>
      </c>
      <c r="Q11" s="167">
        <f t="shared" si="10"/>
        <v>45285</v>
      </c>
      <c r="R11" s="167">
        <f t="shared" si="10"/>
        <v>45376</v>
      </c>
      <c r="S11" s="167">
        <f t="shared" si="10"/>
        <v>45468</v>
      </c>
      <c r="T11" s="167">
        <f t="shared" si="10"/>
        <v>45560</v>
      </c>
      <c r="U11" s="167">
        <f t="shared" si="10"/>
        <v>45651</v>
      </c>
      <c r="V11" s="167">
        <f t="shared" si="10"/>
        <v>45741</v>
      </c>
      <c r="W11" s="167">
        <f t="shared" si="10"/>
        <v>45833</v>
      </c>
      <c r="X11" s="167">
        <f t="shared" si="10"/>
        <v>45925</v>
      </c>
      <c r="Y11" s="167">
        <f t="shared" si="10"/>
        <v>46016</v>
      </c>
      <c r="Z11" s="168">
        <f t="shared" si="10"/>
        <v>46106</v>
      </c>
      <c r="AA11" s="167">
        <f t="shared" si="10"/>
        <v>46198</v>
      </c>
      <c r="AB11" s="167">
        <f t="shared" si="10"/>
        <v>46290</v>
      </c>
      <c r="AC11" s="167">
        <f t="shared" si="10"/>
        <v>46381</v>
      </c>
      <c r="AD11" s="167">
        <f t="shared" si="10"/>
        <v>46471</v>
      </c>
      <c r="AE11" s="167">
        <f t="shared" si="10"/>
        <v>46563</v>
      </c>
      <c r="AF11" s="167">
        <f t="shared" si="10"/>
        <v>46655</v>
      </c>
      <c r="AG11" s="167">
        <f t="shared" si="10"/>
        <v>46746</v>
      </c>
      <c r="AH11" s="169">
        <f ca="1">Z11-TODAY()</f>
        <v>-96</v>
      </c>
      <c r="AI11" s="187">
        <f>D11*3</f>
        <v>21000000</v>
      </c>
      <c r="AJ11" s="163" t="s">
        <v>941</v>
      </c>
    </row>
    <row r="12" spans="1:36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 t="s">
        <v>159</v>
      </c>
      <c r="F12" s="164" t="s">
        <v>160</v>
      </c>
      <c r="G12" s="164" t="s">
        <v>153</v>
      </c>
      <c r="H12" s="164" t="s">
        <v>161</v>
      </c>
      <c r="I12" s="165" t="s">
        <v>77</v>
      </c>
      <c r="J12" s="167">
        <v>44743</v>
      </c>
      <c r="K12" s="182">
        <f>EDATE(J12,3)</f>
        <v>44835</v>
      </c>
      <c r="L12" s="167">
        <f t="shared" si="9"/>
        <v>44927</v>
      </c>
      <c r="M12" s="167">
        <f t="shared" si="9"/>
        <v>45017</v>
      </c>
      <c r="N12" s="167">
        <f t="shared" si="9"/>
        <v>45108</v>
      </c>
      <c r="O12" s="167">
        <f t="shared" si="10"/>
        <v>45200</v>
      </c>
      <c r="P12" s="167">
        <f>EDATE(O12,3)</f>
        <v>45292</v>
      </c>
      <c r="Q12" s="167">
        <f t="shared" si="10"/>
        <v>45383</v>
      </c>
      <c r="R12" s="167">
        <f t="shared" si="10"/>
        <v>45474</v>
      </c>
      <c r="S12" s="167">
        <f>EDATE(R12,3)</f>
        <v>45566</v>
      </c>
      <c r="T12" s="167">
        <f t="shared" si="10"/>
        <v>45658</v>
      </c>
      <c r="U12" s="167">
        <f>EDATE(T12,3)</f>
        <v>45748</v>
      </c>
      <c r="V12" s="167">
        <f>EDATE(U12,3)</f>
        <v>45839</v>
      </c>
      <c r="W12" s="167">
        <f t="shared" si="10"/>
        <v>45931</v>
      </c>
      <c r="X12" s="167">
        <f>EDATE(W12,3)</f>
        <v>46023</v>
      </c>
      <c r="Y12" s="168">
        <f>EDATE(X12,3)</f>
        <v>46113</v>
      </c>
      <c r="Z12" s="167">
        <f t="shared" si="10"/>
        <v>46204</v>
      </c>
      <c r="AA12" s="167">
        <f t="shared" si="10"/>
        <v>46296</v>
      </c>
      <c r="AB12" s="167">
        <f t="shared" si="10"/>
        <v>46388</v>
      </c>
      <c r="AC12" s="167">
        <f t="shared" si="10"/>
        <v>46478</v>
      </c>
      <c r="AD12" s="167">
        <f t="shared" si="10"/>
        <v>46569</v>
      </c>
      <c r="AE12" s="167">
        <f t="shared" si="10"/>
        <v>46661</v>
      </c>
      <c r="AF12" s="167">
        <f t="shared" si="10"/>
        <v>46753</v>
      </c>
      <c r="AG12" s="167">
        <f t="shared" si="10"/>
        <v>46844</v>
      </c>
      <c r="AH12" s="169">
        <f ca="1">Y12-TODAY()</f>
        <v>-89</v>
      </c>
      <c r="AI12" s="164">
        <f>3*D12</f>
        <v>19500000</v>
      </c>
      <c r="AJ12" s="162" t="s">
        <v>944</v>
      </c>
    </row>
    <row r="13" spans="1:36" x14ac:dyDescent="0.2">
      <c r="A13" s="171">
        <v>10</v>
      </c>
      <c r="B13" s="162" t="s">
        <v>259</v>
      </c>
      <c r="C13" s="163" t="s">
        <v>66</v>
      </c>
      <c r="D13" s="164">
        <v>7000000</v>
      </c>
      <c r="E13" s="188" t="s">
        <v>945</v>
      </c>
      <c r="F13" s="164" t="s">
        <v>169</v>
      </c>
      <c r="G13" s="189" t="s">
        <v>703</v>
      </c>
      <c r="H13" s="164" t="s">
        <v>171</v>
      </c>
      <c r="I13" s="165" t="s">
        <v>77</v>
      </c>
      <c r="J13" s="167">
        <v>44653</v>
      </c>
      <c r="K13" s="182">
        <f>EDATE(J13,3)</f>
        <v>44744</v>
      </c>
      <c r="L13" s="167">
        <f t="shared" si="9"/>
        <v>44836</v>
      </c>
      <c r="M13" s="167">
        <f t="shared" si="9"/>
        <v>44928</v>
      </c>
      <c r="N13" s="167">
        <f t="shared" si="9"/>
        <v>45018</v>
      </c>
      <c r="O13" s="167">
        <f>EDATE(N13,3)</f>
        <v>45109</v>
      </c>
      <c r="P13" s="167">
        <f>EDATE(O13,3)</f>
        <v>45201</v>
      </c>
      <c r="Q13" s="167">
        <f t="shared" si="10"/>
        <v>45293</v>
      </c>
      <c r="R13" s="167">
        <f t="shared" si="10"/>
        <v>45384</v>
      </c>
      <c r="S13" s="167">
        <f>EDATE(R13,3)</f>
        <v>45475</v>
      </c>
      <c r="T13" s="167">
        <f>EDATE(S13,3)</f>
        <v>45567</v>
      </c>
      <c r="U13" s="167">
        <f>EDATE(T13,3)</f>
        <v>45659</v>
      </c>
      <c r="V13" s="167">
        <f>EDATE(U13,3)</f>
        <v>45749</v>
      </c>
      <c r="W13" s="167">
        <f>EDATE(V13,3)</f>
        <v>45840</v>
      </c>
      <c r="X13" s="167">
        <f>EDATE(W13,3)</f>
        <v>45932</v>
      </c>
      <c r="Y13" s="167">
        <f>EDATE(X13,3)</f>
        <v>46024</v>
      </c>
      <c r="Z13" s="168">
        <f t="shared" ref="Z13:AG13" si="12">EDATE(Y13,3)</f>
        <v>46114</v>
      </c>
      <c r="AA13" s="167">
        <f t="shared" si="12"/>
        <v>46205</v>
      </c>
      <c r="AB13" s="167">
        <f t="shared" si="12"/>
        <v>46297</v>
      </c>
      <c r="AC13" s="167">
        <f t="shared" si="12"/>
        <v>46389</v>
      </c>
      <c r="AD13" s="167">
        <f t="shared" si="12"/>
        <v>46479</v>
      </c>
      <c r="AE13" s="167">
        <f t="shared" si="12"/>
        <v>46570</v>
      </c>
      <c r="AF13" s="167">
        <f t="shared" si="12"/>
        <v>46662</v>
      </c>
      <c r="AG13" s="167">
        <f t="shared" si="12"/>
        <v>46754</v>
      </c>
      <c r="AH13" s="169">
        <f ca="1">Z13-TODAY()</f>
        <v>-88</v>
      </c>
      <c r="AI13" s="164">
        <f>3*7000000</f>
        <v>21000000</v>
      </c>
      <c r="AJ13" s="162" t="s">
        <v>941</v>
      </c>
    </row>
    <row r="14" spans="1:36" x14ac:dyDescent="0.2">
      <c r="A14" s="162">
        <v>11</v>
      </c>
      <c r="B14" s="162" t="s">
        <v>417</v>
      </c>
      <c r="C14" s="163" t="s">
        <v>15</v>
      </c>
      <c r="D14" s="164">
        <v>6000000</v>
      </c>
      <c r="E14" s="164" t="s">
        <v>181</v>
      </c>
      <c r="F14" s="164" t="s">
        <v>180</v>
      </c>
      <c r="G14" s="164" t="s">
        <v>182</v>
      </c>
      <c r="H14" s="164" t="s">
        <v>183</v>
      </c>
      <c r="I14" s="165" t="s">
        <v>77</v>
      </c>
      <c r="J14" s="167">
        <v>44753</v>
      </c>
      <c r="K14" s="167">
        <f>J14+3*30+2</f>
        <v>44845</v>
      </c>
      <c r="L14" s="167">
        <f t="shared" si="9"/>
        <v>44937</v>
      </c>
      <c r="M14" s="167">
        <f t="shared" si="9"/>
        <v>45027</v>
      </c>
      <c r="N14" s="167">
        <f t="shared" si="9"/>
        <v>45118</v>
      </c>
      <c r="O14" s="167">
        <f>EDATE(N14,3)</f>
        <v>45210</v>
      </c>
      <c r="P14" s="167">
        <f t="shared" si="9"/>
        <v>45302</v>
      </c>
      <c r="Q14" s="167">
        <f t="shared" si="10"/>
        <v>45393</v>
      </c>
      <c r="R14" s="167">
        <f t="shared" si="10"/>
        <v>45484</v>
      </c>
      <c r="S14" s="167">
        <f>EDATE(R14,3)</f>
        <v>45576</v>
      </c>
      <c r="T14" s="167">
        <f>EDATE(S14,3)</f>
        <v>45668</v>
      </c>
      <c r="U14" s="167">
        <f>EDATE(T14,3)</f>
        <v>45758</v>
      </c>
      <c r="V14" s="167">
        <f t="shared" ref="V14:AG14" si="13">EDATE(U14,3)</f>
        <v>45849</v>
      </c>
      <c r="W14" s="167">
        <f>EDATE(V14,3)</f>
        <v>45941</v>
      </c>
      <c r="X14" s="167">
        <f>EDATE(W14,3)</f>
        <v>46033</v>
      </c>
      <c r="Y14" s="168">
        <f t="shared" si="13"/>
        <v>46123</v>
      </c>
      <c r="Z14" s="167">
        <f t="shared" si="13"/>
        <v>46214</v>
      </c>
      <c r="AA14" s="167">
        <f t="shared" si="13"/>
        <v>46306</v>
      </c>
      <c r="AB14" s="167">
        <f t="shared" si="13"/>
        <v>46398</v>
      </c>
      <c r="AC14" s="167">
        <f t="shared" si="13"/>
        <v>46488</v>
      </c>
      <c r="AD14" s="167">
        <f t="shared" si="13"/>
        <v>46579</v>
      </c>
      <c r="AE14" s="167">
        <f t="shared" si="13"/>
        <v>46671</v>
      </c>
      <c r="AF14" s="167">
        <f t="shared" si="13"/>
        <v>46763</v>
      </c>
      <c r="AG14" s="167">
        <f t="shared" si="13"/>
        <v>46854</v>
      </c>
      <c r="AH14" s="186">
        <f ca="1">Y14-TODAY()</f>
        <v>-79</v>
      </c>
      <c r="AI14" s="164">
        <f>3*D14</f>
        <v>18000000</v>
      </c>
      <c r="AJ14" s="162" t="s">
        <v>944</v>
      </c>
    </row>
    <row r="15" spans="1:36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 t="s">
        <v>306</v>
      </c>
      <c r="F15" s="164" t="s">
        <v>186</v>
      </c>
      <c r="G15" s="164" t="s">
        <v>194</v>
      </c>
      <c r="H15" s="164" t="s">
        <v>188</v>
      </c>
      <c r="I15" s="165" t="s">
        <v>79</v>
      </c>
      <c r="J15" s="167">
        <v>44793</v>
      </c>
      <c r="K15" s="167">
        <f>EDATE(J15,6)</f>
        <v>44977</v>
      </c>
      <c r="L15" s="167">
        <f>EDATE(K15,6)</f>
        <v>45158</v>
      </c>
      <c r="M15" s="166">
        <f>EDATE(L15,6)</f>
        <v>45342</v>
      </c>
      <c r="N15" s="167">
        <f>EDATE(M15,6)</f>
        <v>45524</v>
      </c>
      <c r="O15" s="167">
        <f>EDATE(N15,6)</f>
        <v>45708</v>
      </c>
      <c r="P15" s="167">
        <f t="shared" ref="P15:AG16" si="14">EDATE(O15,6)</f>
        <v>45889</v>
      </c>
      <c r="Q15" s="167">
        <f t="shared" si="14"/>
        <v>46073</v>
      </c>
      <c r="R15" s="168">
        <f t="shared" si="14"/>
        <v>46254</v>
      </c>
      <c r="S15" s="167">
        <f t="shared" si="14"/>
        <v>46438</v>
      </c>
      <c r="T15" s="167">
        <f t="shared" si="14"/>
        <v>46619</v>
      </c>
      <c r="U15" s="167">
        <f t="shared" si="14"/>
        <v>46803</v>
      </c>
      <c r="V15" s="167">
        <f t="shared" si="14"/>
        <v>46985</v>
      </c>
      <c r="W15" s="167">
        <f t="shared" si="14"/>
        <v>47169</v>
      </c>
      <c r="X15" s="167">
        <f t="shared" si="14"/>
        <v>47350</v>
      </c>
      <c r="Y15" s="167">
        <f t="shared" si="14"/>
        <v>47534</v>
      </c>
      <c r="Z15" s="167">
        <f t="shared" si="14"/>
        <v>47715</v>
      </c>
      <c r="AA15" s="167">
        <f t="shared" si="14"/>
        <v>47899</v>
      </c>
      <c r="AB15" s="167">
        <f t="shared" si="14"/>
        <v>48080</v>
      </c>
      <c r="AC15" s="167">
        <f t="shared" si="14"/>
        <v>48264</v>
      </c>
      <c r="AD15" s="167">
        <f t="shared" si="14"/>
        <v>48446</v>
      </c>
      <c r="AE15" s="167">
        <f t="shared" si="14"/>
        <v>48630</v>
      </c>
      <c r="AF15" s="167">
        <f t="shared" si="14"/>
        <v>48811</v>
      </c>
      <c r="AG15" s="167">
        <f t="shared" si="14"/>
        <v>48995</v>
      </c>
      <c r="AH15" s="186">
        <f ca="1">R15-TODAY()</f>
        <v>52</v>
      </c>
      <c r="AI15" s="164">
        <f>6*D15</f>
        <v>42000000</v>
      </c>
      <c r="AJ15" s="162" t="s">
        <v>942</v>
      </c>
    </row>
    <row r="16" spans="1:36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 t="s">
        <v>192</v>
      </c>
      <c r="F16" s="164" t="s">
        <v>193</v>
      </c>
      <c r="G16" s="164" t="s">
        <v>194</v>
      </c>
      <c r="H16" s="164" t="s">
        <v>191</v>
      </c>
      <c r="I16" s="190" t="s">
        <v>79</v>
      </c>
      <c r="J16" s="167">
        <v>44706</v>
      </c>
      <c r="K16" s="167">
        <v>44890</v>
      </c>
      <c r="L16" s="166">
        <f>EDATE(K16,6)</f>
        <v>45071</v>
      </c>
      <c r="M16" s="167">
        <f>EDATE(L16,6)</f>
        <v>45255</v>
      </c>
      <c r="N16" s="167">
        <f>EDATE(M16,6)</f>
        <v>45437</v>
      </c>
      <c r="O16" s="167">
        <f>EDATE(N16,6)</f>
        <v>45621</v>
      </c>
      <c r="P16" s="167">
        <f t="shared" si="14"/>
        <v>45802</v>
      </c>
      <c r="Q16" s="168">
        <f t="shared" si="14"/>
        <v>45986</v>
      </c>
      <c r="R16" s="167">
        <f t="shared" si="14"/>
        <v>46167</v>
      </c>
      <c r="S16" s="167">
        <f t="shared" si="14"/>
        <v>46351</v>
      </c>
      <c r="T16" s="167">
        <f t="shared" si="14"/>
        <v>46532</v>
      </c>
      <c r="U16" s="167">
        <f t="shared" si="14"/>
        <v>46716</v>
      </c>
      <c r="V16" s="167">
        <f t="shared" si="14"/>
        <v>46898</v>
      </c>
      <c r="W16" s="167">
        <f t="shared" si="14"/>
        <v>47082</v>
      </c>
      <c r="X16" s="167">
        <f t="shared" si="14"/>
        <v>47263</v>
      </c>
      <c r="Y16" s="167">
        <f t="shared" si="14"/>
        <v>47447</v>
      </c>
      <c r="Z16" s="167">
        <f t="shared" si="14"/>
        <v>47628</v>
      </c>
      <c r="AA16" s="167">
        <f t="shared" si="14"/>
        <v>47812</v>
      </c>
      <c r="AB16" s="167">
        <f t="shared" si="14"/>
        <v>47993</v>
      </c>
      <c r="AC16" s="167">
        <f t="shared" si="14"/>
        <v>48177</v>
      </c>
      <c r="AD16" s="167">
        <f t="shared" si="14"/>
        <v>48359</v>
      </c>
      <c r="AE16" s="167">
        <f t="shared" si="14"/>
        <v>48543</v>
      </c>
      <c r="AF16" s="167">
        <f t="shared" si="14"/>
        <v>48724</v>
      </c>
      <c r="AG16" s="167">
        <f t="shared" si="14"/>
        <v>48908</v>
      </c>
      <c r="AH16" s="169">
        <f ca="1">R16-TODAY()</f>
        <v>-35</v>
      </c>
      <c r="AI16" s="164">
        <f>6*D16</f>
        <v>39600000</v>
      </c>
      <c r="AJ16" s="162" t="s">
        <v>942</v>
      </c>
    </row>
    <row r="17" spans="1:36" x14ac:dyDescent="0.2">
      <c r="A17" s="171">
        <v>14</v>
      </c>
      <c r="B17" s="184" t="s">
        <v>228</v>
      </c>
      <c r="C17" s="163" t="s">
        <v>229</v>
      </c>
      <c r="D17" s="164">
        <v>7000000</v>
      </c>
      <c r="E17" s="164" t="s">
        <v>946</v>
      </c>
      <c r="F17" s="164" t="s">
        <v>232</v>
      </c>
      <c r="G17" s="164" t="s">
        <v>102</v>
      </c>
      <c r="H17" s="164" t="s">
        <v>233</v>
      </c>
      <c r="I17" s="165" t="s">
        <v>77</v>
      </c>
      <c r="J17" s="167">
        <v>44713</v>
      </c>
      <c r="K17" s="166">
        <f>J17+90+2</f>
        <v>44805</v>
      </c>
      <c r="L17" s="166">
        <f t="shared" ref="L17:R17" si="15">EDATE(K17,3)</f>
        <v>44896</v>
      </c>
      <c r="M17" s="166">
        <f t="shared" si="15"/>
        <v>44986</v>
      </c>
      <c r="N17" s="167">
        <f t="shared" si="15"/>
        <v>45078</v>
      </c>
      <c r="O17" s="166">
        <f t="shared" si="15"/>
        <v>45170</v>
      </c>
      <c r="P17" s="166">
        <f t="shared" si="15"/>
        <v>45261</v>
      </c>
      <c r="Q17" s="166">
        <f t="shared" si="15"/>
        <v>45352</v>
      </c>
      <c r="R17" s="166">
        <f t="shared" si="15"/>
        <v>45444</v>
      </c>
      <c r="S17" s="166">
        <f>EDATE(R17,3)</f>
        <v>45536</v>
      </c>
      <c r="T17" s="166">
        <f>EDATE(S17,3)</f>
        <v>45627</v>
      </c>
      <c r="U17" s="166">
        <f t="shared" ref="U17:AG17" si="16">EDATE(T17,3)</f>
        <v>45717</v>
      </c>
      <c r="V17" s="166">
        <f t="shared" si="16"/>
        <v>45809</v>
      </c>
      <c r="W17" s="166">
        <f t="shared" si="16"/>
        <v>45901</v>
      </c>
      <c r="X17" s="166">
        <f t="shared" si="16"/>
        <v>45992</v>
      </c>
      <c r="Y17" s="185">
        <f>EDATE(X17,3)</f>
        <v>46082</v>
      </c>
      <c r="Z17" s="166">
        <f>EDATE(Y17,3)</f>
        <v>46174</v>
      </c>
      <c r="AA17" s="166">
        <f t="shared" si="16"/>
        <v>46266</v>
      </c>
      <c r="AB17" s="166">
        <f t="shared" si="16"/>
        <v>46357</v>
      </c>
      <c r="AC17" s="166">
        <f t="shared" si="16"/>
        <v>46447</v>
      </c>
      <c r="AD17" s="166">
        <f t="shared" si="16"/>
        <v>46539</v>
      </c>
      <c r="AE17" s="166">
        <f t="shared" si="16"/>
        <v>46631</v>
      </c>
      <c r="AF17" s="166">
        <f t="shared" si="16"/>
        <v>46722</v>
      </c>
      <c r="AG17" s="166">
        <f t="shared" si="16"/>
        <v>46813</v>
      </c>
      <c r="AH17" s="186">
        <f ca="1">Z17-TODAY()</f>
        <v>-28</v>
      </c>
      <c r="AI17" s="164">
        <f>3*D17</f>
        <v>21000000</v>
      </c>
      <c r="AJ17" s="162" t="s">
        <v>941</v>
      </c>
    </row>
    <row r="18" spans="1:36" x14ac:dyDescent="0.2">
      <c r="A18" s="162">
        <v>15</v>
      </c>
      <c r="B18" s="162" t="s">
        <v>289</v>
      </c>
      <c r="C18" s="163" t="s">
        <v>290</v>
      </c>
      <c r="D18" s="164">
        <v>5300000</v>
      </c>
      <c r="E18" s="164" t="s">
        <v>301</v>
      </c>
      <c r="F18" s="164" t="s">
        <v>300</v>
      </c>
      <c r="G18" s="164" t="s">
        <v>302</v>
      </c>
      <c r="H18" s="164" t="s">
        <v>297</v>
      </c>
      <c r="I18" s="191" t="s">
        <v>79</v>
      </c>
      <c r="J18" s="167">
        <v>44727</v>
      </c>
      <c r="K18" s="167">
        <f>EDATE(J18,6)</f>
        <v>44910</v>
      </c>
      <c r="L18" s="167">
        <f>EDATE(K18,6)</f>
        <v>45092</v>
      </c>
      <c r="M18" s="167">
        <f>EDATE(L18,6)</f>
        <v>45275</v>
      </c>
      <c r="N18" s="167">
        <f>EDATE(M18,6)</f>
        <v>45458</v>
      </c>
      <c r="O18" s="167">
        <f>EDATE(N18,6)</f>
        <v>45641</v>
      </c>
      <c r="P18" s="167">
        <f t="shared" ref="P18:AG18" si="17">EDATE(O18,6)</f>
        <v>45823</v>
      </c>
      <c r="Q18" s="167">
        <f t="shared" si="17"/>
        <v>46006</v>
      </c>
      <c r="R18" s="168">
        <f t="shared" si="17"/>
        <v>46188</v>
      </c>
      <c r="S18" s="167">
        <f t="shared" si="17"/>
        <v>46371</v>
      </c>
      <c r="T18" s="167">
        <f t="shared" si="17"/>
        <v>46553</v>
      </c>
      <c r="U18" s="167">
        <f t="shared" si="17"/>
        <v>46736</v>
      </c>
      <c r="V18" s="167">
        <f t="shared" si="17"/>
        <v>46919</v>
      </c>
      <c r="W18" s="167">
        <f t="shared" si="17"/>
        <v>47102</v>
      </c>
      <c r="X18" s="167">
        <f t="shared" si="17"/>
        <v>47284</v>
      </c>
      <c r="Y18" s="167">
        <f t="shared" si="17"/>
        <v>47467</v>
      </c>
      <c r="Z18" s="167">
        <f t="shared" si="17"/>
        <v>47649</v>
      </c>
      <c r="AA18" s="167">
        <f t="shared" si="17"/>
        <v>47832</v>
      </c>
      <c r="AB18" s="167">
        <f t="shared" si="17"/>
        <v>48014</v>
      </c>
      <c r="AC18" s="167">
        <f t="shared" si="17"/>
        <v>48197</v>
      </c>
      <c r="AD18" s="167">
        <f t="shared" si="17"/>
        <v>48380</v>
      </c>
      <c r="AE18" s="167">
        <f t="shared" si="17"/>
        <v>48563</v>
      </c>
      <c r="AF18" s="167">
        <f t="shared" si="17"/>
        <v>48745</v>
      </c>
      <c r="AG18" s="167">
        <f t="shared" si="17"/>
        <v>48928</v>
      </c>
      <c r="AH18" s="186">
        <f ca="1">R18-TODAY()</f>
        <v>-14</v>
      </c>
      <c r="AI18" s="164">
        <f>6*D18</f>
        <v>31800000</v>
      </c>
      <c r="AJ18" s="162" t="s">
        <v>942</v>
      </c>
    </row>
    <row r="19" spans="1:36" x14ac:dyDescent="0.2">
      <c r="A19" s="171">
        <v>16</v>
      </c>
      <c r="B19" s="162" t="s">
        <v>315</v>
      </c>
      <c r="C19" s="163" t="s">
        <v>15</v>
      </c>
      <c r="D19" s="164">
        <v>6000000</v>
      </c>
      <c r="E19" s="164" t="s">
        <v>331</v>
      </c>
      <c r="F19" s="164" t="s">
        <v>332</v>
      </c>
      <c r="G19" s="164" t="s">
        <v>333</v>
      </c>
      <c r="H19" s="164" t="s">
        <v>334</v>
      </c>
      <c r="I19" s="165" t="s">
        <v>77</v>
      </c>
      <c r="J19" s="167">
        <v>44785</v>
      </c>
      <c r="K19" s="167">
        <f t="shared" ref="K19:Q19" si="18">EDATE(J19,3)</f>
        <v>44877</v>
      </c>
      <c r="L19" s="167">
        <f t="shared" si="18"/>
        <v>44969</v>
      </c>
      <c r="M19" s="167">
        <f t="shared" si="18"/>
        <v>45058</v>
      </c>
      <c r="N19" s="167">
        <f t="shared" si="18"/>
        <v>45150</v>
      </c>
      <c r="O19" s="167">
        <f t="shared" si="18"/>
        <v>45242</v>
      </c>
      <c r="P19" s="167">
        <f t="shared" si="18"/>
        <v>45334</v>
      </c>
      <c r="Q19" s="167">
        <f t="shared" si="18"/>
        <v>45424</v>
      </c>
      <c r="R19" s="167">
        <f>EDATE(Q19,3)</f>
        <v>45516</v>
      </c>
      <c r="S19" s="167">
        <f t="shared" ref="S19:AG19" si="19">EDATE(R19,3)</f>
        <v>45608</v>
      </c>
      <c r="T19" s="167">
        <f t="shared" si="19"/>
        <v>45700</v>
      </c>
      <c r="U19" s="167">
        <f t="shared" si="19"/>
        <v>45789</v>
      </c>
      <c r="V19" s="167">
        <f t="shared" si="19"/>
        <v>45881</v>
      </c>
      <c r="W19" s="167">
        <f>EDATE(V19,3)</f>
        <v>45973</v>
      </c>
      <c r="X19" s="167">
        <f>EDATE(W19,3)</f>
        <v>46065</v>
      </c>
      <c r="Y19" s="168">
        <f t="shared" si="19"/>
        <v>46154</v>
      </c>
      <c r="Z19" s="167">
        <f t="shared" si="19"/>
        <v>46246</v>
      </c>
      <c r="AA19" s="167">
        <f t="shared" si="19"/>
        <v>46338</v>
      </c>
      <c r="AB19" s="167">
        <f t="shared" si="19"/>
        <v>46430</v>
      </c>
      <c r="AC19" s="167">
        <f t="shared" si="19"/>
        <v>46519</v>
      </c>
      <c r="AD19" s="167">
        <f t="shared" si="19"/>
        <v>46611</v>
      </c>
      <c r="AE19" s="167">
        <f t="shared" si="19"/>
        <v>46703</v>
      </c>
      <c r="AF19" s="167">
        <f t="shared" si="19"/>
        <v>46795</v>
      </c>
      <c r="AG19" s="167">
        <f t="shared" si="19"/>
        <v>46885</v>
      </c>
      <c r="AH19" s="186">
        <f ca="1">Y19-TODAY()</f>
        <v>-48</v>
      </c>
      <c r="AI19" s="164">
        <f>3*D19</f>
        <v>18000000</v>
      </c>
      <c r="AJ19" s="162" t="s">
        <v>944</v>
      </c>
    </row>
    <row r="20" spans="1:36" x14ac:dyDescent="0.2">
      <c r="A20" s="162" t="s">
        <v>1141</v>
      </c>
      <c r="B20" s="172" t="s">
        <v>421</v>
      </c>
      <c r="C20" s="163" t="s">
        <v>15</v>
      </c>
      <c r="D20" s="173">
        <v>5000000</v>
      </c>
      <c r="E20" s="173" t="s">
        <v>338</v>
      </c>
      <c r="F20" s="173" t="s">
        <v>339</v>
      </c>
      <c r="G20" s="173" t="s">
        <v>340</v>
      </c>
      <c r="H20" s="173" t="s">
        <v>341</v>
      </c>
      <c r="I20" s="174" t="s">
        <v>79</v>
      </c>
      <c r="J20" s="177">
        <v>44805</v>
      </c>
      <c r="K20" s="177">
        <f>EDATE(J20,6)</f>
        <v>44986</v>
      </c>
      <c r="L20" s="175">
        <f t="shared" ref="L20:AG20" si="20">EDATE(K20,6)</f>
        <v>45170</v>
      </c>
      <c r="M20" s="175">
        <f t="shared" si="20"/>
        <v>45352</v>
      </c>
      <c r="N20" s="177">
        <f>EDATE(M20,6)</f>
        <v>45536</v>
      </c>
      <c r="O20" s="177">
        <f>EDATE(N20,6)</f>
        <v>45717</v>
      </c>
      <c r="P20" s="177">
        <f>EDATE(O20,6)</f>
        <v>45901</v>
      </c>
      <c r="Q20" s="178">
        <f>EDATE(P20,6)</f>
        <v>46082</v>
      </c>
      <c r="R20" s="177">
        <f t="shared" si="20"/>
        <v>46266</v>
      </c>
      <c r="S20" s="177">
        <f t="shared" si="20"/>
        <v>46447</v>
      </c>
      <c r="T20" s="177">
        <f t="shared" si="20"/>
        <v>46631</v>
      </c>
      <c r="U20" s="177">
        <f t="shared" si="20"/>
        <v>46813</v>
      </c>
      <c r="V20" s="177">
        <f>EDATE(U20,6)-1</f>
        <v>46996</v>
      </c>
      <c r="W20" s="177">
        <f t="shared" si="20"/>
        <v>47177</v>
      </c>
      <c r="X20" s="177">
        <f t="shared" si="20"/>
        <v>47358</v>
      </c>
      <c r="Y20" s="177">
        <f t="shared" si="20"/>
        <v>47542</v>
      </c>
      <c r="Z20" s="177">
        <f t="shared" si="20"/>
        <v>47723</v>
      </c>
      <c r="AA20" s="177">
        <f t="shared" si="20"/>
        <v>47907</v>
      </c>
      <c r="AB20" s="177">
        <f t="shared" si="20"/>
        <v>48088</v>
      </c>
      <c r="AC20" s="177">
        <f t="shared" si="20"/>
        <v>48272</v>
      </c>
      <c r="AD20" s="177">
        <f t="shared" si="20"/>
        <v>48454</v>
      </c>
      <c r="AE20" s="177">
        <f t="shared" si="20"/>
        <v>48638</v>
      </c>
      <c r="AF20" s="177">
        <f t="shared" si="20"/>
        <v>48819</v>
      </c>
      <c r="AG20" s="177">
        <f t="shared" si="20"/>
        <v>49003</v>
      </c>
      <c r="AH20" s="192">
        <f ca="1">R20-TODAY()</f>
        <v>64</v>
      </c>
      <c r="AI20" s="173">
        <f>6*D20</f>
        <v>30000000</v>
      </c>
      <c r="AJ20" s="171" t="s">
        <v>942</v>
      </c>
    </row>
    <row r="21" spans="1:36" x14ac:dyDescent="0.2">
      <c r="A21" s="171">
        <v>18</v>
      </c>
      <c r="B21" s="193" t="s">
        <v>643</v>
      </c>
      <c r="C21" s="163" t="s">
        <v>66</v>
      </c>
      <c r="D21" s="164">
        <v>6500000</v>
      </c>
      <c r="E21" s="164" t="s">
        <v>601</v>
      </c>
      <c r="F21" s="164" t="s">
        <v>595</v>
      </c>
      <c r="G21" s="164" t="s">
        <v>400</v>
      </c>
      <c r="H21" s="164" t="s">
        <v>352</v>
      </c>
      <c r="I21" s="165" t="s">
        <v>77</v>
      </c>
      <c r="J21" s="167">
        <v>44717</v>
      </c>
      <c r="K21" s="182">
        <f t="shared" ref="K21:AG21" si="21">EDATE(J21,3)</f>
        <v>44809</v>
      </c>
      <c r="L21" s="166">
        <f t="shared" si="21"/>
        <v>44900</v>
      </c>
      <c r="M21" s="166">
        <f t="shared" si="21"/>
        <v>44990</v>
      </c>
      <c r="N21" s="167">
        <f t="shared" si="21"/>
        <v>45082</v>
      </c>
      <c r="O21" s="167">
        <f t="shared" si="21"/>
        <v>45174</v>
      </c>
      <c r="P21" s="167">
        <f t="shared" si="21"/>
        <v>45265</v>
      </c>
      <c r="Q21" s="167">
        <f t="shared" si="21"/>
        <v>45356</v>
      </c>
      <c r="R21" s="167">
        <f>EDATE(Q21,3)</f>
        <v>45448</v>
      </c>
      <c r="S21" s="167">
        <f t="shared" si="21"/>
        <v>45540</v>
      </c>
      <c r="T21" s="167">
        <f t="shared" si="21"/>
        <v>45631</v>
      </c>
      <c r="U21" s="167">
        <f t="shared" si="21"/>
        <v>45721</v>
      </c>
      <c r="V21" s="167">
        <f t="shared" si="21"/>
        <v>45813</v>
      </c>
      <c r="W21" s="167">
        <f t="shared" si="21"/>
        <v>45905</v>
      </c>
      <c r="X21" s="167">
        <f t="shared" si="21"/>
        <v>45996</v>
      </c>
      <c r="Y21" s="168">
        <f t="shared" si="21"/>
        <v>46086</v>
      </c>
      <c r="Z21" s="167">
        <f t="shared" si="21"/>
        <v>46178</v>
      </c>
      <c r="AA21" s="167">
        <f t="shared" si="21"/>
        <v>46270</v>
      </c>
      <c r="AB21" s="167">
        <f t="shared" si="21"/>
        <v>46361</v>
      </c>
      <c r="AC21" s="167">
        <f t="shared" si="21"/>
        <v>46451</v>
      </c>
      <c r="AD21" s="167">
        <f t="shared" si="21"/>
        <v>46543</v>
      </c>
      <c r="AE21" s="167">
        <f t="shared" si="21"/>
        <v>46635</v>
      </c>
      <c r="AF21" s="167">
        <f t="shared" si="21"/>
        <v>46726</v>
      </c>
      <c r="AG21" s="167">
        <f t="shared" si="21"/>
        <v>46817</v>
      </c>
      <c r="AH21" s="186">
        <f ca="1">Z21-TODAY()</f>
        <v>-24</v>
      </c>
      <c r="AI21" s="164">
        <f>3*D21</f>
        <v>19500000</v>
      </c>
      <c r="AJ21" s="162" t="s">
        <v>941</v>
      </c>
    </row>
    <row r="22" spans="1:36" x14ac:dyDescent="0.2">
      <c r="A22" s="162">
        <v>19</v>
      </c>
      <c r="B22" s="162" t="s">
        <v>346</v>
      </c>
      <c r="C22" s="163" t="s">
        <v>66</v>
      </c>
      <c r="D22" s="164">
        <v>4000000</v>
      </c>
      <c r="E22" s="164" t="s">
        <v>370</v>
      </c>
      <c r="F22" s="164" t="s">
        <v>369</v>
      </c>
      <c r="G22" s="164" t="s">
        <v>371</v>
      </c>
      <c r="H22" s="164" t="s">
        <v>348</v>
      </c>
      <c r="I22" s="167" t="s">
        <v>79</v>
      </c>
      <c r="J22" s="167">
        <v>44781</v>
      </c>
      <c r="K22" s="167">
        <f t="shared" ref="K22:P23" si="22">EDATE(J22,6)</f>
        <v>44965</v>
      </c>
      <c r="L22" s="166">
        <f t="shared" si="22"/>
        <v>45146</v>
      </c>
      <c r="M22" s="166">
        <f t="shared" si="22"/>
        <v>45330</v>
      </c>
      <c r="N22" s="166">
        <f t="shared" si="22"/>
        <v>45512</v>
      </c>
      <c r="O22" s="166">
        <f t="shared" si="22"/>
        <v>45696</v>
      </c>
      <c r="P22" s="166">
        <f t="shared" si="22"/>
        <v>45877</v>
      </c>
      <c r="Q22" s="166">
        <f>EDATE(P22,6)</f>
        <v>46061</v>
      </c>
      <c r="R22" s="185">
        <f t="shared" ref="R22:AG23" si="23">EDATE(Q22,6)</f>
        <v>46242</v>
      </c>
      <c r="S22" s="166">
        <f t="shared" si="23"/>
        <v>46426</v>
      </c>
      <c r="T22" s="166">
        <f t="shared" si="23"/>
        <v>46607</v>
      </c>
      <c r="U22" s="166">
        <f t="shared" si="23"/>
        <v>46791</v>
      </c>
      <c r="V22" s="166">
        <f t="shared" si="23"/>
        <v>46973</v>
      </c>
      <c r="W22" s="166">
        <f t="shared" si="23"/>
        <v>47157</v>
      </c>
      <c r="X22" s="166">
        <f t="shared" si="23"/>
        <v>47338</v>
      </c>
      <c r="Y22" s="166">
        <f t="shared" si="23"/>
        <v>47522</v>
      </c>
      <c r="Z22" s="166">
        <f t="shared" si="23"/>
        <v>47703</v>
      </c>
      <c r="AA22" s="166">
        <f t="shared" si="23"/>
        <v>47887</v>
      </c>
      <c r="AB22" s="166">
        <f t="shared" si="23"/>
        <v>48068</v>
      </c>
      <c r="AC22" s="166">
        <f t="shared" si="23"/>
        <v>48252</v>
      </c>
      <c r="AD22" s="166">
        <f t="shared" si="23"/>
        <v>48434</v>
      </c>
      <c r="AE22" s="166">
        <f t="shared" si="23"/>
        <v>48618</v>
      </c>
      <c r="AF22" s="166">
        <f t="shared" si="23"/>
        <v>48799</v>
      </c>
      <c r="AG22" s="166">
        <f t="shared" si="23"/>
        <v>48983</v>
      </c>
      <c r="AH22" s="186">
        <f ca="1">R22-TODAY()</f>
        <v>40</v>
      </c>
      <c r="AI22" s="164">
        <f>6*D22</f>
        <v>24000000</v>
      </c>
      <c r="AJ22" s="162" t="s">
        <v>942</v>
      </c>
    </row>
    <row r="23" spans="1:36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95" t="s">
        <v>947</v>
      </c>
      <c r="F23" s="164" t="s">
        <v>292</v>
      </c>
      <c r="G23" s="164" t="s">
        <v>304</v>
      </c>
      <c r="H23" s="164" t="s">
        <v>293</v>
      </c>
      <c r="I23" s="167" t="s">
        <v>79</v>
      </c>
      <c r="J23" s="167">
        <v>44781</v>
      </c>
      <c r="K23" s="167">
        <f t="shared" si="22"/>
        <v>44965</v>
      </c>
      <c r="L23" s="166">
        <f t="shared" si="22"/>
        <v>45146</v>
      </c>
      <c r="M23" s="166">
        <f t="shared" si="22"/>
        <v>45330</v>
      </c>
      <c r="N23" s="166">
        <f t="shared" si="22"/>
        <v>45512</v>
      </c>
      <c r="O23" s="166">
        <f t="shared" si="22"/>
        <v>45696</v>
      </c>
      <c r="P23" s="166">
        <f t="shared" si="22"/>
        <v>45877</v>
      </c>
      <c r="Q23" s="166">
        <f>EDATE(P23,6)</f>
        <v>46061</v>
      </c>
      <c r="R23" s="185">
        <f t="shared" si="23"/>
        <v>46242</v>
      </c>
      <c r="S23" s="166">
        <f t="shared" si="23"/>
        <v>46426</v>
      </c>
      <c r="T23" s="166">
        <f t="shared" si="23"/>
        <v>46607</v>
      </c>
      <c r="U23" s="166">
        <f t="shared" si="23"/>
        <v>46791</v>
      </c>
      <c r="V23" s="166">
        <f t="shared" si="23"/>
        <v>46973</v>
      </c>
      <c r="W23" s="166">
        <f t="shared" si="23"/>
        <v>47157</v>
      </c>
      <c r="X23" s="166">
        <f t="shared" si="23"/>
        <v>47338</v>
      </c>
      <c r="Y23" s="166">
        <f t="shared" si="23"/>
        <v>47522</v>
      </c>
      <c r="Z23" s="166">
        <f t="shared" si="23"/>
        <v>47703</v>
      </c>
      <c r="AA23" s="166">
        <f t="shared" si="23"/>
        <v>47887</v>
      </c>
      <c r="AB23" s="166">
        <f t="shared" si="23"/>
        <v>48068</v>
      </c>
      <c r="AC23" s="166">
        <f t="shared" si="23"/>
        <v>48252</v>
      </c>
      <c r="AD23" s="166">
        <f t="shared" si="23"/>
        <v>48434</v>
      </c>
      <c r="AE23" s="166">
        <f t="shared" si="23"/>
        <v>48618</v>
      </c>
      <c r="AF23" s="166">
        <f t="shared" si="23"/>
        <v>48799</v>
      </c>
      <c r="AG23" s="166">
        <f t="shared" si="23"/>
        <v>48983</v>
      </c>
      <c r="AH23" s="186">
        <f ca="1">R23-TODAY()</f>
        <v>40</v>
      </c>
      <c r="AI23" s="164">
        <f>D23*6</f>
        <v>36000000</v>
      </c>
      <c r="AJ23" s="162" t="s">
        <v>942</v>
      </c>
    </row>
    <row r="24" spans="1:36" x14ac:dyDescent="0.2">
      <c r="A24" s="162">
        <v>21</v>
      </c>
      <c r="B24" s="163" t="s">
        <v>529</v>
      </c>
      <c r="C24" s="163" t="s">
        <v>15</v>
      </c>
      <c r="D24" s="164">
        <v>5000000</v>
      </c>
      <c r="E24" s="164" t="s">
        <v>374</v>
      </c>
      <c r="F24" s="164" t="s">
        <v>375</v>
      </c>
      <c r="G24" s="164" t="s">
        <v>376</v>
      </c>
      <c r="H24" s="164" t="s">
        <v>377</v>
      </c>
      <c r="I24" s="167" t="s">
        <v>77</v>
      </c>
      <c r="J24" s="167">
        <v>44917</v>
      </c>
      <c r="K24" s="182">
        <f t="shared" ref="K24:Z25" si="24">EDATE(J24,3)</f>
        <v>45007</v>
      </c>
      <c r="L24" s="166">
        <f t="shared" si="24"/>
        <v>45099</v>
      </c>
      <c r="M24" s="167">
        <f t="shared" si="24"/>
        <v>45191</v>
      </c>
      <c r="N24" s="166">
        <f t="shared" si="24"/>
        <v>45282</v>
      </c>
      <c r="O24" s="167">
        <f t="shared" si="24"/>
        <v>45373</v>
      </c>
      <c r="P24" s="166">
        <f t="shared" si="24"/>
        <v>45465</v>
      </c>
      <c r="Q24" s="167">
        <f t="shared" si="24"/>
        <v>45557</v>
      </c>
      <c r="R24" s="167">
        <f t="shared" si="24"/>
        <v>45648</v>
      </c>
      <c r="S24" s="167">
        <f t="shared" si="24"/>
        <v>45738</v>
      </c>
      <c r="T24" s="167">
        <f t="shared" si="24"/>
        <v>45830</v>
      </c>
      <c r="U24" s="167">
        <f t="shared" si="24"/>
        <v>45922</v>
      </c>
      <c r="V24" s="167">
        <f t="shared" si="24"/>
        <v>46013</v>
      </c>
      <c r="W24" s="168">
        <f t="shared" si="24"/>
        <v>46103</v>
      </c>
      <c r="X24" s="167">
        <f t="shared" si="24"/>
        <v>46195</v>
      </c>
      <c r="Y24" s="167">
        <f t="shared" si="24"/>
        <v>46287</v>
      </c>
      <c r="Z24" s="167">
        <f t="shared" si="24"/>
        <v>46378</v>
      </c>
      <c r="AA24" s="167">
        <f t="shared" ref="AA24:AG25" si="25">EDATE(Z24,3)</f>
        <v>46468</v>
      </c>
      <c r="AB24" s="167">
        <f t="shared" si="25"/>
        <v>46560</v>
      </c>
      <c r="AC24" s="167">
        <f t="shared" si="25"/>
        <v>46652</v>
      </c>
      <c r="AD24" s="167">
        <f t="shared" si="25"/>
        <v>46743</v>
      </c>
      <c r="AE24" s="167">
        <f t="shared" si="25"/>
        <v>46834</v>
      </c>
      <c r="AF24" s="167">
        <f t="shared" si="25"/>
        <v>46926</v>
      </c>
      <c r="AG24" s="167">
        <f t="shared" si="25"/>
        <v>47018</v>
      </c>
      <c r="AH24" s="186">
        <f ca="1">X24-TODAY()</f>
        <v>-7</v>
      </c>
      <c r="AI24" s="187">
        <f>3*D24</f>
        <v>15000000</v>
      </c>
      <c r="AJ24" s="162" t="s">
        <v>948</v>
      </c>
    </row>
    <row r="25" spans="1:36" x14ac:dyDescent="0.2">
      <c r="A25" s="171">
        <v>22</v>
      </c>
      <c r="B25" s="171" t="s">
        <v>106</v>
      </c>
      <c r="C25" s="163" t="s">
        <v>378</v>
      </c>
      <c r="D25" s="194">
        <v>6500000</v>
      </c>
      <c r="E25" s="196" t="s">
        <v>949</v>
      </c>
      <c r="F25" s="173" t="s">
        <v>950</v>
      </c>
      <c r="G25" s="173" t="s">
        <v>400</v>
      </c>
      <c r="H25" s="173" t="s">
        <v>381</v>
      </c>
      <c r="I25" s="177" t="s">
        <v>77</v>
      </c>
      <c r="J25" s="177">
        <v>44788</v>
      </c>
      <c r="K25" s="177">
        <f t="shared" si="24"/>
        <v>44880</v>
      </c>
      <c r="L25" s="177">
        <f t="shared" si="24"/>
        <v>44972</v>
      </c>
      <c r="M25" s="177">
        <f t="shared" si="24"/>
        <v>45061</v>
      </c>
      <c r="N25" s="177">
        <f>EDATE(M25,3)</f>
        <v>45153</v>
      </c>
      <c r="O25" s="177">
        <f>EDATE(N25,3)</f>
        <v>45245</v>
      </c>
      <c r="P25" s="167">
        <f>EDATE(O25,3)</f>
        <v>45337</v>
      </c>
      <c r="Q25" s="167">
        <f>EDATE(P25,3)</f>
        <v>45427</v>
      </c>
      <c r="R25" s="167">
        <f>EDATE(Q25,3)</f>
        <v>45519</v>
      </c>
      <c r="S25" s="167">
        <f t="shared" si="24"/>
        <v>45611</v>
      </c>
      <c r="T25" s="167">
        <f t="shared" si="24"/>
        <v>45703</v>
      </c>
      <c r="U25" s="167">
        <f t="shared" si="24"/>
        <v>45792</v>
      </c>
      <c r="V25" s="167">
        <f t="shared" si="24"/>
        <v>45884</v>
      </c>
      <c r="W25" s="167">
        <f t="shared" si="24"/>
        <v>45976</v>
      </c>
      <c r="X25" s="167">
        <f t="shared" si="24"/>
        <v>46068</v>
      </c>
      <c r="Y25" s="168">
        <f t="shared" si="24"/>
        <v>46157</v>
      </c>
      <c r="Z25" s="167">
        <f t="shared" si="24"/>
        <v>46249</v>
      </c>
      <c r="AA25" s="167">
        <f t="shared" si="25"/>
        <v>46341</v>
      </c>
      <c r="AB25" s="167">
        <f t="shared" si="25"/>
        <v>46433</v>
      </c>
      <c r="AC25" s="167">
        <f t="shared" si="25"/>
        <v>46522</v>
      </c>
      <c r="AD25" s="167">
        <f t="shared" si="25"/>
        <v>46614</v>
      </c>
      <c r="AE25" s="167">
        <f t="shared" si="25"/>
        <v>46706</v>
      </c>
      <c r="AF25" s="167">
        <f t="shared" si="25"/>
        <v>46798</v>
      </c>
      <c r="AG25" s="167">
        <f t="shared" si="25"/>
        <v>46888</v>
      </c>
      <c r="AH25" s="192">
        <f ca="1">Y25-TODAY()</f>
        <v>-45</v>
      </c>
      <c r="AI25" s="173">
        <f>3*D25</f>
        <v>19500000</v>
      </c>
      <c r="AJ25" s="171" t="s">
        <v>944</v>
      </c>
    </row>
    <row r="26" spans="1:36" x14ac:dyDescent="0.2">
      <c r="A26" s="162">
        <v>23</v>
      </c>
      <c r="B26" s="162" t="s">
        <v>382</v>
      </c>
      <c r="C26" s="163" t="s">
        <v>156</v>
      </c>
      <c r="D26" s="164" t="s">
        <v>413</v>
      </c>
      <c r="E26" s="164" t="s">
        <v>351</v>
      </c>
      <c r="F26" s="164" t="s">
        <v>385</v>
      </c>
      <c r="G26" s="164" t="s">
        <v>351</v>
      </c>
      <c r="H26" s="164" t="s">
        <v>386</v>
      </c>
      <c r="I26" s="167" t="s">
        <v>79</v>
      </c>
      <c r="J26" s="167">
        <v>44835</v>
      </c>
      <c r="K26" s="182">
        <f t="shared" ref="K26:P26" si="26">EDATE(J26,6)</f>
        <v>45017</v>
      </c>
      <c r="L26" s="166">
        <f t="shared" si="26"/>
        <v>45200</v>
      </c>
      <c r="M26" s="167">
        <f t="shared" si="26"/>
        <v>45383</v>
      </c>
      <c r="N26" s="167">
        <f t="shared" si="26"/>
        <v>45566</v>
      </c>
      <c r="O26" s="167">
        <f t="shared" si="26"/>
        <v>45748</v>
      </c>
      <c r="P26" s="167">
        <f t="shared" si="26"/>
        <v>45931</v>
      </c>
      <c r="Q26" s="167">
        <f>EDATE(P26,6)</f>
        <v>46113</v>
      </c>
      <c r="R26" s="167">
        <f t="shared" ref="R26:AG26" si="27">EDATE(Q26,6)</f>
        <v>46296</v>
      </c>
      <c r="S26" s="167">
        <f t="shared" si="27"/>
        <v>46478</v>
      </c>
      <c r="T26" s="167">
        <f t="shared" si="27"/>
        <v>46661</v>
      </c>
      <c r="U26" s="167">
        <f t="shared" si="27"/>
        <v>46844</v>
      </c>
      <c r="V26" s="167">
        <f t="shared" si="27"/>
        <v>47027</v>
      </c>
      <c r="W26" s="167">
        <f t="shared" si="27"/>
        <v>47209</v>
      </c>
      <c r="X26" s="167">
        <f t="shared" si="27"/>
        <v>47392</v>
      </c>
      <c r="Y26" s="167">
        <f t="shared" si="27"/>
        <v>47574</v>
      </c>
      <c r="Z26" s="167">
        <f t="shared" si="27"/>
        <v>47757</v>
      </c>
      <c r="AA26" s="167">
        <f t="shared" si="27"/>
        <v>47939</v>
      </c>
      <c r="AB26" s="167">
        <f t="shared" si="27"/>
        <v>48122</v>
      </c>
      <c r="AC26" s="167">
        <f t="shared" si="27"/>
        <v>48305</v>
      </c>
      <c r="AD26" s="167">
        <f t="shared" si="27"/>
        <v>48488</v>
      </c>
      <c r="AE26" s="167">
        <f t="shared" si="27"/>
        <v>48670</v>
      </c>
      <c r="AF26" s="167">
        <f t="shared" si="27"/>
        <v>48853</v>
      </c>
      <c r="AG26" s="167">
        <f t="shared" si="27"/>
        <v>49035</v>
      </c>
      <c r="AH26" s="186">
        <f ca="1">Q26-TODAY()</f>
        <v>-89</v>
      </c>
      <c r="AI26" s="164">
        <f>6*D26</f>
        <v>36000000</v>
      </c>
      <c r="AJ26" s="162" t="s">
        <v>951</v>
      </c>
    </row>
    <row r="27" spans="1:36" x14ac:dyDescent="0.2">
      <c r="A27" s="171">
        <v>24</v>
      </c>
      <c r="B27" s="162" t="s">
        <v>383</v>
      </c>
      <c r="C27" s="163" t="s">
        <v>66</v>
      </c>
      <c r="D27" s="164">
        <v>5000000</v>
      </c>
      <c r="E27" s="195" t="s">
        <v>952</v>
      </c>
      <c r="F27" s="164" t="s">
        <v>389</v>
      </c>
      <c r="G27" s="164" t="s">
        <v>390</v>
      </c>
      <c r="H27" s="164" t="s">
        <v>387</v>
      </c>
      <c r="I27" s="177" t="s">
        <v>77</v>
      </c>
      <c r="J27" s="167">
        <v>44774</v>
      </c>
      <c r="K27" s="182">
        <f t="shared" ref="K27:V27" si="28">EDATE(J27,3)</f>
        <v>44866</v>
      </c>
      <c r="L27" s="182">
        <f t="shared" si="28"/>
        <v>44958</v>
      </c>
      <c r="M27" s="182">
        <f t="shared" si="28"/>
        <v>45047</v>
      </c>
      <c r="N27" s="167">
        <f t="shared" si="28"/>
        <v>45139</v>
      </c>
      <c r="O27" s="167">
        <f t="shared" si="28"/>
        <v>45231</v>
      </c>
      <c r="P27" s="167">
        <f t="shared" si="28"/>
        <v>45323</v>
      </c>
      <c r="Q27" s="167">
        <f t="shared" si="28"/>
        <v>45413</v>
      </c>
      <c r="R27" s="167">
        <f t="shared" si="28"/>
        <v>45505</v>
      </c>
      <c r="S27" s="167">
        <f t="shared" si="28"/>
        <v>45597</v>
      </c>
      <c r="T27" s="167">
        <f t="shared" si="28"/>
        <v>45689</v>
      </c>
      <c r="U27" s="167">
        <f t="shared" si="28"/>
        <v>45778</v>
      </c>
      <c r="V27" s="167">
        <f t="shared" si="28"/>
        <v>45870</v>
      </c>
      <c r="W27" s="167">
        <f>EDATE(V27,3)</f>
        <v>45962</v>
      </c>
      <c r="X27" s="167">
        <f>EDATE(W27,3)</f>
        <v>46054</v>
      </c>
      <c r="Y27" s="168">
        <f>EDATE(X27,3)</f>
        <v>46143</v>
      </c>
      <c r="Z27" s="167">
        <f t="shared" ref="Z27:AG27" si="29">EDATE(Y27,3)</f>
        <v>46235</v>
      </c>
      <c r="AA27" s="167">
        <f t="shared" si="29"/>
        <v>46327</v>
      </c>
      <c r="AB27" s="167">
        <f t="shared" si="29"/>
        <v>46419</v>
      </c>
      <c r="AC27" s="167">
        <f t="shared" si="29"/>
        <v>46508</v>
      </c>
      <c r="AD27" s="167">
        <f t="shared" si="29"/>
        <v>46600</v>
      </c>
      <c r="AE27" s="167">
        <f t="shared" si="29"/>
        <v>46692</v>
      </c>
      <c r="AF27" s="167">
        <f t="shared" si="29"/>
        <v>46784</v>
      </c>
      <c r="AG27" s="167">
        <f t="shared" si="29"/>
        <v>46874</v>
      </c>
      <c r="AH27" s="186">
        <f ca="1">Y27-TODAY()</f>
        <v>-59</v>
      </c>
      <c r="AI27" s="164">
        <f>3*D27</f>
        <v>15000000</v>
      </c>
      <c r="AJ27" s="162" t="s">
        <v>944</v>
      </c>
    </row>
    <row r="28" spans="1:36" x14ac:dyDescent="0.2">
      <c r="A28" s="162">
        <v>25</v>
      </c>
      <c r="B28" s="171" t="s">
        <v>402</v>
      </c>
      <c r="C28" s="163" t="s">
        <v>403</v>
      </c>
      <c r="D28" s="173">
        <v>5750000</v>
      </c>
      <c r="E28" s="173" t="s">
        <v>409</v>
      </c>
      <c r="F28" s="173" t="s">
        <v>408</v>
      </c>
      <c r="G28" s="173" t="s">
        <v>410</v>
      </c>
      <c r="H28" s="173" t="s">
        <v>405</v>
      </c>
      <c r="I28" s="191" t="s">
        <v>79</v>
      </c>
      <c r="J28" s="177">
        <v>44728</v>
      </c>
      <c r="K28" s="177">
        <f>EDATE(J28,6)</f>
        <v>44911</v>
      </c>
      <c r="L28" s="177">
        <f>EDATE(K28,6)</f>
        <v>45093</v>
      </c>
      <c r="M28" s="177">
        <f>EDATE(L28,6)</f>
        <v>45276</v>
      </c>
      <c r="N28" s="177">
        <f>EDATE(M28,6)</f>
        <v>45459</v>
      </c>
      <c r="O28" s="177">
        <f>EDATE(N28,6)</f>
        <v>45642</v>
      </c>
      <c r="P28" s="177">
        <f t="shared" ref="P28:AG29" si="30">EDATE(O28,6)</f>
        <v>45824</v>
      </c>
      <c r="Q28" s="177">
        <f t="shared" si="30"/>
        <v>46007</v>
      </c>
      <c r="R28" s="178">
        <f t="shared" si="30"/>
        <v>46189</v>
      </c>
      <c r="S28" s="177">
        <f t="shared" si="30"/>
        <v>46372</v>
      </c>
      <c r="T28" s="177">
        <f t="shared" si="30"/>
        <v>46554</v>
      </c>
      <c r="U28" s="177">
        <f t="shared" si="30"/>
        <v>46737</v>
      </c>
      <c r="V28" s="177">
        <f t="shared" si="30"/>
        <v>46920</v>
      </c>
      <c r="W28" s="177">
        <f t="shared" si="30"/>
        <v>47103</v>
      </c>
      <c r="X28" s="177">
        <f t="shared" si="30"/>
        <v>47285</v>
      </c>
      <c r="Y28" s="177">
        <f t="shared" si="30"/>
        <v>47468</v>
      </c>
      <c r="Z28" s="177">
        <f t="shared" si="30"/>
        <v>47650</v>
      </c>
      <c r="AA28" s="177">
        <f t="shared" si="30"/>
        <v>47833</v>
      </c>
      <c r="AB28" s="177">
        <f t="shared" si="30"/>
        <v>48015</v>
      </c>
      <c r="AC28" s="177">
        <f t="shared" si="30"/>
        <v>48198</v>
      </c>
      <c r="AD28" s="177">
        <f t="shared" si="30"/>
        <v>48381</v>
      </c>
      <c r="AE28" s="177">
        <f t="shared" si="30"/>
        <v>48564</v>
      </c>
      <c r="AF28" s="177">
        <f t="shared" si="30"/>
        <v>48746</v>
      </c>
      <c r="AG28" s="177">
        <f t="shared" si="30"/>
        <v>48929</v>
      </c>
      <c r="AH28" s="192">
        <f ca="1">R28-TODAY()</f>
        <v>-13</v>
      </c>
      <c r="AI28" s="173">
        <f>6*D28</f>
        <v>34500000</v>
      </c>
      <c r="AJ28" s="171" t="s">
        <v>942</v>
      </c>
    </row>
    <row r="29" spans="1:36" x14ac:dyDescent="0.2">
      <c r="A29" s="171">
        <v>26</v>
      </c>
      <c r="B29" s="162" t="s">
        <v>422</v>
      </c>
      <c r="C29" s="163" t="s">
        <v>117</v>
      </c>
      <c r="D29" s="164">
        <v>7000000</v>
      </c>
      <c r="E29" s="164" t="s">
        <v>426</v>
      </c>
      <c r="F29" s="164" t="s">
        <v>424</v>
      </c>
      <c r="G29" s="164" t="s">
        <v>170</v>
      </c>
      <c r="H29" s="164" t="s">
        <v>427</v>
      </c>
      <c r="I29" s="198" t="s">
        <v>79</v>
      </c>
      <c r="J29" s="199">
        <v>44835</v>
      </c>
      <c r="K29" s="182">
        <f>EDATE(J29,6)</f>
        <v>45017</v>
      </c>
      <c r="L29" s="166">
        <f t="shared" ref="L29" si="31">EDATE(K29,6)</f>
        <v>45200</v>
      </c>
      <c r="M29" s="167">
        <f>EDATE(L29,6)</f>
        <v>45383</v>
      </c>
      <c r="N29" s="167">
        <f>EDATE(M29,6)</f>
        <v>45566</v>
      </c>
      <c r="O29" s="167">
        <f t="shared" ref="O29:U29" si="32">EDATE(N29,6)</f>
        <v>45748</v>
      </c>
      <c r="P29" s="167">
        <f>EDATE(O29,6)</f>
        <v>45931</v>
      </c>
      <c r="Q29" s="167" t="s">
        <v>1139</v>
      </c>
      <c r="R29" s="200">
        <v>46023</v>
      </c>
      <c r="S29" s="168">
        <f>EDATE(R29,6)</f>
        <v>46204</v>
      </c>
      <c r="T29" s="167">
        <f t="shared" si="32"/>
        <v>46388</v>
      </c>
      <c r="U29" s="167">
        <f t="shared" si="32"/>
        <v>46569</v>
      </c>
      <c r="V29" s="167">
        <f t="shared" si="30"/>
        <v>46753</v>
      </c>
      <c r="W29" s="167">
        <f t="shared" si="30"/>
        <v>46935</v>
      </c>
      <c r="X29" s="167">
        <f t="shared" si="30"/>
        <v>47119</v>
      </c>
      <c r="Y29" s="167">
        <f t="shared" si="30"/>
        <v>47300</v>
      </c>
      <c r="Z29" s="167">
        <f t="shared" si="30"/>
        <v>47484</v>
      </c>
      <c r="AA29" s="167">
        <f t="shared" si="30"/>
        <v>47665</v>
      </c>
      <c r="AB29" s="167">
        <f t="shared" si="30"/>
        <v>47849</v>
      </c>
      <c r="AC29" s="167">
        <f t="shared" si="30"/>
        <v>48030</v>
      </c>
      <c r="AD29" s="167">
        <f t="shared" si="30"/>
        <v>48214</v>
      </c>
      <c r="AE29" s="167">
        <f t="shared" si="30"/>
        <v>48396</v>
      </c>
      <c r="AF29" s="167">
        <f t="shared" si="30"/>
        <v>48580</v>
      </c>
      <c r="AG29" s="167">
        <f t="shared" si="30"/>
        <v>48761</v>
      </c>
      <c r="AH29" s="186">
        <f ca="1">S29-TODAY()</f>
        <v>2</v>
      </c>
      <c r="AI29" s="201">
        <f>D29*6</f>
        <v>42000000</v>
      </c>
      <c r="AJ29" s="162" t="s">
        <v>953</v>
      </c>
    </row>
    <row r="30" spans="1:36" x14ac:dyDescent="0.2">
      <c r="A30" s="162">
        <v>27</v>
      </c>
      <c r="B30" s="162" t="s">
        <v>428</v>
      </c>
      <c r="C30" s="163" t="s">
        <v>15</v>
      </c>
      <c r="D30" s="201">
        <v>3000000</v>
      </c>
      <c r="E30" s="164" t="s">
        <v>438</v>
      </c>
      <c r="F30" s="164" t="s">
        <v>437</v>
      </c>
      <c r="G30" s="164" t="s">
        <v>435</v>
      </c>
      <c r="H30" s="164" t="s">
        <v>439</v>
      </c>
      <c r="I30" s="162" t="s">
        <v>77</v>
      </c>
      <c r="J30" s="199">
        <v>44870</v>
      </c>
      <c r="K30" s="182">
        <f t="shared" ref="K30:P30" si="33">EDATE(J30,3)</f>
        <v>44962</v>
      </c>
      <c r="L30" s="166">
        <f t="shared" si="33"/>
        <v>45051</v>
      </c>
      <c r="M30" s="167">
        <f t="shared" si="33"/>
        <v>45143</v>
      </c>
      <c r="N30" s="166">
        <f t="shared" si="33"/>
        <v>45235</v>
      </c>
      <c r="O30" s="167">
        <f t="shared" si="33"/>
        <v>45327</v>
      </c>
      <c r="P30" s="166">
        <f t="shared" si="33"/>
        <v>45417</v>
      </c>
      <c r="Q30" s="167">
        <f>EDATE(P30,3)</f>
        <v>45509</v>
      </c>
      <c r="R30" s="167">
        <f t="shared" ref="R30:T30" si="34">EDATE(Q30,3)</f>
        <v>45601</v>
      </c>
      <c r="S30" s="167">
        <f t="shared" si="34"/>
        <v>45693</v>
      </c>
      <c r="T30" s="167">
        <f t="shared" si="34"/>
        <v>45782</v>
      </c>
      <c r="U30" s="167">
        <f>EDATE(T30,3)</f>
        <v>45874</v>
      </c>
      <c r="V30" s="167">
        <f t="shared" ref="V30" si="35">EDATE(U30,3)</f>
        <v>45966</v>
      </c>
      <c r="W30" s="167">
        <f>EDATE(V30,3)</f>
        <v>46058</v>
      </c>
      <c r="X30" s="168">
        <f t="shared" ref="X30:AG30" si="36">EDATE(W30,3)</f>
        <v>46147</v>
      </c>
      <c r="Y30" s="167">
        <f t="shared" si="36"/>
        <v>46239</v>
      </c>
      <c r="Z30" s="167">
        <f t="shared" si="36"/>
        <v>46331</v>
      </c>
      <c r="AA30" s="167">
        <f t="shared" si="36"/>
        <v>46423</v>
      </c>
      <c r="AB30" s="167">
        <f t="shared" si="36"/>
        <v>46512</v>
      </c>
      <c r="AC30" s="167">
        <f t="shared" si="36"/>
        <v>46604</v>
      </c>
      <c r="AD30" s="167">
        <f t="shared" si="36"/>
        <v>46696</v>
      </c>
      <c r="AE30" s="167">
        <f t="shared" si="36"/>
        <v>46788</v>
      </c>
      <c r="AF30" s="167">
        <f t="shared" si="36"/>
        <v>46878</v>
      </c>
      <c r="AG30" s="167">
        <f t="shared" si="36"/>
        <v>46970</v>
      </c>
      <c r="AH30" s="186">
        <f ca="1">X30-TODAY()</f>
        <v>-55</v>
      </c>
      <c r="AI30" s="201">
        <f>D30*3</f>
        <v>9000000</v>
      </c>
      <c r="AJ30" s="162" t="s">
        <v>948</v>
      </c>
    </row>
    <row r="31" spans="1:36" x14ac:dyDescent="0.2">
      <c r="A31" s="171">
        <v>28</v>
      </c>
      <c r="B31" s="171" t="s">
        <v>430</v>
      </c>
      <c r="C31" s="163" t="s">
        <v>107</v>
      </c>
      <c r="D31" s="194">
        <v>8500000</v>
      </c>
      <c r="E31" s="173" t="s">
        <v>434</v>
      </c>
      <c r="F31" s="173" t="s">
        <v>432</v>
      </c>
      <c r="G31" s="173" t="s">
        <v>435</v>
      </c>
      <c r="H31" s="173" t="s">
        <v>436</v>
      </c>
      <c r="I31" s="202" t="s">
        <v>79</v>
      </c>
      <c r="J31" s="203">
        <v>44814</v>
      </c>
      <c r="K31" s="176">
        <f>EDATE(J31,6)</f>
        <v>44995</v>
      </c>
      <c r="L31" s="175">
        <f>EDATE(K31,6)</f>
        <v>45179</v>
      </c>
      <c r="M31" s="176">
        <f>EDATE(L31,6)</f>
        <v>45361</v>
      </c>
      <c r="N31" s="175">
        <f>EDATE(M31,6)</f>
        <v>45545</v>
      </c>
      <c r="O31" s="175">
        <f t="shared" ref="O31:AG31" si="37">EDATE(N31,6)</f>
        <v>45726</v>
      </c>
      <c r="P31" s="175">
        <f t="shared" si="37"/>
        <v>45910</v>
      </c>
      <c r="Q31" s="204">
        <f t="shared" si="37"/>
        <v>46091</v>
      </c>
      <c r="R31" s="204">
        <f t="shared" si="37"/>
        <v>46275</v>
      </c>
      <c r="S31" s="175">
        <f t="shared" si="37"/>
        <v>46456</v>
      </c>
      <c r="T31" s="175">
        <f t="shared" si="37"/>
        <v>46640</v>
      </c>
      <c r="U31" s="175">
        <f t="shared" si="37"/>
        <v>46822</v>
      </c>
      <c r="V31" s="175">
        <f t="shared" si="37"/>
        <v>47006</v>
      </c>
      <c r="W31" s="175">
        <f t="shared" si="37"/>
        <v>47187</v>
      </c>
      <c r="X31" s="175">
        <f t="shared" si="37"/>
        <v>47371</v>
      </c>
      <c r="Y31" s="175">
        <f t="shared" si="37"/>
        <v>47552</v>
      </c>
      <c r="Z31" s="175">
        <f t="shared" si="37"/>
        <v>47736</v>
      </c>
      <c r="AA31" s="175">
        <f t="shared" si="37"/>
        <v>47917</v>
      </c>
      <c r="AB31" s="175">
        <f t="shared" si="37"/>
        <v>48101</v>
      </c>
      <c r="AC31" s="175">
        <f t="shared" si="37"/>
        <v>48283</v>
      </c>
      <c r="AD31" s="175">
        <f t="shared" si="37"/>
        <v>48467</v>
      </c>
      <c r="AE31" s="175">
        <f t="shared" si="37"/>
        <v>48648</v>
      </c>
      <c r="AF31" s="175">
        <f t="shared" si="37"/>
        <v>48832</v>
      </c>
      <c r="AG31" s="175">
        <f t="shared" si="37"/>
        <v>49013</v>
      </c>
      <c r="AH31" s="192">
        <f ca="1">R31-TODAY()</f>
        <v>73</v>
      </c>
      <c r="AI31" s="194">
        <f>D31*6</f>
        <v>51000000</v>
      </c>
      <c r="AJ31" s="171" t="s">
        <v>942</v>
      </c>
    </row>
    <row r="32" spans="1:36" x14ac:dyDescent="0.2">
      <c r="A32" s="162">
        <v>29</v>
      </c>
      <c r="B32" s="193" t="s">
        <v>342</v>
      </c>
      <c r="C32" s="163" t="s">
        <v>15</v>
      </c>
      <c r="D32" s="201">
        <v>5000000</v>
      </c>
      <c r="E32" s="164" t="s">
        <v>487</v>
      </c>
      <c r="F32" s="164" t="s">
        <v>488</v>
      </c>
      <c r="G32" s="164" t="s">
        <v>410</v>
      </c>
      <c r="H32" s="164" t="s">
        <v>347</v>
      </c>
      <c r="I32" s="162" t="s">
        <v>77</v>
      </c>
      <c r="J32" s="199">
        <v>44905</v>
      </c>
      <c r="K32" s="182">
        <f>EDATE(J32,3)</f>
        <v>44995</v>
      </c>
      <c r="L32" s="166">
        <f t="shared" ref="L32:P36" si="38">EDATE(K32,3)</f>
        <v>45087</v>
      </c>
      <c r="M32" s="166">
        <f t="shared" si="38"/>
        <v>45179</v>
      </c>
      <c r="N32" s="166">
        <f t="shared" si="38"/>
        <v>45270</v>
      </c>
      <c r="O32" s="166">
        <f>EDATE(N32,3)</f>
        <v>45361</v>
      </c>
      <c r="P32" s="166">
        <f t="shared" si="38"/>
        <v>45453</v>
      </c>
      <c r="Q32" s="166">
        <f>EDATE(P32,3)</f>
        <v>45545</v>
      </c>
      <c r="R32" s="166">
        <f t="shared" ref="R32:AG36" si="39">EDATE(Q32,3)</f>
        <v>45636</v>
      </c>
      <c r="S32" s="166">
        <f t="shared" si="39"/>
        <v>45726</v>
      </c>
      <c r="T32" s="166">
        <f t="shared" si="39"/>
        <v>45818</v>
      </c>
      <c r="U32" s="166">
        <f t="shared" si="39"/>
        <v>45910</v>
      </c>
      <c r="V32" s="166">
        <f t="shared" si="39"/>
        <v>46001</v>
      </c>
      <c r="W32" s="185">
        <f t="shared" si="39"/>
        <v>46091</v>
      </c>
      <c r="X32" s="166">
        <f t="shared" si="39"/>
        <v>46183</v>
      </c>
      <c r="Y32" s="166">
        <f t="shared" si="39"/>
        <v>46275</v>
      </c>
      <c r="Z32" s="166">
        <f t="shared" si="39"/>
        <v>46366</v>
      </c>
      <c r="AA32" s="166">
        <f t="shared" si="39"/>
        <v>46456</v>
      </c>
      <c r="AB32" s="166">
        <f t="shared" si="39"/>
        <v>46548</v>
      </c>
      <c r="AC32" s="166">
        <f t="shared" si="39"/>
        <v>46640</v>
      </c>
      <c r="AD32" s="166">
        <f t="shared" si="39"/>
        <v>46731</v>
      </c>
      <c r="AE32" s="166">
        <f t="shared" si="39"/>
        <v>46822</v>
      </c>
      <c r="AF32" s="166">
        <f t="shared" si="39"/>
        <v>46914</v>
      </c>
      <c r="AG32" s="166">
        <f t="shared" si="39"/>
        <v>47006</v>
      </c>
      <c r="AH32" s="186">
        <f ca="1">X32-TODAY()</f>
        <v>-19</v>
      </c>
      <c r="AI32" s="201">
        <f t="shared" ref="AI32:AI36" si="40">D32*3</f>
        <v>15000000</v>
      </c>
      <c r="AJ32" s="162" t="s">
        <v>948</v>
      </c>
    </row>
    <row r="33" spans="1:36" x14ac:dyDescent="0.2">
      <c r="A33" s="171">
        <v>30</v>
      </c>
      <c r="B33" s="163" t="s">
        <v>451</v>
      </c>
      <c r="C33" s="163" t="s">
        <v>32</v>
      </c>
      <c r="D33" s="201">
        <v>7000000</v>
      </c>
      <c r="E33" s="164" t="s">
        <v>454</v>
      </c>
      <c r="F33" s="164" t="s">
        <v>453</v>
      </c>
      <c r="G33" s="164" t="s">
        <v>455</v>
      </c>
      <c r="H33" s="164" t="s">
        <v>456</v>
      </c>
      <c r="I33" s="162" t="s">
        <v>77</v>
      </c>
      <c r="J33" s="199">
        <v>44862</v>
      </c>
      <c r="K33" s="182">
        <f>EDATE(J33,3)</f>
        <v>44954</v>
      </c>
      <c r="L33" s="166">
        <f t="shared" si="38"/>
        <v>45044</v>
      </c>
      <c r="M33" s="166">
        <f t="shared" si="38"/>
        <v>45135</v>
      </c>
      <c r="N33" s="167">
        <f>EDATE(M33,3)</f>
        <v>45227</v>
      </c>
      <c r="O33" s="167">
        <f>EDATE(N33,3)</f>
        <v>45319</v>
      </c>
      <c r="P33" s="167">
        <f>EDATE(O33,3)</f>
        <v>45410</v>
      </c>
      <c r="Q33" s="167">
        <f>EDATE(P33,3)</f>
        <v>45501</v>
      </c>
      <c r="R33" s="167">
        <f t="shared" si="39"/>
        <v>45593</v>
      </c>
      <c r="S33" s="167">
        <f>EDATE(R33,3)</f>
        <v>45685</v>
      </c>
      <c r="T33" s="167">
        <f>EDATE(S33,3)</f>
        <v>45775</v>
      </c>
      <c r="U33" s="167">
        <f>EDATE(T33,3)</f>
        <v>45866</v>
      </c>
      <c r="V33" s="167">
        <f t="shared" si="39"/>
        <v>45958</v>
      </c>
      <c r="W33" s="167">
        <f t="shared" si="39"/>
        <v>46050</v>
      </c>
      <c r="X33" s="168">
        <f t="shared" si="39"/>
        <v>46140</v>
      </c>
      <c r="Y33" s="167">
        <f t="shared" si="39"/>
        <v>46231</v>
      </c>
      <c r="Z33" s="167">
        <f t="shared" si="39"/>
        <v>46323</v>
      </c>
      <c r="AA33" s="167">
        <f t="shared" si="39"/>
        <v>46415</v>
      </c>
      <c r="AB33" s="167">
        <f t="shared" si="39"/>
        <v>46505</v>
      </c>
      <c r="AC33" s="167">
        <f t="shared" si="39"/>
        <v>46596</v>
      </c>
      <c r="AD33" s="167">
        <f t="shared" si="39"/>
        <v>46688</v>
      </c>
      <c r="AE33" s="167">
        <f t="shared" si="39"/>
        <v>46780</v>
      </c>
      <c r="AF33" s="167">
        <f t="shared" si="39"/>
        <v>46871</v>
      </c>
      <c r="AG33" s="167">
        <f t="shared" si="39"/>
        <v>46962</v>
      </c>
      <c r="AH33" s="186">
        <f ca="1">X33-TODAY()</f>
        <v>-62</v>
      </c>
      <c r="AI33" s="205">
        <f t="shared" si="40"/>
        <v>21000000</v>
      </c>
      <c r="AJ33" s="162" t="s">
        <v>948</v>
      </c>
    </row>
    <row r="34" spans="1:36" x14ac:dyDescent="0.2">
      <c r="A34" s="162">
        <v>31</v>
      </c>
      <c r="B34" s="171" t="s">
        <v>457</v>
      </c>
      <c r="C34" s="163" t="s">
        <v>396</v>
      </c>
      <c r="D34" s="194">
        <v>5000000</v>
      </c>
      <c r="E34" s="206" t="s">
        <v>512</v>
      </c>
      <c r="F34" s="206" t="s">
        <v>513</v>
      </c>
      <c r="G34" s="206" t="s">
        <v>514</v>
      </c>
      <c r="H34" s="206" t="s">
        <v>515</v>
      </c>
      <c r="I34" s="171" t="s">
        <v>77</v>
      </c>
      <c r="J34" s="203">
        <v>44890</v>
      </c>
      <c r="K34" s="176">
        <f>EDATE(J34,3)</f>
        <v>44982</v>
      </c>
      <c r="L34" s="175">
        <f t="shared" si="38"/>
        <v>45071</v>
      </c>
      <c r="M34" s="176">
        <f t="shared" si="38"/>
        <v>45163</v>
      </c>
      <c r="N34" s="175">
        <f>EDATE(M34,3)</f>
        <v>45255</v>
      </c>
      <c r="O34" s="176">
        <f>EDATE(N34,3)</f>
        <v>45347</v>
      </c>
      <c r="P34" s="175">
        <f>EDATE(O34,3)</f>
        <v>45437</v>
      </c>
      <c r="Q34" s="176">
        <f>EDATE(P34,3)</f>
        <v>45529</v>
      </c>
      <c r="R34" s="176">
        <f t="shared" si="39"/>
        <v>45621</v>
      </c>
      <c r="S34" s="176">
        <f>EDATE(R34,3)</f>
        <v>45713</v>
      </c>
      <c r="T34" s="176">
        <f t="shared" si="39"/>
        <v>45802</v>
      </c>
      <c r="U34" s="176">
        <f t="shared" si="39"/>
        <v>45894</v>
      </c>
      <c r="V34" s="176">
        <f t="shared" si="39"/>
        <v>45986</v>
      </c>
      <c r="W34" s="176">
        <f t="shared" si="39"/>
        <v>46078</v>
      </c>
      <c r="X34" s="207">
        <f t="shared" si="39"/>
        <v>46167</v>
      </c>
      <c r="Y34" s="176">
        <f t="shared" si="39"/>
        <v>46259</v>
      </c>
      <c r="Z34" s="176">
        <f t="shared" si="39"/>
        <v>46351</v>
      </c>
      <c r="AA34" s="176">
        <f t="shared" si="39"/>
        <v>46443</v>
      </c>
      <c r="AB34" s="176">
        <f t="shared" si="39"/>
        <v>46532</v>
      </c>
      <c r="AC34" s="176">
        <f t="shared" si="39"/>
        <v>46624</v>
      </c>
      <c r="AD34" s="176">
        <f t="shared" si="39"/>
        <v>46716</v>
      </c>
      <c r="AE34" s="176">
        <f t="shared" si="39"/>
        <v>46808</v>
      </c>
      <c r="AF34" s="176">
        <f t="shared" si="39"/>
        <v>46898</v>
      </c>
      <c r="AG34" s="176">
        <f t="shared" si="39"/>
        <v>46990</v>
      </c>
      <c r="AH34" s="192">
        <f ca="1">X34-TODAY()</f>
        <v>-35</v>
      </c>
      <c r="AI34" s="194">
        <f t="shared" si="40"/>
        <v>15000000</v>
      </c>
      <c r="AJ34" s="171" t="s">
        <v>948</v>
      </c>
    </row>
    <row r="35" spans="1:36" x14ac:dyDescent="0.2">
      <c r="A35" s="171">
        <v>32</v>
      </c>
      <c r="B35" s="184" t="s">
        <v>463</v>
      </c>
      <c r="C35" s="163" t="s">
        <v>290</v>
      </c>
      <c r="D35" s="201">
        <v>5000000</v>
      </c>
      <c r="E35" s="164" t="s">
        <v>465</v>
      </c>
      <c r="F35" s="164" t="s">
        <v>466</v>
      </c>
      <c r="G35" s="164" t="s">
        <v>467</v>
      </c>
      <c r="H35" s="164" t="s">
        <v>468</v>
      </c>
      <c r="I35" s="162" t="s">
        <v>77</v>
      </c>
      <c r="J35" s="199">
        <v>44896</v>
      </c>
      <c r="K35" s="182">
        <f>EDATE(J35,3)</f>
        <v>44986</v>
      </c>
      <c r="L35" s="166">
        <f t="shared" si="38"/>
        <v>45078</v>
      </c>
      <c r="M35" s="166">
        <f t="shared" si="38"/>
        <v>45170</v>
      </c>
      <c r="N35" s="166">
        <f>EDATE(M35,3)</f>
        <v>45261</v>
      </c>
      <c r="O35" s="166">
        <f t="shared" si="38"/>
        <v>45352</v>
      </c>
      <c r="P35" s="166">
        <f>EDATE(O35,3)</f>
        <v>45444</v>
      </c>
      <c r="Q35" s="166">
        <f>EDATE(P35,3)</f>
        <v>45536</v>
      </c>
      <c r="R35" s="166">
        <f>EDATE(Q35,3)</f>
        <v>45627</v>
      </c>
      <c r="S35" s="166">
        <f t="shared" ref="S35:U35" si="41">EDATE(R35,3)</f>
        <v>45717</v>
      </c>
      <c r="T35" s="166">
        <f>EDATE(S35,3)</f>
        <v>45809</v>
      </c>
      <c r="U35" s="166">
        <f t="shared" si="41"/>
        <v>45901</v>
      </c>
      <c r="V35" s="166">
        <f>EDATE(U35,3)</f>
        <v>45992</v>
      </c>
      <c r="W35" s="185">
        <f>EDATE(V35,3)</f>
        <v>46082</v>
      </c>
      <c r="X35" s="166">
        <f>EDATE(W35,3)-1</f>
        <v>46173</v>
      </c>
      <c r="Y35" s="166">
        <f t="shared" si="39"/>
        <v>46265</v>
      </c>
      <c r="Z35" s="166">
        <f t="shared" si="39"/>
        <v>46356</v>
      </c>
      <c r="AA35" s="166">
        <f t="shared" si="39"/>
        <v>46446</v>
      </c>
      <c r="AB35" s="166">
        <f t="shared" si="39"/>
        <v>46535</v>
      </c>
      <c r="AC35" s="166">
        <f t="shared" si="39"/>
        <v>46627</v>
      </c>
      <c r="AD35" s="166">
        <f t="shared" si="39"/>
        <v>46719</v>
      </c>
      <c r="AE35" s="166">
        <f t="shared" si="39"/>
        <v>46811</v>
      </c>
      <c r="AF35" s="166">
        <f t="shared" si="39"/>
        <v>46901</v>
      </c>
      <c r="AG35" s="166">
        <f t="shared" si="39"/>
        <v>46993</v>
      </c>
      <c r="AH35" s="186">
        <f ca="1">X35-TODAY()</f>
        <v>-29</v>
      </c>
      <c r="AI35" s="201">
        <f t="shared" si="40"/>
        <v>15000000</v>
      </c>
      <c r="AJ35" s="162" t="s">
        <v>948</v>
      </c>
    </row>
    <row r="36" spans="1:36" x14ac:dyDescent="0.2">
      <c r="A36" s="162">
        <v>33</v>
      </c>
      <c r="B36" s="184" t="s">
        <v>469</v>
      </c>
      <c r="C36" s="163" t="s">
        <v>470</v>
      </c>
      <c r="D36" s="201">
        <v>5500000</v>
      </c>
      <c r="E36" s="164" t="s">
        <v>472</v>
      </c>
      <c r="F36" s="164" t="s">
        <v>473</v>
      </c>
      <c r="G36" s="164" t="s">
        <v>114</v>
      </c>
      <c r="H36" s="164" t="s">
        <v>474</v>
      </c>
      <c r="I36" s="162" t="s">
        <v>77</v>
      </c>
      <c r="J36" s="199">
        <v>44896</v>
      </c>
      <c r="K36" s="182">
        <f>EDATE(J36,3)</f>
        <v>44986</v>
      </c>
      <c r="L36" s="166">
        <f t="shared" si="38"/>
        <v>45078</v>
      </c>
      <c r="M36" s="166">
        <f t="shared" si="38"/>
        <v>45170</v>
      </c>
      <c r="N36" s="166">
        <f>EDATE(M36,3)</f>
        <v>45261</v>
      </c>
      <c r="O36" s="166">
        <f t="shared" si="38"/>
        <v>45352</v>
      </c>
      <c r="P36" s="166">
        <f>EDATE(O36,3)</f>
        <v>45444</v>
      </c>
      <c r="Q36" s="166">
        <f>EDATE(P36,3)</f>
        <v>45536</v>
      </c>
      <c r="R36" s="166">
        <f t="shared" ref="R36:U36" si="42">EDATE(Q36,3)</f>
        <v>45627</v>
      </c>
      <c r="S36" s="166">
        <f t="shared" si="42"/>
        <v>45717</v>
      </c>
      <c r="T36" s="166">
        <f>EDATE(S36,3)</f>
        <v>45809</v>
      </c>
      <c r="U36" s="166">
        <f t="shared" si="42"/>
        <v>45901</v>
      </c>
      <c r="V36" s="166">
        <f>EDATE(U36,3)</f>
        <v>45992</v>
      </c>
      <c r="W36" s="185">
        <f>EDATE(V36,3)</f>
        <v>46082</v>
      </c>
      <c r="X36" s="166">
        <f>EDATE(W36,3)-1</f>
        <v>46173</v>
      </c>
      <c r="Y36" s="166">
        <f t="shared" si="39"/>
        <v>46265</v>
      </c>
      <c r="Z36" s="166">
        <f t="shared" si="39"/>
        <v>46356</v>
      </c>
      <c r="AA36" s="166">
        <f t="shared" si="39"/>
        <v>46446</v>
      </c>
      <c r="AB36" s="166">
        <f t="shared" si="39"/>
        <v>46535</v>
      </c>
      <c r="AC36" s="166">
        <f t="shared" si="39"/>
        <v>46627</v>
      </c>
      <c r="AD36" s="166">
        <f t="shared" si="39"/>
        <v>46719</v>
      </c>
      <c r="AE36" s="166">
        <f t="shared" si="39"/>
        <v>46811</v>
      </c>
      <c r="AF36" s="166">
        <f t="shared" si="39"/>
        <v>46901</v>
      </c>
      <c r="AG36" s="166">
        <f t="shared" si="39"/>
        <v>46993</v>
      </c>
      <c r="AH36" s="186">
        <f ca="1">X36-TODAY()</f>
        <v>-29</v>
      </c>
      <c r="AI36" s="201">
        <f t="shared" si="40"/>
        <v>16500000</v>
      </c>
      <c r="AJ36" s="162" t="s">
        <v>948</v>
      </c>
    </row>
    <row r="37" spans="1:36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87" t="s">
        <v>476</v>
      </c>
      <c r="F37" s="187" t="s">
        <v>477</v>
      </c>
      <c r="G37" s="187" t="s">
        <v>478</v>
      </c>
      <c r="H37" s="164" t="s">
        <v>479</v>
      </c>
      <c r="I37" s="208" t="s">
        <v>79</v>
      </c>
      <c r="J37" s="199">
        <v>44870</v>
      </c>
      <c r="K37" s="182">
        <f t="shared" ref="K37:L39" si="43">EDATE(J37,6)</f>
        <v>45051</v>
      </c>
      <c r="L37" s="166">
        <f t="shared" si="43"/>
        <v>45235</v>
      </c>
      <c r="M37" s="182">
        <v>45444</v>
      </c>
      <c r="N37" s="166">
        <f>EDATE(M37,6)</f>
        <v>45627</v>
      </c>
      <c r="O37" s="166">
        <f>EDATE(N37,6)</f>
        <v>45809</v>
      </c>
      <c r="P37" s="166">
        <f t="shared" ref="P37:AG39" si="44">EDATE(O37,6)</f>
        <v>45992</v>
      </c>
      <c r="Q37" s="185">
        <f>EDATE(P37,6)</f>
        <v>46174</v>
      </c>
      <c r="R37" s="166">
        <f t="shared" si="44"/>
        <v>46357</v>
      </c>
      <c r="S37" s="166">
        <f t="shared" si="44"/>
        <v>46539</v>
      </c>
      <c r="T37" s="166">
        <f t="shared" si="44"/>
        <v>46722</v>
      </c>
      <c r="U37" s="166">
        <f t="shared" si="44"/>
        <v>46905</v>
      </c>
      <c r="V37" s="166">
        <f t="shared" si="44"/>
        <v>47088</v>
      </c>
      <c r="W37" s="166">
        <f t="shared" si="44"/>
        <v>47270</v>
      </c>
      <c r="X37" s="166">
        <f t="shared" si="44"/>
        <v>47453</v>
      </c>
      <c r="Y37" s="166">
        <f t="shared" si="44"/>
        <v>47635</v>
      </c>
      <c r="Z37" s="166">
        <f t="shared" si="44"/>
        <v>47818</v>
      </c>
      <c r="AA37" s="166">
        <f t="shared" si="44"/>
        <v>48000</v>
      </c>
      <c r="AB37" s="166">
        <f t="shared" si="44"/>
        <v>48183</v>
      </c>
      <c r="AC37" s="166">
        <f t="shared" si="44"/>
        <v>48366</v>
      </c>
      <c r="AD37" s="166">
        <f t="shared" si="44"/>
        <v>48549</v>
      </c>
      <c r="AE37" s="166">
        <f t="shared" si="44"/>
        <v>48731</v>
      </c>
      <c r="AF37" s="166">
        <f t="shared" si="44"/>
        <v>48914</v>
      </c>
      <c r="AG37" s="166">
        <f t="shared" si="44"/>
        <v>49096</v>
      </c>
      <c r="AH37" s="186">
        <f ca="1">Q37-TODAY()</f>
        <v>-28</v>
      </c>
      <c r="AI37" s="201">
        <f>D37*6</f>
        <v>46200000</v>
      </c>
      <c r="AJ37" s="162" t="s">
        <v>951</v>
      </c>
    </row>
    <row r="38" spans="1:36" x14ac:dyDescent="0.2">
      <c r="A38" s="162">
        <v>35</v>
      </c>
      <c r="B38" s="162" t="s">
        <v>480</v>
      </c>
      <c r="C38" s="163" t="s">
        <v>229</v>
      </c>
      <c r="D38" s="201">
        <v>6000000</v>
      </c>
      <c r="E38" s="164" t="s">
        <v>482</v>
      </c>
      <c r="F38" s="164" t="s">
        <v>484</v>
      </c>
      <c r="G38" s="164" t="s">
        <v>483</v>
      </c>
      <c r="H38" s="164" t="s">
        <v>485</v>
      </c>
      <c r="I38" s="209" t="s">
        <v>79</v>
      </c>
      <c r="J38" s="167">
        <v>44896</v>
      </c>
      <c r="K38" s="182">
        <f t="shared" si="43"/>
        <v>45078</v>
      </c>
      <c r="L38" s="166">
        <f t="shared" si="43"/>
        <v>45261</v>
      </c>
      <c r="M38" s="182">
        <f>EDATE(L38,6)</f>
        <v>45444</v>
      </c>
      <c r="N38" s="166">
        <f>EDATE(M38,6)</f>
        <v>45627</v>
      </c>
      <c r="O38" s="166">
        <f t="shared" ref="O38:U39" si="45">EDATE(N38,6)</f>
        <v>45809</v>
      </c>
      <c r="P38" s="166">
        <f t="shared" si="45"/>
        <v>45992</v>
      </c>
      <c r="Q38" s="185">
        <f>EDATE(P38,6)</f>
        <v>46174</v>
      </c>
      <c r="R38" s="166">
        <f t="shared" si="45"/>
        <v>46357</v>
      </c>
      <c r="S38" s="166">
        <f t="shared" si="45"/>
        <v>46539</v>
      </c>
      <c r="T38" s="166">
        <f t="shared" si="45"/>
        <v>46722</v>
      </c>
      <c r="U38" s="166">
        <f t="shared" si="45"/>
        <v>46905</v>
      </c>
      <c r="V38" s="166">
        <f t="shared" si="44"/>
        <v>47088</v>
      </c>
      <c r="W38" s="166">
        <f t="shared" si="44"/>
        <v>47270</v>
      </c>
      <c r="X38" s="166">
        <f t="shared" si="44"/>
        <v>47453</v>
      </c>
      <c r="Y38" s="166">
        <f t="shared" si="44"/>
        <v>47635</v>
      </c>
      <c r="Z38" s="166">
        <f t="shared" si="44"/>
        <v>47818</v>
      </c>
      <c r="AA38" s="166">
        <f t="shared" si="44"/>
        <v>48000</v>
      </c>
      <c r="AB38" s="166">
        <f t="shared" si="44"/>
        <v>48183</v>
      </c>
      <c r="AC38" s="166">
        <f t="shared" si="44"/>
        <v>48366</v>
      </c>
      <c r="AD38" s="166">
        <f t="shared" si="44"/>
        <v>48549</v>
      </c>
      <c r="AE38" s="166">
        <f t="shared" si="44"/>
        <v>48731</v>
      </c>
      <c r="AF38" s="166">
        <f t="shared" si="44"/>
        <v>48914</v>
      </c>
      <c r="AG38" s="166">
        <f t="shared" si="44"/>
        <v>49096</v>
      </c>
      <c r="AH38" s="186">
        <f ca="1">Q38-TODAY()</f>
        <v>-28</v>
      </c>
      <c r="AI38" s="201">
        <f>D38*6</f>
        <v>36000000</v>
      </c>
      <c r="AJ38" s="162" t="s">
        <v>951</v>
      </c>
    </row>
    <row r="39" spans="1:36" x14ac:dyDescent="0.2">
      <c r="A39" s="171">
        <v>36</v>
      </c>
      <c r="B39" s="162" t="s">
        <v>495</v>
      </c>
      <c r="C39" s="163" t="s">
        <v>32</v>
      </c>
      <c r="D39" s="201">
        <v>7000000</v>
      </c>
      <c r="E39" s="164" t="s">
        <v>497</v>
      </c>
      <c r="F39" s="164" t="s">
        <v>499</v>
      </c>
      <c r="G39" s="164" t="s">
        <v>498</v>
      </c>
      <c r="H39" s="164" t="s">
        <v>500</v>
      </c>
      <c r="I39" s="210" t="s">
        <v>79</v>
      </c>
      <c r="J39" s="167">
        <v>44910</v>
      </c>
      <c r="K39" s="182">
        <f t="shared" si="43"/>
        <v>45092</v>
      </c>
      <c r="L39" s="166">
        <f>EDATE(K39,6)</f>
        <v>45275</v>
      </c>
      <c r="M39" s="166">
        <f>EDATE(L39,6)</f>
        <v>45458</v>
      </c>
      <c r="N39" s="166">
        <f>EDATE(M39,6)</f>
        <v>45641</v>
      </c>
      <c r="O39" s="166">
        <f t="shared" si="45"/>
        <v>45823</v>
      </c>
      <c r="P39" s="166">
        <f t="shared" si="45"/>
        <v>46006</v>
      </c>
      <c r="Q39" s="185">
        <f t="shared" si="45"/>
        <v>46188</v>
      </c>
      <c r="R39" s="166">
        <f t="shared" si="45"/>
        <v>46371</v>
      </c>
      <c r="S39" s="166">
        <f t="shared" si="45"/>
        <v>46553</v>
      </c>
      <c r="T39" s="166">
        <f t="shared" si="45"/>
        <v>46736</v>
      </c>
      <c r="U39" s="166">
        <f t="shared" si="45"/>
        <v>46919</v>
      </c>
      <c r="V39" s="166">
        <f t="shared" si="44"/>
        <v>47102</v>
      </c>
      <c r="W39" s="166">
        <f t="shared" si="44"/>
        <v>47284</v>
      </c>
      <c r="X39" s="166">
        <f t="shared" si="44"/>
        <v>47467</v>
      </c>
      <c r="Y39" s="166">
        <f t="shared" si="44"/>
        <v>47649</v>
      </c>
      <c r="Z39" s="166">
        <f t="shared" si="44"/>
        <v>47832</v>
      </c>
      <c r="AA39" s="166">
        <f t="shared" si="44"/>
        <v>48014</v>
      </c>
      <c r="AB39" s="166">
        <f t="shared" si="44"/>
        <v>48197</v>
      </c>
      <c r="AC39" s="166">
        <f t="shared" si="44"/>
        <v>48380</v>
      </c>
      <c r="AD39" s="166">
        <f t="shared" si="44"/>
        <v>48563</v>
      </c>
      <c r="AE39" s="166">
        <f t="shared" si="44"/>
        <v>48745</v>
      </c>
      <c r="AF39" s="166">
        <f t="shared" si="44"/>
        <v>48928</v>
      </c>
      <c r="AG39" s="166">
        <f t="shared" si="44"/>
        <v>49110</v>
      </c>
      <c r="AH39" s="186">
        <f ca="1">Q39-TODAY()</f>
        <v>-14</v>
      </c>
      <c r="AI39" s="201">
        <f>D39*6</f>
        <v>42000000</v>
      </c>
      <c r="AJ39" s="162" t="s">
        <v>951</v>
      </c>
    </row>
    <row r="40" spans="1:36" x14ac:dyDescent="0.2">
      <c r="A40" s="162">
        <v>37</v>
      </c>
      <c r="B40" s="162" t="s">
        <v>494</v>
      </c>
      <c r="C40" s="163" t="s">
        <v>32</v>
      </c>
      <c r="D40" s="201">
        <v>8000000</v>
      </c>
      <c r="E40" s="164" t="s">
        <v>510</v>
      </c>
      <c r="F40" s="164" t="s">
        <v>502</v>
      </c>
      <c r="G40" s="164" t="s">
        <v>503</v>
      </c>
      <c r="H40" s="164" t="s">
        <v>504</v>
      </c>
      <c r="I40" s="162" t="s">
        <v>77</v>
      </c>
      <c r="J40" s="167">
        <v>44910</v>
      </c>
      <c r="K40" s="182">
        <f t="shared" ref="K40:Q43" si="46">EDATE(J40,3)</f>
        <v>45000</v>
      </c>
      <c r="L40" s="166">
        <f t="shared" si="46"/>
        <v>45092</v>
      </c>
      <c r="M40" s="167">
        <f t="shared" si="46"/>
        <v>45184</v>
      </c>
      <c r="N40" s="166">
        <f>EDATE(M40,3)</f>
        <v>45275</v>
      </c>
      <c r="O40" s="166">
        <f>EDATE(N40,3)</f>
        <v>45366</v>
      </c>
      <c r="P40" s="166">
        <f>EDATE(O40,3)</f>
        <v>45458</v>
      </c>
      <c r="Q40" s="166">
        <f>EDATE(P40,3)</f>
        <v>45550</v>
      </c>
      <c r="R40" s="166">
        <f t="shared" ref="R40:AG43" si="47">EDATE(Q40,3)</f>
        <v>45641</v>
      </c>
      <c r="S40" s="166">
        <f t="shared" si="47"/>
        <v>45731</v>
      </c>
      <c r="T40" s="166">
        <f t="shared" si="47"/>
        <v>45823</v>
      </c>
      <c r="U40" s="166">
        <f t="shared" si="47"/>
        <v>45915</v>
      </c>
      <c r="V40" s="166">
        <f t="shared" si="47"/>
        <v>46006</v>
      </c>
      <c r="W40" s="185">
        <f t="shared" si="47"/>
        <v>46096</v>
      </c>
      <c r="X40" s="166">
        <f t="shared" si="47"/>
        <v>46188</v>
      </c>
      <c r="Y40" s="166">
        <f t="shared" si="47"/>
        <v>46280</v>
      </c>
      <c r="Z40" s="166">
        <f t="shared" si="47"/>
        <v>46371</v>
      </c>
      <c r="AA40" s="166">
        <f t="shared" si="47"/>
        <v>46461</v>
      </c>
      <c r="AB40" s="166">
        <f t="shared" si="47"/>
        <v>46553</v>
      </c>
      <c r="AC40" s="166">
        <f t="shared" si="47"/>
        <v>46645</v>
      </c>
      <c r="AD40" s="166">
        <f t="shared" si="47"/>
        <v>46736</v>
      </c>
      <c r="AE40" s="166">
        <f t="shared" si="47"/>
        <v>46827</v>
      </c>
      <c r="AF40" s="166">
        <f t="shared" si="47"/>
        <v>46919</v>
      </c>
      <c r="AG40" s="166">
        <f t="shared" si="47"/>
        <v>47011</v>
      </c>
      <c r="AH40" s="186">
        <f ca="1">X40-TODAY()</f>
        <v>-14</v>
      </c>
      <c r="AI40" s="201">
        <f>D40*3</f>
        <v>24000000</v>
      </c>
      <c r="AJ40" s="162" t="s">
        <v>948</v>
      </c>
    </row>
    <row r="41" spans="1:36" x14ac:dyDescent="0.2">
      <c r="A41" s="171">
        <v>38</v>
      </c>
      <c r="B41" s="162" t="s">
        <v>486</v>
      </c>
      <c r="C41" s="163" t="s">
        <v>66</v>
      </c>
      <c r="D41" s="201">
        <v>7000000</v>
      </c>
      <c r="E41" s="164" t="s">
        <v>507</v>
      </c>
      <c r="F41" s="164" t="s">
        <v>506</v>
      </c>
      <c r="G41" s="164" t="s">
        <v>508</v>
      </c>
      <c r="H41" s="164" t="s">
        <v>509</v>
      </c>
      <c r="I41" s="162" t="s">
        <v>77</v>
      </c>
      <c r="J41" s="167">
        <v>44920</v>
      </c>
      <c r="K41" s="182">
        <f t="shared" si="46"/>
        <v>45010</v>
      </c>
      <c r="L41" s="166">
        <f t="shared" si="46"/>
        <v>45102</v>
      </c>
      <c r="M41" s="199">
        <f t="shared" si="46"/>
        <v>45194</v>
      </c>
      <c r="N41" s="166">
        <f>EDATE(M41,3)</f>
        <v>45285</v>
      </c>
      <c r="O41" s="199">
        <f t="shared" si="46"/>
        <v>45376</v>
      </c>
      <c r="P41" s="166">
        <f>EDATE(O41,3)</f>
        <v>45468</v>
      </c>
      <c r="Q41" s="199">
        <f t="shared" si="46"/>
        <v>45560</v>
      </c>
      <c r="R41" s="199">
        <f t="shared" si="47"/>
        <v>45651</v>
      </c>
      <c r="S41" s="199">
        <f t="shared" si="47"/>
        <v>45741</v>
      </c>
      <c r="T41" s="199">
        <f t="shared" si="47"/>
        <v>45833</v>
      </c>
      <c r="U41" s="199">
        <f t="shared" si="47"/>
        <v>45925</v>
      </c>
      <c r="V41" s="199">
        <f t="shared" si="47"/>
        <v>46016</v>
      </c>
      <c r="W41" s="211">
        <f t="shared" si="47"/>
        <v>46106</v>
      </c>
      <c r="X41" s="199">
        <f t="shared" si="47"/>
        <v>46198</v>
      </c>
      <c r="Y41" s="199">
        <f t="shared" si="47"/>
        <v>46290</v>
      </c>
      <c r="Z41" s="199">
        <f t="shared" si="47"/>
        <v>46381</v>
      </c>
      <c r="AA41" s="199">
        <f t="shared" si="47"/>
        <v>46471</v>
      </c>
      <c r="AB41" s="199">
        <f t="shared" si="47"/>
        <v>46563</v>
      </c>
      <c r="AC41" s="199">
        <f t="shared" si="47"/>
        <v>46655</v>
      </c>
      <c r="AD41" s="199">
        <f t="shared" si="47"/>
        <v>46746</v>
      </c>
      <c r="AE41" s="199">
        <f t="shared" si="47"/>
        <v>46837</v>
      </c>
      <c r="AF41" s="199">
        <f t="shared" si="47"/>
        <v>46929</v>
      </c>
      <c r="AG41" s="199">
        <f t="shared" si="47"/>
        <v>47021</v>
      </c>
      <c r="AH41" s="186">
        <f ca="1">W41-TODAY()</f>
        <v>-96</v>
      </c>
      <c r="AI41" s="201">
        <f>D41*3</f>
        <v>21000000</v>
      </c>
      <c r="AJ41" s="162" t="s">
        <v>954</v>
      </c>
    </row>
    <row r="42" spans="1:36" x14ac:dyDescent="0.2">
      <c r="A42" s="162">
        <v>39</v>
      </c>
      <c r="B42" s="162" t="s">
        <v>543</v>
      </c>
      <c r="C42" s="163" t="s">
        <v>378</v>
      </c>
      <c r="D42" s="201">
        <v>6500000</v>
      </c>
      <c r="E42" s="164" t="s">
        <v>545</v>
      </c>
      <c r="F42" s="164" t="s">
        <v>546</v>
      </c>
      <c r="G42" s="164" t="s">
        <v>194</v>
      </c>
      <c r="H42" s="164" t="s">
        <v>547</v>
      </c>
      <c r="I42" s="162" t="s">
        <v>77</v>
      </c>
      <c r="J42" s="167">
        <v>45047</v>
      </c>
      <c r="K42" s="182">
        <f t="shared" si="46"/>
        <v>45139</v>
      </c>
      <c r="L42" s="166">
        <f t="shared" si="46"/>
        <v>45231</v>
      </c>
      <c r="M42" s="182">
        <f t="shared" si="46"/>
        <v>45323</v>
      </c>
      <c r="N42" s="166">
        <f>EDATE(M42,3)</f>
        <v>45413</v>
      </c>
      <c r="O42" s="182">
        <f>EDATE(N42,3)</f>
        <v>45505</v>
      </c>
      <c r="P42" s="182">
        <f t="shared" ref="P42:P43" si="48">EDATE(O42,3)</f>
        <v>45597</v>
      </c>
      <c r="Q42" s="182">
        <f>EDATE(P42,3)</f>
        <v>45689</v>
      </c>
      <c r="R42" s="182">
        <f t="shared" si="47"/>
        <v>45778</v>
      </c>
      <c r="S42" s="182">
        <f>EDATE(R42,3)</f>
        <v>45870</v>
      </c>
      <c r="T42" s="182">
        <f>EDATE(S42,3)</f>
        <v>45962</v>
      </c>
      <c r="U42" s="182">
        <f>EDATE(T42,3)</f>
        <v>46054</v>
      </c>
      <c r="V42" s="212">
        <f>EDATE(U42,3)</f>
        <v>46143</v>
      </c>
      <c r="W42" s="182">
        <f t="shared" si="47"/>
        <v>46235</v>
      </c>
      <c r="X42" s="182">
        <f t="shared" si="47"/>
        <v>46327</v>
      </c>
      <c r="Y42" s="182">
        <f t="shared" si="47"/>
        <v>46419</v>
      </c>
      <c r="Z42" s="182">
        <f t="shared" si="47"/>
        <v>46508</v>
      </c>
      <c r="AA42" s="182">
        <f t="shared" si="47"/>
        <v>46600</v>
      </c>
      <c r="AB42" s="182">
        <f t="shared" si="47"/>
        <v>46692</v>
      </c>
      <c r="AC42" s="182">
        <f t="shared" si="47"/>
        <v>46784</v>
      </c>
      <c r="AD42" s="182">
        <f t="shared" si="47"/>
        <v>46874</v>
      </c>
      <c r="AE42" s="182">
        <f t="shared" si="47"/>
        <v>46966</v>
      </c>
      <c r="AF42" s="182">
        <f t="shared" si="47"/>
        <v>47058</v>
      </c>
      <c r="AG42" s="182">
        <f t="shared" si="47"/>
        <v>47150</v>
      </c>
      <c r="AH42" s="186">
        <f ca="1">V42-TODAY()</f>
        <v>-59</v>
      </c>
      <c r="AI42" s="201">
        <f t="shared" ref="AI42:AI43" si="49">D42*3</f>
        <v>19500000</v>
      </c>
      <c r="AJ42" s="162" t="s">
        <v>955</v>
      </c>
    </row>
    <row r="43" spans="1:36" x14ac:dyDescent="0.2">
      <c r="A43" s="171">
        <v>40</v>
      </c>
      <c r="B43" s="171" t="s">
        <v>552</v>
      </c>
      <c r="C43" s="163" t="s">
        <v>229</v>
      </c>
      <c r="D43" s="194">
        <v>6000000</v>
      </c>
      <c r="E43" s="173" t="s">
        <v>554</v>
      </c>
      <c r="F43" s="173" t="s">
        <v>555</v>
      </c>
      <c r="G43" s="173" t="s">
        <v>170</v>
      </c>
      <c r="H43" s="173" t="s">
        <v>556</v>
      </c>
      <c r="I43" s="171" t="s">
        <v>77</v>
      </c>
      <c r="J43" s="177">
        <v>45061</v>
      </c>
      <c r="K43" s="176">
        <f>EDATE(J43,3)</f>
        <v>45153</v>
      </c>
      <c r="L43" s="177">
        <f>EDATE(K43,3)</f>
        <v>45245</v>
      </c>
      <c r="M43" s="176">
        <f>EDATE(L43,3)</f>
        <v>45337</v>
      </c>
      <c r="N43" s="177">
        <f>EDATE(M43,3)</f>
        <v>45427</v>
      </c>
      <c r="O43" s="176">
        <f>EDATE(N43,3)</f>
        <v>45519</v>
      </c>
      <c r="P43" s="176">
        <f t="shared" si="48"/>
        <v>45611</v>
      </c>
      <c r="Q43" s="176">
        <f t="shared" si="46"/>
        <v>45703</v>
      </c>
      <c r="R43" s="176">
        <f t="shared" si="47"/>
        <v>45792</v>
      </c>
      <c r="S43" s="176">
        <f t="shared" si="47"/>
        <v>45884</v>
      </c>
      <c r="T43" s="176">
        <f t="shared" si="47"/>
        <v>45976</v>
      </c>
      <c r="U43" s="176">
        <f t="shared" si="47"/>
        <v>46068</v>
      </c>
      <c r="V43" s="207">
        <f t="shared" si="47"/>
        <v>46157</v>
      </c>
      <c r="W43" s="176">
        <f t="shared" si="47"/>
        <v>46249</v>
      </c>
      <c r="X43" s="176">
        <f t="shared" si="47"/>
        <v>46341</v>
      </c>
      <c r="Y43" s="176">
        <f t="shared" si="47"/>
        <v>46433</v>
      </c>
      <c r="Z43" s="176">
        <f t="shared" si="47"/>
        <v>46522</v>
      </c>
      <c r="AA43" s="176">
        <f t="shared" si="47"/>
        <v>46614</v>
      </c>
      <c r="AB43" s="176">
        <f t="shared" si="47"/>
        <v>46706</v>
      </c>
      <c r="AC43" s="176">
        <f t="shared" si="47"/>
        <v>46798</v>
      </c>
      <c r="AD43" s="176">
        <f t="shared" si="47"/>
        <v>46888</v>
      </c>
      <c r="AE43" s="176">
        <f t="shared" si="47"/>
        <v>46980</v>
      </c>
      <c r="AF43" s="176">
        <f t="shared" si="47"/>
        <v>47072</v>
      </c>
      <c r="AG43" s="176">
        <f t="shared" si="47"/>
        <v>47164</v>
      </c>
      <c r="AH43" s="192">
        <f ca="1">V43-TODAY()</f>
        <v>-45</v>
      </c>
      <c r="AI43" s="194">
        <f t="shared" si="49"/>
        <v>18000000</v>
      </c>
      <c r="AJ43" s="171" t="s">
        <v>955</v>
      </c>
    </row>
    <row r="44" spans="1:36" x14ac:dyDescent="0.2">
      <c r="A44" s="162" t="s">
        <v>1141</v>
      </c>
      <c r="B44" s="162" t="s">
        <v>1140</v>
      </c>
      <c r="C44" s="163" t="s">
        <v>32</v>
      </c>
      <c r="D44" s="201">
        <v>6000000</v>
      </c>
      <c r="E44" s="164" t="s">
        <v>635</v>
      </c>
      <c r="F44" s="164" t="s">
        <v>636</v>
      </c>
      <c r="G44" s="164" t="s">
        <v>637</v>
      </c>
      <c r="H44" s="164" t="s">
        <v>642</v>
      </c>
      <c r="I44" s="162" t="s">
        <v>79</v>
      </c>
      <c r="J44" s="167" t="s">
        <v>956</v>
      </c>
      <c r="K44" s="167" t="s">
        <v>956</v>
      </c>
      <c r="L44" s="167" t="s">
        <v>956</v>
      </c>
      <c r="M44" s="199">
        <v>45047</v>
      </c>
      <c r="N44" s="199">
        <f t="shared" ref="N44:AE59" si="50">EDATE(M44,6)</f>
        <v>45231</v>
      </c>
      <c r="O44" s="199">
        <f t="shared" si="50"/>
        <v>45413</v>
      </c>
      <c r="P44" s="199">
        <f t="shared" si="50"/>
        <v>45597</v>
      </c>
      <c r="Q44" s="199">
        <f t="shared" si="50"/>
        <v>45778</v>
      </c>
      <c r="R44" s="199">
        <f t="shared" si="50"/>
        <v>45962</v>
      </c>
      <c r="S44" s="211">
        <f t="shared" si="50"/>
        <v>46143</v>
      </c>
      <c r="T44" s="199">
        <f t="shared" si="50"/>
        <v>46327</v>
      </c>
      <c r="U44" s="199">
        <f t="shared" si="50"/>
        <v>46508</v>
      </c>
      <c r="V44" s="199">
        <f t="shared" si="50"/>
        <v>46692</v>
      </c>
      <c r="W44" s="199">
        <f t="shared" si="50"/>
        <v>46874</v>
      </c>
      <c r="X44" s="199">
        <f t="shared" si="50"/>
        <v>47058</v>
      </c>
      <c r="Y44" s="199">
        <f t="shared" si="50"/>
        <v>47239</v>
      </c>
      <c r="Z44" s="199">
        <f t="shared" si="50"/>
        <v>47423</v>
      </c>
      <c r="AA44" s="199">
        <f t="shared" si="50"/>
        <v>47604</v>
      </c>
      <c r="AB44" s="199">
        <f t="shared" si="50"/>
        <v>47788</v>
      </c>
      <c r="AC44" s="199">
        <f t="shared" si="50"/>
        <v>47969</v>
      </c>
      <c r="AD44" s="199">
        <f t="shared" si="50"/>
        <v>48153</v>
      </c>
      <c r="AE44" s="199">
        <f t="shared" si="50"/>
        <v>48335</v>
      </c>
      <c r="AF44" s="199">
        <f t="shared" ref="AF44:AG78" si="51">EDATE(AE44,6)</f>
        <v>48519</v>
      </c>
      <c r="AG44" s="199">
        <f t="shared" si="51"/>
        <v>48700</v>
      </c>
      <c r="AH44" s="186">
        <f ca="1">S44-TODAY()</f>
        <v>-59</v>
      </c>
      <c r="AI44" s="201">
        <f>D44*6</f>
        <v>36000000</v>
      </c>
      <c r="AJ44" s="162" t="s">
        <v>957</v>
      </c>
    </row>
    <row r="45" spans="1:36" x14ac:dyDescent="0.2">
      <c r="A45" s="171">
        <v>42</v>
      </c>
      <c r="B45" s="213" t="s">
        <v>570</v>
      </c>
      <c r="C45" s="163" t="s">
        <v>470</v>
      </c>
      <c r="D45" s="194">
        <v>4300000</v>
      </c>
      <c r="E45" s="173" t="s">
        <v>597</v>
      </c>
      <c r="F45" s="173" t="s">
        <v>599</v>
      </c>
      <c r="G45" s="173" t="s">
        <v>598</v>
      </c>
      <c r="H45" s="173" t="s">
        <v>600</v>
      </c>
      <c r="I45" s="214" t="s">
        <v>79</v>
      </c>
      <c r="J45" s="203">
        <v>45179</v>
      </c>
      <c r="K45" s="176">
        <f t="shared" ref="K45:O52" si="52">EDATE(J45,6)</f>
        <v>45361</v>
      </c>
      <c r="L45" s="176">
        <f t="shared" si="52"/>
        <v>45545</v>
      </c>
      <c r="M45" s="176">
        <f t="shared" si="52"/>
        <v>45726</v>
      </c>
      <c r="N45" s="176">
        <f t="shared" si="50"/>
        <v>45910</v>
      </c>
      <c r="O45" s="176">
        <f t="shared" si="50"/>
        <v>46091</v>
      </c>
      <c r="P45" s="207">
        <f t="shared" si="50"/>
        <v>46275</v>
      </c>
      <c r="Q45" s="176">
        <f t="shared" si="50"/>
        <v>46456</v>
      </c>
      <c r="R45" s="176">
        <f t="shared" si="50"/>
        <v>46640</v>
      </c>
      <c r="S45" s="176">
        <f t="shared" si="50"/>
        <v>46822</v>
      </c>
      <c r="T45" s="176">
        <f t="shared" si="50"/>
        <v>47006</v>
      </c>
      <c r="U45" s="176">
        <f t="shared" si="50"/>
        <v>47187</v>
      </c>
      <c r="V45" s="176">
        <f t="shared" si="50"/>
        <v>47371</v>
      </c>
      <c r="W45" s="176">
        <f t="shared" si="50"/>
        <v>47552</v>
      </c>
      <c r="X45" s="176">
        <f t="shared" si="50"/>
        <v>47736</v>
      </c>
      <c r="Y45" s="176">
        <f t="shared" si="50"/>
        <v>47917</v>
      </c>
      <c r="Z45" s="176">
        <f t="shared" si="50"/>
        <v>48101</v>
      </c>
      <c r="AA45" s="176">
        <f t="shared" si="50"/>
        <v>48283</v>
      </c>
      <c r="AB45" s="176">
        <f t="shared" si="50"/>
        <v>48467</v>
      </c>
      <c r="AC45" s="176">
        <f t="shared" si="50"/>
        <v>48648</v>
      </c>
      <c r="AD45" s="176">
        <f t="shared" si="50"/>
        <v>48832</v>
      </c>
      <c r="AE45" s="176">
        <f t="shared" si="50"/>
        <v>49013</v>
      </c>
      <c r="AF45" s="176">
        <f t="shared" si="51"/>
        <v>49197</v>
      </c>
      <c r="AG45" s="176">
        <f t="shared" si="51"/>
        <v>49378</v>
      </c>
      <c r="AH45" s="192">
        <f ca="1">P45-TODAY()</f>
        <v>73</v>
      </c>
      <c r="AI45" s="194">
        <f>D45*6</f>
        <v>25800000</v>
      </c>
      <c r="AJ45" s="171" t="s">
        <v>958</v>
      </c>
    </row>
    <row r="46" spans="1:36" x14ac:dyDescent="0.2">
      <c r="A46" s="162">
        <v>43</v>
      </c>
      <c r="B46" s="162" t="s">
        <v>571</v>
      </c>
      <c r="C46" s="163" t="s">
        <v>575</v>
      </c>
      <c r="D46" s="201">
        <v>6000000</v>
      </c>
      <c r="E46" s="164" t="s">
        <v>577</v>
      </c>
      <c r="F46" s="164" t="s">
        <v>578</v>
      </c>
      <c r="G46" s="164" t="s">
        <v>400</v>
      </c>
      <c r="H46" s="164" t="s">
        <v>579</v>
      </c>
      <c r="I46" s="197" t="s">
        <v>1160</v>
      </c>
      <c r="J46" s="167">
        <v>45122</v>
      </c>
      <c r="K46" s="182">
        <f>EDATE(J46,6)</f>
        <v>45306</v>
      </c>
      <c r="L46" s="182">
        <f t="shared" si="52"/>
        <v>45488</v>
      </c>
      <c r="M46" s="182">
        <f>EDATE(L46,6)</f>
        <v>45672</v>
      </c>
      <c r="N46" s="182">
        <f>EDATE(M46,6)</f>
        <v>45853</v>
      </c>
      <c r="O46" s="182">
        <f t="shared" ref="O46:T46" si="53">EDATE(N46,1)</f>
        <v>45884</v>
      </c>
      <c r="P46" s="182">
        <f t="shared" si="53"/>
        <v>45915</v>
      </c>
      <c r="Q46" s="182">
        <f t="shared" si="53"/>
        <v>45945</v>
      </c>
      <c r="R46" s="182">
        <f t="shared" si="53"/>
        <v>45976</v>
      </c>
      <c r="S46" s="182">
        <f t="shared" si="53"/>
        <v>46006</v>
      </c>
      <c r="T46" s="182">
        <f t="shared" si="53"/>
        <v>46037</v>
      </c>
      <c r="U46" s="182">
        <f>EDATE(T46,1)</f>
        <v>46068</v>
      </c>
      <c r="V46" s="212">
        <f>EDATE(U46,1)</f>
        <v>46096</v>
      </c>
      <c r="W46" s="182">
        <f>EDATE(V46,1)</f>
        <v>46127</v>
      </c>
      <c r="X46" s="182">
        <f>EDATE(W46,1)</f>
        <v>46157</v>
      </c>
      <c r="Y46" s="182">
        <f t="shared" ref="Y46:AG46" si="54">EDATE(X46,1)</f>
        <v>46188</v>
      </c>
      <c r="Z46" s="182">
        <f t="shared" si="54"/>
        <v>46218</v>
      </c>
      <c r="AA46" s="182">
        <f t="shared" si="54"/>
        <v>46249</v>
      </c>
      <c r="AB46" s="182">
        <f t="shared" si="54"/>
        <v>46280</v>
      </c>
      <c r="AC46" s="182">
        <f t="shared" si="54"/>
        <v>46310</v>
      </c>
      <c r="AD46" s="182">
        <f t="shared" si="54"/>
        <v>46341</v>
      </c>
      <c r="AE46" s="182">
        <f t="shared" si="54"/>
        <v>46371</v>
      </c>
      <c r="AF46" s="182">
        <f t="shared" si="54"/>
        <v>46402</v>
      </c>
      <c r="AG46" s="182">
        <f t="shared" si="54"/>
        <v>46433</v>
      </c>
      <c r="AH46" s="186">
        <f ca="1">W46-TODAY()</f>
        <v>-75</v>
      </c>
      <c r="AI46" s="201">
        <f>D46*1</f>
        <v>6000000</v>
      </c>
      <c r="AJ46" s="162" t="s">
        <v>959</v>
      </c>
    </row>
    <row r="47" spans="1:36" x14ac:dyDescent="0.2">
      <c r="A47" s="171">
        <v>44</v>
      </c>
      <c r="B47" s="162" t="s">
        <v>572</v>
      </c>
      <c r="C47" s="163" t="s">
        <v>581</v>
      </c>
      <c r="D47" s="201">
        <v>4000000</v>
      </c>
      <c r="E47" s="164" t="s">
        <v>582</v>
      </c>
      <c r="F47" s="164" t="s">
        <v>583</v>
      </c>
      <c r="G47" s="164" t="s">
        <v>170</v>
      </c>
      <c r="H47" s="164" t="s">
        <v>584</v>
      </c>
      <c r="I47" s="162" t="s">
        <v>79</v>
      </c>
      <c r="J47" s="199">
        <v>45153</v>
      </c>
      <c r="K47" s="167">
        <f t="shared" si="52"/>
        <v>45337</v>
      </c>
      <c r="L47" s="182">
        <f t="shared" si="52"/>
        <v>45519</v>
      </c>
      <c r="M47" s="182">
        <f t="shared" si="52"/>
        <v>45703</v>
      </c>
      <c r="N47" s="182">
        <f t="shared" si="50"/>
        <v>45884</v>
      </c>
      <c r="O47" s="182">
        <f t="shared" si="50"/>
        <v>46068</v>
      </c>
      <c r="P47" s="212">
        <f t="shared" si="50"/>
        <v>46249</v>
      </c>
      <c r="Q47" s="182">
        <f t="shared" si="50"/>
        <v>46433</v>
      </c>
      <c r="R47" s="182">
        <f t="shared" si="50"/>
        <v>46614</v>
      </c>
      <c r="S47" s="182">
        <f t="shared" si="50"/>
        <v>46798</v>
      </c>
      <c r="T47" s="182">
        <f t="shared" si="50"/>
        <v>46980</v>
      </c>
      <c r="U47" s="182">
        <f t="shared" si="50"/>
        <v>47164</v>
      </c>
      <c r="V47" s="182">
        <f t="shared" si="50"/>
        <v>47345</v>
      </c>
      <c r="W47" s="182">
        <f t="shared" si="50"/>
        <v>47529</v>
      </c>
      <c r="X47" s="182">
        <f t="shared" si="50"/>
        <v>47710</v>
      </c>
      <c r="Y47" s="182">
        <f t="shared" si="50"/>
        <v>47894</v>
      </c>
      <c r="Z47" s="182">
        <f t="shared" si="50"/>
        <v>48075</v>
      </c>
      <c r="AA47" s="182">
        <f t="shared" si="50"/>
        <v>48259</v>
      </c>
      <c r="AB47" s="182">
        <f t="shared" si="50"/>
        <v>48441</v>
      </c>
      <c r="AC47" s="182">
        <f t="shared" si="50"/>
        <v>48625</v>
      </c>
      <c r="AD47" s="182">
        <f t="shared" si="50"/>
        <v>48806</v>
      </c>
      <c r="AE47" s="182">
        <f t="shared" si="50"/>
        <v>48990</v>
      </c>
      <c r="AF47" s="182">
        <f t="shared" si="51"/>
        <v>49171</v>
      </c>
      <c r="AG47" s="182">
        <f t="shared" si="51"/>
        <v>49355</v>
      </c>
      <c r="AH47" s="186">
        <f ca="1">P47-TODAY()</f>
        <v>47</v>
      </c>
      <c r="AI47" s="201">
        <v>24000000</v>
      </c>
      <c r="AJ47" s="162" t="s">
        <v>958</v>
      </c>
    </row>
    <row r="48" spans="1:36" x14ac:dyDescent="0.2">
      <c r="A48" s="162">
        <v>45</v>
      </c>
      <c r="B48" s="162" t="s">
        <v>573</v>
      </c>
      <c r="C48" s="163" t="s">
        <v>581</v>
      </c>
      <c r="D48" s="201">
        <v>4000000</v>
      </c>
      <c r="E48" s="164" t="s">
        <v>587</v>
      </c>
      <c r="F48" s="164" t="s">
        <v>586</v>
      </c>
      <c r="G48" s="164" t="s">
        <v>588</v>
      </c>
      <c r="H48" s="164" t="s">
        <v>589</v>
      </c>
      <c r="I48" s="162" t="s">
        <v>79</v>
      </c>
      <c r="J48" s="199">
        <v>45153</v>
      </c>
      <c r="K48" s="167">
        <f t="shared" si="52"/>
        <v>45337</v>
      </c>
      <c r="L48" s="182">
        <f t="shared" si="52"/>
        <v>45519</v>
      </c>
      <c r="M48" s="182">
        <f t="shared" si="52"/>
        <v>45703</v>
      </c>
      <c r="N48" s="182">
        <f t="shared" si="50"/>
        <v>45884</v>
      </c>
      <c r="O48" s="182">
        <f t="shared" si="50"/>
        <v>46068</v>
      </c>
      <c r="P48" s="212">
        <f t="shared" si="50"/>
        <v>46249</v>
      </c>
      <c r="Q48" s="182">
        <f t="shared" si="50"/>
        <v>46433</v>
      </c>
      <c r="R48" s="182">
        <f t="shared" si="50"/>
        <v>46614</v>
      </c>
      <c r="S48" s="182">
        <f t="shared" si="50"/>
        <v>46798</v>
      </c>
      <c r="T48" s="182">
        <f t="shared" si="50"/>
        <v>46980</v>
      </c>
      <c r="U48" s="182">
        <f t="shared" si="50"/>
        <v>47164</v>
      </c>
      <c r="V48" s="182">
        <f t="shared" si="50"/>
        <v>47345</v>
      </c>
      <c r="W48" s="182">
        <f t="shared" si="50"/>
        <v>47529</v>
      </c>
      <c r="X48" s="182">
        <f t="shared" si="50"/>
        <v>47710</v>
      </c>
      <c r="Y48" s="182">
        <f t="shared" si="50"/>
        <v>47894</v>
      </c>
      <c r="Z48" s="182">
        <f t="shared" si="50"/>
        <v>48075</v>
      </c>
      <c r="AA48" s="182">
        <f t="shared" si="50"/>
        <v>48259</v>
      </c>
      <c r="AB48" s="182">
        <f t="shared" si="50"/>
        <v>48441</v>
      </c>
      <c r="AC48" s="182">
        <f t="shared" si="50"/>
        <v>48625</v>
      </c>
      <c r="AD48" s="182">
        <f t="shared" si="50"/>
        <v>48806</v>
      </c>
      <c r="AE48" s="182">
        <f t="shared" si="50"/>
        <v>48990</v>
      </c>
      <c r="AF48" s="182">
        <f t="shared" si="51"/>
        <v>49171</v>
      </c>
      <c r="AG48" s="182">
        <f t="shared" si="51"/>
        <v>49355</v>
      </c>
      <c r="AH48" s="186">
        <f ca="1">P48-TODAY()</f>
        <v>47</v>
      </c>
      <c r="AI48" s="201">
        <v>24000000</v>
      </c>
      <c r="AJ48" s="162" t="s">
        <v>958</v>
      </c>
    </row>
    <row r="49" spans="1:36" x14ac:dyDescent="0.2">
      <c r="A49" s="171">
        <v>46</v>
      </c>
      <c r="B49" s="209" t="s">
        <v>574</v>
      </c>
      <c r="C49" s="163" t="s">
        <v>470</v>
      </c>
      <c r="D49" s="201">
        <v>6500000</v>
      </c>
      <c r="E49" s="164" t="s">
        <v>592</v>
      </c>
      <c r="F49" s="164" t="s">
        <v>591</v>
      </c>
      <c r="G49" s="164" t="s">
        <v>593</v>
      </c>
      <c r="H49" s="164" t="s">
        <v>594</v>
      </c>
      <c r="I49" s="162" t="s">
        <v>79</v>
      </c>
      <c r="J49" s="167">
        <v>45170</v>
      </c>
      <c r="K49" s="182">
        <f>EDATE(J49,6)</f>
        <v>45352</v>
      </c>
      <c r="L49" s="182">
        <f t="shared" si="52"/>
        <v>45536</v>
      </c>
      <c r="M49" s="182">
        <f t="shared" si="52"/>
        <v>45717</v>
      </c>
      <c r="N49" s="182">
        <f t="shared" si="52"/>
        <v>45901</v>
      </c>
      <c r="O49" s="212">
        <f t="shared" si="52"/>
        <v>46082</v>
      </c>
      <c r="P49" s="182">
        <f>EDATE(O49,6)-1</f>
        <v>46265</v>
      </c>
      <c r="Q49" s="182">
        <f t="shared" si="50"/>
        <v>46446</v>
      </c>
      <c r="R49" s="182">
        <f t="shared" si="50"/>
        <v>46627</v>
      </c>
      <c r="S49" s="182">
        <f t="shared" si="50"/>
        <v>46811</v>
      </c>
      <c r="T49" s="182">
        <f t="shared" si="50"/>
        <v>46993</v>
      </c>
      <c r="U49" s="182">
        <f t="shared" si="50"/>
        <v>47177</v>
      </c>
      <c r="V49" s="182">
        <f t="shared" si="50"/>
        <v>47358</v>
      </c>
      <c r="W49" s="182">
        <f t="shared" si="50"/>
        <v>47542</v>
      </c>
      <c r="X49" s="182">
        <f t="shared" si="50"/>
        <v>47723</v>
      </c>
      <c r="Y49" s="182">
        <f t="shared" si="50"/>
        <v>47907</v>
      </c>
      <c r="Z49" s="182">
        <f t="shared" si="50"/>
        <v>48088</v>
      </c>
      <c r="AA49" s="182">
        <f t="shared" si="50"/>
        <v>48272</v>
      </c>
      <c r="AB49" s="182">
        <f t="shared" si="50"/>
        <v>48454</v>
      </c>
      <c r="AC49" s="182">
        <f t="shared" si="50"/>
        <v>48638</v>
      </c>
      <c r="AD49" s="182">
        <f t="shared" si="50"/>
        <v>48819</v>
      </c>
      <c r="AE49" s="182">
        <f t="shared" ref="AE49:AE78" si="55">EDATE(AD49,6)</f>
        <v>49003</v>
      </c>
      <c r="AF49" s="182">
        <f t="shared" si="51"/>
        <v>49184</v>
      </c>
      <c r="AG49" s="182">
        <f t="shared" si="51"/>
        <v>49368</v>
      </c>
      <c r="AH49" s="186">
        <f ca="1">P49-TODAY()</f>
        <v>63</v>
      </c>
      <c r="AI49" s="201">
        <f>D49*6</f>
        <v>39000000</v>
      </c>
      <c r="AJ49" s="162" t="s">
        <v>958</v>
      </c>
    </row>
    <row r="50" spans="1:36" x14ac:dyDescent="0.2">
      <c r="A50" s="162">
        <v>47</v>
      </c>
      <c r="B50" s="162" t="s">
        <v>610</v>
      </c>
      <c r="C50" s="163" t="s">
        <v>575</v>
      </c>
      <c r="D50" s="201">
        <v>6000000</v>
      </c>
      <c r="E50" s="164" t="s">
        <v>628</v>
      </c>
      <c r="F50" s="164" t="s">
        <v>629</v>
      </c>
      <c r="G50" s="164" t="s">
        <v>630</v>
      </c>
      <c r="H50" s="164" t="s">
        <v>631</v>
      </c>
      <c r="I50" s="162" t="s">
        <v>79</v>
      </c>
      <c r="J50" s="167">
        <v>45231</v>
      </c>
      <c r="K50" s="182">
        <f t="shared" si="52"/>
        <v>45413</v>
      </c>
      <c r="L50" s="182">
        <f t="shared" si="52"/>
        <v>45597</v>
      </c>
      <c r="M50" s="182">
        <f t="shared" si="52"/>
        <v>45778</v>
      </c>
      <c r="N50" s="212">
        <f t="shared" si="52"/>
        <v>45962</v>
      </c>
      <c r="O50" s="182">
        <f t="shared" si="52"/>
        <v>46143</v>
      </c>
      <c r="P50" s="182">
        <f t="shared" si="50"/>
        <v>46327</v>
      </c>
      <c r="Q50" s="182">
        <f t="shared" si="50"/>
        <v>46508</v>
      </c>
      <c r="R50" s="182">
        <f t="shared" si="50"/>
        <v>46692</v>
      </c>
      <c r="S50" s="182">
        <f t="shared" si="50"/>
        <v>46874</v>
      </c>
      <c r="T50" s="182">
        <f t="shared" si="50"/>
        <v>47058</v>
      </c>
      <c r="U50" s="182">
        <f t="shared" si="50"/>
        <v>47239</v>
      </c>
      <c r="V50" s="182">
        <f t="shared" si="50"/>
        <v>47423</v>
      </c>
      <c r="W50" s="182">
        <f t="shared" si="50"/>
        <v>47604</v>
      </c>
      <c r="X50" s="182">
        <f t="shared" si="50"/>
        <v>47788</v>
      </c>
      <c r="Y50" s="182">
        <f t="shared" si="50"/>
        <v>47969</v>
      </c>
      <c r="Z50" s="182">
        <f t="shared" si="50"/>
        <v>48153</v>
      </c>
      <c r="AA50" s="182">
        <f t="shared" si="50"/>
        <v>48335</v>
      </c>
      <c r="AB50" s="182">
        <f t="shared" si="50"/>
        <v>48519</v>
      </c>
      <c r="AC50" s="182">
        <f t="shared" si="50"/>
        <v>48700</v>
      </c>
      <c r="AD50" s="182">
        <f t="shared" si="50"/>
        <v>48884</v>
      </c>
      <c r="AE50" s="182">
        <f t="shared" si="55"/>
        <v>49065</v>
      </c>
      <c r="AF50" s="182">
        <f t="shared" si="51"/>
        <v>49249</v>
      </c>
      <c r="AG50" s="182">
        <f t="shared" si="51"/>
        <v>49430</v>
      </c>
      <c r="AH50" s="186">
        <f t="shared" ref="AH50:AH54" ca="1" si="56">O50-TODAY()</f>
        <v>-59</v>
      </c>
      <c r="AI50" s="201">
        <f>D50*6</f>
        <v>36000000</v>
      </c>
      <c r="AJ50" s="162" t="s">
        <v>960</v>
      </c>
    </row>
    <row r="51" spans="1:36" x14ac:dyDescent="0.2">
      <c r="A51" s="171">
        <v>48</v>
      </c>
      <c r="B51" s="215" t="s">
        <v>621</v>
      </c>
      <c r="C51" s="163" t="s">
        <v>575</v>
      </c>
      <c r="D51" s="194">
        <v>6000000</v>
      </c>
      <c r="E51" s="196" t="s">
        <v>961</v>
      </c>
      <c r="F51" s="173" t="s">
        <v>623</v>
      </c>
      <c r="G51" s="173" t="s">
        <v>962</v>
      </c>
      <c r="H51" s="173" t="s">
        <v>963</v>
      </c>
      <c r="I51" s="171" t="s">
        <v>79</v>
      </c>
      <c r="J51" s="177">
        <v>45313</v>
      </c>
      <c r="K51" s="176">
        <f>EDATE(J51,6)</f>
        <v>45495</v>
      </c>
      <c r="L51" s="176">
        <f t="shared" si="52"/>
        <v>45679</v>
      </c>
      <c r="M51" s="176">
        <f t="shared" si="52"/>
        <v>45860</v>
      </c>
      <c r="N51" s="176">
        <f t="shared" si="50"/>
        <v>46044</v>
      </c>
      <c r="O51" s="207">
        <f t="shared" si="50"/>
        <v>46225</v>
      </c>
      <c r="P51" s="176">
        <f t="shared" si="50"/>
        <v>46409</v>
      </c>
      <c r="Q51" s="176">
        <f t="shared" si="50"/>
        <v>46590</v>
      </c>
      <c r="R51" s="176">
        <f t="shared" si="50"/>
        <v>46774</v>
      </c>
      <c r="S51" s="176">
        <f t="shared" si="50"/>
        <v>46956</v>
      </c>
      <c r="T51" s="176">
        <f t="shared" si="50"/>
        <v>47140</v>
      </c>
      <c r="U51" s="176">
        <f t="shared" si="50"/>
        <v>47321</v>
      </c>
      <c r="V51" s="176">
        <f t="shared" si="50"/>
        <v>47505</v>
      </c>
      <c r="W51" s="176">
        <f t="shared" si="50"/>
        <v>47686</v>
      </c>
      <c r="X51" s="176">
        <f t="shared" si="50"/>
        <v>47870</v>
      </c>
      <c r="Y51" s="176">
        <f t="shared" si="50"/>
        <v>48051</v>
      </c>
      <c r="Z51" s="176">
        <f t="shared" si="50"/>
        <v>48235</v>
      </c>
      <c r="AA51" s="176">
        <f t="shared" si="50"/>
        <v>48417</v>
      </c>
      <c r="AB51" s="176">
        <f t="shared" si="50"/>
        <v>48601</v>
      </c>
      <c r="AC51" s="176">
        <f t="shared" si="50"/>
        <v>48782</v>
      </c>
      <c r="AD51" s="176">
        <f t="shared" si="50"/>
        <v>48966</v>
      </c>
      <c r="AE51" s="176">
        <f t="shared" si="55"/>
        <v>49147</v>
      </c>
      <c r="AF51" s="176">
        <f t="shared" si="51"/>
        <v>49331</v>
      </c>
      <c r="AG51" s="176">
        <f t="shared" si="51"/>
        <v>49512</v>
      </c>
      <c r="AH51" s="186">
        <f t="shared" ca="1" si="56"/>
        <v>23</v>
      </c>
      <c r="AI51" s="194">
        <f t="shared" ref="AI51:AI60" si="57">D51*6</f>
        <v>36000000</v>
      </c>
      <c r="AJ51" s="171" t="s">
        <v>960</v>
      </c>
    </row>
    <row r="52" spans="1:36" x14ac:dyDescent="0.2">
      <c r="A52" s="162">
        <v>49</v>
      </c>
      <c r="B52" s="162" t="s">
        <v>616</v>
      </c>
      <c r="C52" s="163" t="s">
        <v>575</v>
      </c>
      <c r="D52" s="201">
        <v>6500000</v>
      </c>
      <c r="E52" s="195" t="s">
        <v>619</v>
      </c>
      <c r="F52" s="164" t="s">
        <v>618</v>
      </c>
      <c r="G52" s="164" t="s">
        <v>400</v>
      </c>
      <c r="H52" s="164" t="s">
        <v>964</v>
      </c>
      <c r="I52" s="208" t="s">
        <v>79</v>
      </c>
      <c r="J52" s="167">
        <v>45292</v>
      </c>
      <c r="K52" s="167">
        <f>EDATE(J52,6)</f>
        <v>45474</v>
      </c>
      <c r="L52" s="167">
        <f t="shared" si="52"/>
        <v>45658</v>
      </c>
      <c r="M52" s="167">
        <f>EDATE(L52,6)</f>
        <v>45839</v>
      </c>
      <c r="N52" s="167">
        <f>EDATE(M52,6)</f>
        <v>46023</v>
      </c>
      <c r="O52" s="168">
        <f>EDATE(N52,6)</f>
        <v>46204</v>
      </c>
      <c r="P52" s="167">
        <f t="shared" si="50"/>
        <v>46388</v>
      </c>
      <c r="Q52" s="167">
        <f t="shared" si="50"/>
        <v>46569</v>
      </c>
      <c r="R52" s="167">
        <f t="shared" si="50"/>
        <v>46753</v>
      </c>
      <c r="S52" s="167">
        <f t="shared" si="50"/>
        <v>46935</v>
      </c>
      <c r="T52" s="167">
        <f t="shared" si="50"/>
        <v>47119</v>
      </c>
      <c r="U52" s="167">
        <f t="shared" si="50"/>
        <v>47300</v>
      </c>
      <c r="V52" s="167">
        <f t="shared" si="50"/>
        <v>47484</v>
      </c>
      <c r="W52" s="167">
        <f t="shared" si="50"/>
        <v>47665</v>
      </c>
      <c r="X52" s="167">
        <f t="shared" si="50"/>
        <v>47849</v>
      </c>
      <c r="Y52" s="167">
        <f t="shared" si="50"/>
        <v>48030</v>
      </c>
      <c r="Z52" s="167">
        <f t="shared" si="50"/>
        <v>48214</v>
      </c>
      <c r="AA52" s="167">
        <f t="shared" si="50"/>
        <v>48396</v>
      </c>
      <c r="AB52" s="167">
        <f t="shared" si="50"/>
        <v>48580</v>
      </c>
      <c r="AC52" s="167">
        <f t="shared" si="50"/>
        <v>48761</v>
      </c>
      <c r="AD52" s="167">
        <f t="shared" si="50"/>
        <v>48945</v>
      </c>
      <c r="AE52" s="167">
        <f t="shared" si="55"/>
        <v>49126</v>
      </c>
      <c r="AF52" s="167">
        <f t="shared" si="51"/>
        <v>49310</v>
      </c>
      <c r="AG52" s="167">
        <f t="shared" si="51"/>
        <v>49491</v>
      </c>
      <c r="AH52" s="186">
        <f t="shared" ca="1" si="56"/>
        <v>2</v>
      </c>
      <c r="AI52" s="201">
        <f>D52*6</f>
        <v>39000000</v>
      </c>
      <c r="AJ52" s="162" t="s">
        <v>960</v>
      </c>
    </row>
    <row r="53" spans="1:36" x14ac:dyDescent="0.2">
      <c r="A53" s="171">
        <v>50</v>
      </c>
      <c r="B53" s="162" t="s">
        <v>639</v>
      </c>
      <c r="C53" s="163" t="s">
        <v>965</v>
      </c>
      <c r="D53" s="201">
        <v>4500000</v>
      </c>
      <c r="E53" s="164" t="s">
        <v>655</v>
      </c>
      <c r="F53" s="164" t="s">
        <v>656</v>
      </c>
      <c r="G53" s="164" t="s">
        <v>588</v>
      </c>
      <c r="H53" s="164" t="s">
        <v>654</v>
      </c>
      <c r="I53" s="208" t="s">
        <v>79</v>
      </c>
      <c r="J53" s="167">
        <v>45287</v>
      </c>
      <c r="K53" s="182">
        <f t="shared" ref="K53:N68" si="58">EDATE(J53,6)</f>
        <v>45470</v>
      </c>
      <c r="L53" s="182">
        <f t="shared" si="58"/>
        <v>45653</v>
      </c>
      <c r="M53" s="182">
        <f t="shared" si="58"/>
        <v>45835</v>
      </c>
      <c r="N53" s="182">
        <f t="shared" si="50"/>
        <v>46018</v>
      </c>
      <c r="O53" s="212">
        <f t="shared" si="50"/>
        <v>46200</v>
      </c>
      <c r="P53" s="182">
        <f t="shared" si="50"/>
        <v>46383</v>
      </c>
      <c r="Q53" s="182">
        <f t="shared" si="50"/>
        <v>46565</v>
      </c>
      <c r="R53" s="182">
        <f t="shared" si="50"/>
        <v>46748</v>
      </c>
      <c r="S53" s="182">
        <f t="shared" si="50"/>
        <v>46931</v>
      </c>
      <c r="T53" s="182">
        <f t="shared" si="50"/>
        <v>47114</v>
      </c>
      <c r="U53" s="182">
        <f t="shared" si="50"/>
        <v>47296</v>
      </c>
      <c r="V53" s="182">
        <f t="shared" si="50"/>
        <v>47479</v>
      </c>
      <c r="W53" s="182">
        <f t="shared" si="50"/>
        <v>47661</v>
      </c>
      <c r="X53" s="167">
        <f t="shared" si="50"/>
        <v>47844</v>
      </c>
      <c r="Y53" s="167">
        <f t="shared" si="50"/>
        <v>48026</v>
      </c>
      <c r="Z53" s="167">
        <f t="shared" si="50"/>
        <v>48209</v>
      </c>
      <c r="AA53" s="167">
        <f t="shared" si="50"/>
        <v>48392</v>
      </c>
      <c r="AB53" s="167">
        <f t="shared" si="50"/>
        <v>48575</v>
      </c>
      <c r="AC53" s="167">
        <f t="shared" si="50"/>
        <v>48757</v>
      </c>
      <c r="AD53" s="167">
        <f t="shared" si="50"/>
        <v>48940</v>
      </c>
      <c r="AE53" s="167">
        <f t="shared" si="55"/>
        <v>49122</v>
      </c>
      <c r="AF53" s="167">
        <f t="shared" si="51"/>
        <v>49305</v>
      </c>
      <c r="AG53" s="167">
        <f t="shared" si="51"/>
        <v>49487</v>
      </c>
      <c r="AH53" s="186">
        <f t="shared" ca="1" si="56"/>
        <v>-2</v>
      </c>
      <c r="AI53" s="201">
        <f t="shared" si="57"/>
        <v>27000000</v>
      </c>
      <c r="AJ53" s="162" t="s">
        <v>960</v>
      </c>
    </row>
    <row r="54" spans="1:36" x14ac:dyDescent="0.2">
      <c r="A54" s="162">
        <v>51</v>
      </c>
      <c r="B54" s="162" t="s">
        <v>638</v>
      </c>
      <c r="C54" s="163" t="s">
        <v>558</v>
      </c>
      <c r="D54" s="201">
        <v>4000000</v>
      </c>
      <c r="E54" s="164" t="s">
        <v>652</v>
      </c>
      <c r="F54" s="164" t="s">
        <v>651</v>
      </c>
      <c r="G54" s="164" t="s">
        <v>153</v>
      </c>
      <c r="H54" s="164" t="s">
        <v>653</v>
      </c>
      <c r="I54" s="210" t="s">
        <v>79</v>
      </c>
      <c r="J54" s="167">
        <v>45286</v>
      </c>
      <c r="K54" s="182">
        <f t="shared" si="58"/>
        <v>45469</v>
      </c>
      <c r="L54" s="182">
        <f t="shared" si="58"/>
        <v>45652</v>
      </c>
      <c r="M54" s="182">
        <f t="shared" si="58"/>
        <v>45834</v>
      </c>
      <c r="N54" s="182">
        <f t="shared" si="50"/>
        <v>46017</v>
      </c>
      <c r="O54" s="212">
        <f t="shared" si="50"/>
        <v>46199</v>
      </c>
      <c r="P54" s="182">
        <f t="shared" si="50"/>
        <v>46382</v>
      </c>
      <c r="Q54" s="182">
        <f t="shared" si="50"/>
        <v>46564</v>
      </c>
      <c r="R54" s="182">
        <f t="shared" si="50"/>
        <v>46747</v>
      </c>
      <c r="S54" s="182">
        <f t="shared" si="50"/>
        <v>46930</v>
      </c>
      <c r="T54" s="182">
        <f t="shared" si="50"/>
        <v>47113</v>
      </c>
      <c r="U54" s="182">
        <f t="shared" si="50"/>
        <v>47295</v>
      </c>
      <c r="V54" s="182">
        <f t="shared" si="50"/>
        <v>47478</v>
      </c>
      <c r="W54" s="182">
        <f t="shared" si="50"/>
        <v>47660</v>
      </c>
      <c r="X54" s="167">
        <f t="shared" si="50"/>
        <v>47843</v>
      </c>
      <c r="Y54" s="167">
        <f t="shared" si="50"/>
        <v>48025</v>
      </c>
      <c r="Z54" s="167">
        <f t="shared" si="50"/>
        <v>48208</v>
      </c>
      <c r="AA54" s="167">
        <f t="shared" si="50"/>
        <v>48391</v>
      </c>
      <c r="AB54" s="167">
        <f t="shared" si="50"/>
        <v>48574</v>
      </c>
      <c r="AC54" s="167">
        <f t="shared" si="50"/>
        <v>48756</v>
      </c>
      <c r="AD54" s="167">
        <f t="shared" si="50"/>
        <v>48939</v>
      </c>
      <c r="AE54" s="167">
        <f t="shared" si="55"/>
        <v>49121</v>
      </c>
      <c r="AF54" s="167">
        <f t="shared" si="51"/>
        <v>49304</v>
      </c>
      <c r="AG54" s="167">
        <f t="shared" si="51"/>
        <v>49486</v>
      </c>
      <c r="AH54" s="186">
        <f t="shared" ca="1" si="56"/>
        <v>-3</v>
      </c>
      <c r="AI54" s="201">
        <f t="shared" si="57"/>
        <v>24000000</v>
      </c>
      <c r="AJ54" s="162" t="s">
        <v>960</v>
      </c>
    </row>
    <row r="55" spans="1:36" x14ac:dyDescent="0.2">
      <c r="A55" s="171">
        <v>52</v>
      </c>
      <c r="B55" s="162" t="s">
        <v>609</v>
      </c>
      <c r="C55" s="163" t="s">
        <v>764</v>
      </c>
      <c r="D55" s="201">
        <v>5500000</v>
      </c>
      <c r="E55" s="195" t="s">
        <v>666</v>
      </c>
      <c r="F55" s="164" t="s">
        <v>667</v>
      </c>
      <c r="G55" s="164" t="s">
        <v>668</v>
      </c>
      <c r="H55" s="164" t="s">
        <v>669</v>
      </c>
      <c r="I55" s="210" t="s">
        <v>79</v>
      </c>
      <c r="J55" s="167">
        <v>45139</v>
      </c>
      <c r="K55" s="182">
        <f t="shared" si="58"/>
        <v>45323</v>
      </c>
      <c r="L55" s="182">
        <f>EDATE(K55,6)</f>
        <v>45505</v>
      </c>
      <c r="M55" s="182">
        <f>EDATE(L55,6)</f>
        <v>45689</v>
      </c>
      <c r="N55" s="182">
        <f>EDATE(M55,6)</f>
        <v>45870</v>
      </c>
      <c r="O55" s="182">
        <f>EDATE(N55,6)</f>
        <v>46054</v>
      </c>
      <c r="P55" s="212">
        <f>EDATE(O55,6)</f>
        <v>46235</v>
      </c>
      <c r="Q55" s="182">
        <f t="shared" si="50"/>
        <v>46419</v>
      </c>
      <c r="R55" s="182">
        <f t="shared" si="50"/>
        <v>46600</v>
      </c>
      <c r="S55" s="182">
        <f t="shared" si="50"/>
        <v>46784</v>
      </c>
      <c r="T55" s="182">
        <f t="shared" si="50"/>
        <v>46966</v>
      </c>
      <c r="U55" s="182">
        <f t="shared" si="50"/>
        <v>47150</v>
      </c>
      <c r="V55" s="182">
        <f t="shared" si="50"/>
        <v>47331</v>
      </c>
      <c r="W55" s="182">
        <f t="shared" si="50"/>
        <v>47515</v>
      </c>
      <c r="X55" s="182">
        <f t="shared" si="50"/>
        <v>47696</v>
      </c>
      <c r="Y55" s="182">
        <f t="shared" si="50"/>
        <v>47880</v>
      </c>
      <c r="Z55" s="182">
        <f t="shared" si="50"/>
        <v>48061</v>
      </c>
      <c r="AA55" s="182">
        <f t="shared" si="50"/>
        <v>48245</v>
      </c>
      <c r="AB55" s="182">
        <f t="shared" si="50"/>
        <v>48427</v>
      </c>
      <c r="AC55" s="182">
        <f t="shared" si="50"/>
        <v>48611</v>
      </c>
      <c r="AD55" s="182">
        <f t="shared" si="50"/>
        <v>48792</v>
      </c>
      <c r="AE55" s="182">
        <f t="shared" si="55"/>
        <v>48976</v>
      </c>
      <c r="AF55" s="182">
        <f t="shared" si="51"/>
        <v>49157</v>
      </c>
      <c r="AG55" s="182">
        <f t="shared" si="51"/>
        <v>49341</v>
      </c>
      <c r="AH55" s="186">
        <f ca="1">P55-TODAY()</f>
        <v>33</v>
      </c>
      <c r="AI55" s="201">
        <f t="shared" si="57"/>
        <v>33000000</v>
      </c>
      <c r="AJ55" s="162" t="s">
        <v>958</v>
      </c>
    </row>
    <row r="56" spans="1:36" x14ac:dyDescent="0.2">
      <c r="A56" s="162">
        <v>53</v>
      </c>
      <c r="B56" s="162" t="s">
        <v>670</v>
      </c>
      <c r="C56" s="163" t="s">
        <v>66</v>
      </c>
      <c r="D56" s="201">
        <v>4000000</v>
      </c>
      <c r="E56" s="195" t="s">
        <v>680</v>
      </c>
      <c r="F56" s="164" t="s">
        <v>681</v>
      </c>
      <c r="G56" s="164" t="s">
        <v>400</v>
      </c>
      <c r="H56" s="164" t="s">
        <v>682</v>
      </c>
      <c r="I56" s="162" t="s">
        <v>79</v>
      </c>
      <c r="J56" s="167">
        <v>45379</v>
      </c>
      <c r="K56" s="182">
        <f t="shared" si="58"/>
        <v>45563</v>
      </c>
      <c r="L56" s="182">
        <f t="shared" si="58"/>
        <v>45744</v>
      </c>
      <c r="M56" s="182">
        <f t="shared" si="58"/>
        <v>45928</v>
      </c>
      <c r="N56" s="182">
        <f t="shared" si="50"/>
        <v>46109</v>
      </c>
      <c r="O56" s="182">
        <f t="shared" si="50"/>
        <v>46293</v>
      </c>
      <c r="P56" s="182">
        <f t="shared" si="50"/>
        <v>46474</v>
      </c>
      <c r="Q56" s="182">
        <f t="shared" si="50"/>
        <v>46658</v>
      </c>
      <c r="R56" s="182">
        <f t="shared" si="50"/>
        <v>46840</v>
      </c>
      <c r="S56" s="182">
        <f t="shared" si="50"/>
        <v>47024</v>
      </c>
      <c r="T56" s="182">
        <f t="shared" si="50"/>
        <v>47205</v>
      </c>
      <c r="U56" s="182">
        <f t="shared" si="50"/>
        <v>47389</v>
      </c>
      <c r="V56" s="182">
        <f t="shared" si="50"/>
        <v>47570</v>
      </c>
      <c r="W56" s="182">
        <f t="shared" si="50"/>
        <v>47754</v>
      </c>
      <c r="X56" s="182">
        <f t="shared" si="50"/>
        <v>47935</v>
      </c>
      <c r="Y56" s="182">
        <f t="shared" si="50"/>
        <v>48119</v>
      </c>
      <c r="Z56" s="182">
        <f t="shared" si="50"/>
        <v>48301</v>
      </c>
      <c r="AA56" s="182">
        <f t="shared" si="50"/>
        <v>48485</v>
      </c>
      <c r="AB56" s="182">
        <f t="shared" si="50"/>
        <v>48666</v>
      </c>
      <c r="AC56" s="182">
        <f t="shared" si="50"/>
        <v>48850</v>
      </c>
      <c r="AD56" s="182">
        <f t="shared" si="50"/>
        <v>49031</v>
      </c>
      <c r="AE56" s="182">
        <f t="shared" si="55"/>
        <v>49215</v>
      </c>
      <c r="AF56" s="182">
        <f t="shared" si="51"/>
        <v>49396</v>
      </c>
      <c r="AG56" s="182">
        <f t="shared" si="51"/>
        <v>49580</v>
      </c>
      <c r="AH56" s="186">
        <f t="shared" ref="AH56:AH67" ca="1" si="59">N56-TODAY()</f>
        <v>-93</v>
      </c>
      <c r="AI56" s="201">
        <f t="shared" si="57"/>
        <v>24000000</v>
      </c>
      <c r="AJ56" s="162" t="s">
        <v>966</v>
      </c>
    </row>
    <row r="57" spans="1:36" x14ac:dyDescent="0.2">
      <c r="A57" s="171">
        <v>54</v>
      </c>
      <c r="B57" s="162" t="s">
        <v>671</v>
      </c>
      <c r="C57" s="163" t="s">
        <v>32</v>
      </c>
      <c r="D57" s="201">
        <v>4000000</v>
      </c>
      <c r="E57" s="195" t="s">
        <v>684</v>
      </c>
      <c r="F57" s="164" t="s">
        <v>685</v>
      </c>
      <c r="G57" s="164" t="s">
        <v>410</v>
      </c>
      <c r="H57" s="164" t="s">
        <v>683</v>
      </c>
      <c r="I57" s="216" t="s">
        <v>79</v>
      </c>
      <c r="J57" s="167">
        <v>45392</v>
      </c>
      <c r="K57" s="182">
        <f t="shared" si="58"/>
        <v>45575</v>
      </c>
      <c r="L57" s="182">
        <f t="shared" si="58"/>
        <v>45757</v>
      </c>
      <c r="M57" s="182">
        <f t="shared" si="58"/>
        <v>45940</v>
      </c>
      <c r="N57" s="182">
        <f>EDATE(M57,6)</f>
        <v>46122</v>
      </c>
      <c r="O57" s="182">
        <f t="shared" si="50"/>
        <v>46305</v>
      </c>
      <c r="P57" s="182">
        <f t="shared" si="50"/>
        <v>46487</v>
      </c>
      <c r="Q57" s="182">
        <f t="shared" si="50"/>
        <v>46670</v>
      </c>
      <c r="R57" s="182">
        <f t="shared" si="50"/>
        <v>46853</v>
      </c>
      <c r="S57" s="182">
        <f t="shared" si="50"/>
        <v>47036</v>
      </c>
      <c r="T57" s="182">
        <f t="shared" si="50"/>
        <v>47218</v>
      </c>
      <c r="U57" s="182">
        <f t="shared" si="50"/>
        <v>47401</v>
      </c>
      <c r="V57" s="182">
        <f t="shared" si="50"/>
        <v>47583</v>
      </c>
      <c r="W57" s="182">
        <f t="shared" si="50"/>
        <v>47766</v>
      </c>
      <c r="X57" s="182">
        <f t="shared" si="50"/>
        <v>47948</v>
      </c>
      <c r="Y57" s="182">
        <f t="shared" si="50"/>
        <v>48131</v>
      </c>
      <c r="Z57" s="182">
        <f t="shared" si="50"/>
        <v>48314</v>
      </c>
      <c r="AA57" s="182">
        <f t="shared" si="50"/>
        <v>48497</v>
      </c>
      <c r="AB57" s="182">
        <f t="shared" si="50"/>
        <v>48679</v>
      </c>
      <c r="AC57" s="182">
        <f t="shared" si="50"/>
        <v>48862</v>
      </c>
      <c r="AD57" s="182">
        <f t="shared" si="50"/>
        <v>49044</v>
      </c>
      <c r="AE57" s="182">
        <f t="shared" si="55"/>
        <v>49227</v>
      </c>
      <c r="AF57" s="182">
        <f t="shared" si="51"/>
        <v>49409</v>
      </c>
      <c r="AG57" s="182">
        <f t="shared" si="51"/>
        <v>49592</v>
      </c>
      <c r="AH57" s="186">
        <f t="shared" ca="1" si="59"/>
        <v>-80</v>
      </c>
      <c r="AI57" s="201">
        <f t="shared" si="57"/>
        <v>24000000</v>
      </c>
      <c r="AJ57" s="162" t="s">
        <v>967</v>
      </c>
    </row>
    <row r="58" spans="1:36" x14ac:dyDescent="0.2">
      <c r="A58" s="162">
        <v>55</v>
      </c>
      <c r="B58" s="193" t="s">
        <v>672</v>
      </c>
      <c r="C58" s="163" t="s">
        <v>581</v>
      </c>
      <c r="D58" s="201">
        <v>4000000</v>
      </c>
      <c r="E58" s="195" t="s">
        <v>687</v>
      </c>
      <c r="F58" s="164" t="s">
        <v>688</v>
      </c>
      <c r="G58" s="164" t="s">
        <v>689</v>
      </c>
      <c r="H58" s="164" t="s">
        <v>686</v>
      </c>
      <c r="I58" s="162" t="s">
        <v>79</v>
      </c>
      <c r="J58" s="167">
        <v>45356</v>
      </c>
      <c r="K58" s="182">
        <f t="shared" si="58"/>
        <v>45540</v>
      </c>
      <c r="L58" s="182">
        <f>EDATE(K58,6)</f>
        <v>45721</v>
      </c>
      <c r="M58" s="182">
        <f t="shared" si="58"/>
        <v>45905</v>
      </c>
      <c r="N58" s="212">
        <f>EDATE(M58,6)</f>
        <v>46086</v>
      </c>
      <c r="O58" s="182">
        <f t="shared" si="50"/>
        <v>46270</v>
      </c>
      <c r="P58" s="182">
        <f t="shared" si="50"/>
        <v>46451</v>
      </c>
      <c r="Q58" s="182">
        <f t="shared" si="50"/>
        <v>46635</v>
      </c>
      <c r="R58" s="182">
        <f t="shared" si="50"/>
        <v>46817</v>
      </c>
      <c r="S58" s="182">
        <f t="shared" si="50"/>
        <v>47001</v>
      </c>
      <c r="T58" s="182">
        <f t="shared" si="50"/>
        <v>47182</v>
      </c>
      <c r="U58" s="182">
        <f t="shared" si="50"/>
        <v>47366</v>
      </c>
      <c r="V58" s="182">
        <f t="shared" si="50"/>
        <v>47547</v>
      </c>
      <c r="W58" s="182">
        <f t="shared" si="50"/>
        <v>47731</v>
      </c>
      <c r="X58" s="182">
        <f t="shared" si="50"/>
        <v>47912</v>
      </c>
      <c r="Y58" s="182">
        <f t="shared" si="50"/>
        <v>48096</v>
      </c>
      <c r="Z58" s="182">
        <f t="shared" si="50"/>
        <v>48278</v>
      </c>
      <c r="AA58" s="182">
        <f t="shared" si="50"/>
        <v>48462</v>
      </c>
      <c r="AB58" s="182">
        <f t="shared" si="50"/>
        <v>48643</v>
      </c>
      <c r="AC58" s="182">
        <f t="shared" si="50"/>
        <v>48827</v>
      </c>
      <c r="AD58" s="182">
        <f t="shared" si="50"/>
        <v>49008</v>
      </c>
      <c r="AE58" s="182">
        <f t="shared" si="55"/>
        <v>49192</v>
      </c>
      <c r="AF58" s="182">
        <f t="shared" si="51"/>
        <v>49373</v>
      </c>
      <c r="AG58" s="182">
        <f t="shared" si="51"/>
        <v>49557</v>
      </c>
      <c r="AH58" s="186">
        <f ca="1">O58-TODAY()</f>
        <v>68</v>
      </c>
      <c r="AI58" s="201">
        <f t="shared" si="57"/>
        <v>24000000</v>
      </c>
      <c r="AJ58" s="162" t="s">
        <v>960</v>
      </c>
    </row>
    <row r="59" spans="1:36" x14ac:dyDescent="0.2">
      <c r="A59" s="171">
        <v>56</v>
      </c>
      <c r="B59" s="162" t="s">
        <v>673</v>
      </c>
      <c r="C59" s="163" t="s">
        <v>156</v>
      </c>
      <c r="D59" s="201">
        <v>4000000</v>
      </c>
      <c r="E59" s="195" t="s">
        <v>696</v>
      </c>
      <c r="F59" s="164" t="s">
        <v>695</v>
      </c>
      <c r="G59" s="164" t="s">
        <v>410</v>
      </c>
      <c r="H59" s="164" t="s">
        <v>694</v>
      </c>
      <c r="I59" s="162" t="s">
        <v>79</v>
      </c>
      <c r="J59" s="167">
        <v>45413</v>
      </c>
      <c r="K59" s="182">
        <f t="shared" si="58"/>
        <v>45597</v>
      </c>
      <c r="L59" s="182">
        <f>EDATE(K59,6)</f>
        <v>45778</v>
      </c>
      <c r="M59" s="182">
        <f>EDATE(L59,6)</f>
        <v>45962</v>
      </c>
      <c r="N59" s="212">
        <f>EDATE(M59,6)</f>
        <v>46143</v>
      </c>
      <c r="O59" s="182">
        <f t="shared" si="50"/>
        <v>46327</v>
      </c>
      <c r="P59" s="182">
        <f t="shared" si="50"/>
        <v>46508</v>
      </c>
      <c r="Q59" s="182">
        <f t="shared" si="50"/>
        <v>46692</v>
      </c>
      <c r="R59" s="182">
        <f t="shared" si="50"/>
        <v>46874</v>
      </c>
      <c r="S59" s="182">
        <f t="shared" si="50"/>
        <v>47058</v>
      </c>
      <c r="T59" s="182">
        <f t="shared" si="50"/>
        <v>47239</v>
      </c>
      <c r="U59" s="182">
        <f t="shared" si="50"/>
        <v>47423</v>
      </c>
      <c r="V59" s="182">
        <f t="shared" si="50"/>
        <v>47604</v>
      </c>
      <c r="W59" s="182">
        <f t="shared" si="50"/>
        <v>47788</v>
      </c>
      <c r="X59" s="182">
        <f t="shared" si="50"/>
        <v>47969</v>
      </c>
      <c r="Y59" s="182">
        <f t="shared" si="50"/>
        <v>48153</v>
      </c>
      <c r="Z59" s="182">
        <f t="shared" si="50"/>
        <v>48335</v>
      </c>
      <c r="AA59" s="182">
        <f t="shared" si="50"/>
        <v>48519</v>
      </c>
      <c r="AB59" s="182">
        <f t="shared" si="50"/>
        <v>48700</v>
      </c>
      <c r="AC59" s="182">
        <f t="shared" si="50"/>
        <v>48884</v>
      </c>
      <c r="AD59" s="182">
        <f t="shared" si="50"/>
        <v>49065</v>
      </c>
      <c r="AE59" s="182">
        <f t="shared" si="55"/>
        <v>49249</v>
      </c>
      <c r="AF59" s="182">
        <f t="shared" si="51"/>
        <v>49430</v>
      </c>
      <c r="AG59" s="182">
        <f t="shared" si="51"/>
        <v>49614</v>
      </c>
      <c r="AH59" s="186">
        <f t="shared" ca="1" si="59"/>
        <v>-59</v>
      </c>
      <c r="AI59" s="201">
        <f t="shared" si="57"/>
        <v>24000000</v>
      </c>
      <c r="AJ59" s="162" t="s">
        <v>967</v>
      </c>
    </row>
    <row r="60" spans="1:36" x14ac:dyDescent="0.2">
      <c r="A60" s="162">
        <v>57</v>
      </c>
      <c r="B60" s="162" t="s">
        <v>674</v>
      </c>
      <c r="C60" s="163" t="s">
        <v>156</v>
      </c>
      <c r="D60" s="201">
        <v>4000000</v>
      </c>
      <c r="E60" s="195" t="s">
        <v>691</v>
      </c>
      <c r="F60" s="164" t="s">
        <v>692</v>
      </c>
      <c r="G60" s="164" t="s">
        <v>693</v>
      </c>
      <c r="H60" s="164" t="s">
        <v>690</v>
      </c>
      <c r="I60" s="162" t="s">
        <v>79</v>
      </c>
      <c r="J60" s="199">
        <v>45413</v>
      </c>
      <c r="K60" s="182">
        <f>EDATE(J60,6)</f>
        <v>45597</v>
      </c>
      <c r="L60" s="182">
        <f>EDATE(K60,6)</f>
        <v>45778</v>
      </c>
      <c r="M60" s="182">
        <f>EDATE(L60,6)</f>
        <v>45962</v>
      </c>
      <c r="N60" s="212">
        <f>EDATE(M60,6)</f>
        <v>46143</v>
      </c>
      <c r="O60" s="182">
        <f t="shared" ref="O60:AA79" si="60">EDATE(N60,6)</f>
        <v>46327</v>
      </c>
      <c r="P60" s="182">
        <f t="shared" si="60"/>
        <v>46508</v>
      </c>
      <c r="Q60" s="182">
        <f t="shared" si="60"/>
        <v>46692</v>
      </c>
      <c r="R60" s="182">
        <f t="shared" si="60"/>
        <v>46874</v>
      </c>
      <c r="S60" s="182">
        <f t="shared" si="60"/>
        <v>47058</v>
      </c>
      <c r="T60" s="182">
        <f t="shared" si="60"/>
        <v>47239</v>
      </c>
      <c r="U60" s="182">
        <f t="shared" si="60"/>
        <v>47423</v>
      </c>
      <c r="V60" s="182">
        <f t="shared" si="60"/>
        <v>47604</v>
      </c>
      <c r="W60" s="182">
        <f t="shared" si="60"/>
        <v>47788</v>
      </c>
      <c r="X60" s="182">
        <f t="shared" si="60"/>
        <v>47969</v>
      </c>
      <c r="Y60" s="182">
        <f t="shared" si="60"/>
        <v>48153</v>
      </c>
      <c r="Z60" s="182">
        <f t="shared" si="60"/>
        <v>48335</v>
      </c>
      <c r="AA60" s="182">
        <f t="shared" si="60"/>
        <v>48519</v>
      </c>
      <c r="AB60" s="182">
        <f t="shared" ref="AB60:AD78" si="61">EDATE(AA60,6)</f>
        <v>48700</v>
      </c>
      <c r="AC60" s="182">
        <f t="shared" si="61"/>
        <v>48884</v>
      </c>
      <c r="AD60" s="182">
        <f t="shared" si="61"/>
        <v>49065</v>
      </c>
      <c r="AE60" s="182">
        <f t="shared" si="55"/>
        <v>49249</v>
      </c>
      <c r="AF60" s="182">
        <f t="shared" si="51"/>
        <v>49430</v>
      </c>
      <c r="AG60" s="182">
        <f t="shared" si="51"/>
        <v>49614</v>
      </c>
      <c r="AH60" s="186">
        <f t="shared" ca="1" si="59"/>
        <v>-59</v>
      </c>
      <c r="AI60" s="201">
        <f t="shared" si="57"/>
        <v>24000000</v>
      </c>
      <c r="AJ60" s="162" t="s">
        <v>967</v>
      </c>
    </row>
    <row r="61" spans="1:36" x14ac:dyDescent="0.2">
      <c r="A61" s="171">
        <v>58</v>
      </c>
      <c r="B61" s="162" t="s">
        <v>740</v>
      </c>
      <c r="C61" s="163" t="s">
        <v>32</v>
      </c>
      <c r="D61" s="164">
        <v>4000000</v>
      </c>
      <c r="E61" s="164" t="s">
        <v>697</v>
      </c>
      <c r="F61" s="164" t="s">
        <v>698</v>
      </c>
      <c r="G61" s="164" t="s">
        <v>699</v>
      </c>
      <c r="H61" s="164" t="s">
        <v>700</v>
      </c>
      <c r="I61" s="167" t="s">
        <v>79</v>
      </c>
      <c r="J61" s="167">
        <v>45404</v>
      </c>
      <c r="K61" s="182">
        <f>EDATE(J61,6)</f>
        <v>45587</v>
      </c>
      <c r="L61" s="217">
        <f t="shared" si="58"/>
        <v>45769</v>
      </c>
      <c r="M61" s="212">
        <f t="shared" si="58"/>
        <v>45952</v>
      </c>
      <c r="N61" s="182">
        <f t="shared" si="58"/>
        <v>46134</v>
      </c>
      <c r="O61" s="182">
        <f t="shared" si="60"/>
        <v>46317</v>
      </c>
      <c r="P61" s="182">
        <f t="shared" si="60"/>
        <v>46499</v>
      </c>
      <c r="Q61" s="182">
        <f t="shared" si="60"/>
        <v>46682</v>
      </c>
      <c r="R61" s="182">
        <f t="shared" si="60"/>
        <v>46865</v>
      </c>
      <c r="S61" s="182">
        <f t="shared" si="60"/>
        <v>47048</v>
      </c>
      <c r="T61" s="182">
        <f t="shared" si="60"/>
        <v>47230</v>
      </c>
      <c r="U61" s="182">
        <f t="shared" si="60"/>
        <v>47413</v>
      </c>
      <c r="V61" s="182">
        <f t="shared" si="60"/>
        <v>47595</v>
      </c>
      <c r="W61" s="182">
        <f t="shared" si="60"/>
        <v>47778</v>
      </c>
      <c r="X61" s="182">
        <f t="shared" si="60"/>
        <v>47960</v>
      </c>
      <c r="Y61" s="182">
        <f t="shared" si="60"/>
        <v>48143</v>
      </c>
      <c r="Z61" s="182">
        <f t="shared" si="60"/>
        <v>48326</v>
      </c>
      <c r="AA61" s="182">
        <f t="shared" si="60"/>
        <v>48509</v>
      </c>
      <c r="AB61" s="182">
        <f t="shared" si="61"/>
        <v>48691</v>
      </c>
      <c r="AC61" s="182">
        <f t="shared" si="61"/>
        <v>48874</v>
      </c>
      <c r="AD61" s="182">
        <f t="shared" si="61"/>
        <v>49056</v>
      </c>
      <c r="AE61" s="182">
        <f t="shared" si="55"/>
        <v>49239</v>
      </c>
      <c r="AF61" s="182">
        <f t="shared" si="51"/>
        <v>49421</v>
      </c>
      <c r="AG61" s="182">
        <f t="shared" si="51"/>
        <v>49604</v>
      </c>
      <c r="AH61" s="186">
        <f t="shared" ca="1" si="59"/>
        <v>-68</v>
      </c>
      <c r="AI61" s="201">
        <f>D61*6</f>
        <v>24000000</v>
      </c>
      <c r="AJ61" s="162" t="s">
        <v>967</v>
      </c>
    </row>
    <row r="62" spans="1:36" x14ac:dyDescent="0.2">
      <c r="A62" s="162">
        <v>59</v>
      </c>
      <c r="B62" s="162" t="s">
        <v>732</v>
      </c>
      <c r="C62" s="163" t="s">
        <v>290</v>
      </c>
      <c r="D62" s="164">
        <v>4000000</v>
      </c>
      <c r="E62" s="164" t="s">
        <v>735</v>
      </c>
      <c r="F62" s="164" t="s">
        <v>734</v>
      </c>
      <c r="G62" s="164" t="s">
        <v>968</v>
      </c>
      <c r="H62" s="164" t="s">
        <v>738</v>
      </c>
      <c r="I62" s="218" t="s">
        <v>79</v>
      </c>
      <c r="J62" s="167">
        <v>45449</v>
      </c>
      <c r="K62" s="182">
        <f>EDATE(J62,6)</f>
        <v>45632</v>
      </c>
      <c r="L62" s="182">
        <f t="shared" si="58"/>
        <v>45814</v>
      </c>
      <c r="M62" s="182">
        <f t="shared" si="58"/>
        <v>45997</v>
      </c>
      <c r="N62" s="212">
        <f t="shared" si="58"/>
        <v>46179</v>
      </c>
      <c r="O62" s="182">
        <f t="shared" si="60"/>
        <v>46362</v>
      </c>
      <c r="P62" s="182">
        <f t="shared" si="60"/>
        <v>46544</v>
      </c>
      <c r="Q62" s="182">
        <f t="shared" si="60"/>
        <v>46727</v>
      </c>
      <c r="R62" s="182">
        <f t="shared" si="60"/>
        <v>46910</v>
      </c>
      <c r="S62" s="182">
        <f t="shared" si="60"/>
        <v>47093</v>
      </c>
      <c r="T62" s="182">
        <f t="shared" si="60"/>
        <v>47275</v>
      </c>
      <c r="U62" s="182">
        <f t="shared" si="60"/>
        <v>47458</v>
      </c>
      <c r="V62" s="182">
        <f t="shared" si="60"/>
        <v>47640</v>
      </c>
      <c r="W62" s="182">
        <f t="shared" si="60"/>
        <v>47823</v>
      </c>
      <c r="X62" s="182">
        <f t="shared" si="60"/>
        <v>48005</v>
      </c>
      <c r="Y62" s="182">
        <f t="shared" si="60"/>
        <v>48188</v>
      </c>
      <c r="Z62" s="182">
        <f t="shared" si="60"/>
        <v>48371</v>
      </c>
      <c r="AA62" s="182">
        <f t="shared" si="60"/>
        <v>48554</v>
      </c>
      <c r="AB62" s="182">
        <f t="shared" si="61"/>
        <v>48736</v>
      </c>
      <c r="AC62" s="182">
        <f t="shared" si="61"/>
        <v>48919</v>
      </c>
      <c r="AD62" s="182">
        <f t="shared" si="61"/>
        <v>49101</v>
      </c>
      <c r="AE62" s="182">
        <f t="shared" si="55"/>
        <v>49284</v>
      </c>
      <c r="AF62" s="182">
        <f t="shared" si="51"/>
        <v>49466</v>
      </c>
      <c r="AG62" s="182">
        <f t="shared" si="51"/>
        <v>49649</v>
      </c>
      <c r="AH62" s="186">
        <f t="shared" ca="1" si="59"/>
        <v>-23</v>
      </c>
      <c r="AI62" s="201">
        <f t="shared" ref="AI62:AI85" si="62">D62*6</f>
        <v>24000000</v>
      </c>
      <c r="AJ62" s="162" t="s">
        <v>967</v>
      </c>
    </row>
    <row r="63" spans="1:36" x14ac:dyDescent="0.2">
      <c r="A63" s="171">
        <v>60</v>
      </c>
      <c r="B63" s="219" t="s">
        <v>725</v>
      </c>
      <c r="C63" s="163" t="s">
        <v>15</v>
      </c>
      <c r="D63" s="164">
        <v>5000000</v>
      </c>
      <c r="E63" s="164" t="s">
        <v>727</v>
      </c>
      <c r="F63" s="164" t="s">
        <v>728</v>
      </c>
      <c r="G63" s="164" t="s">
        <v>395</v>
      </c>
      <c r="H63" s="164" t="s">
        <v>729</v>
      </c>
      <c r="I63" s="200" t="s">
        <v>79</v>
      </c>
      <c r="J63" s="167">
        <v>45458</v>
      </c>
      <c r="K63" s="182">
        <f>EDATE(J63,6)</f>
        <v>45641</v>
      </c>
      <c r="L63" s="182">
        <f t="shared" si="58"/>
        <v>45823</v>
      </c>
      <c r="M63" s="182">
        <f t="shared" si="58"/>
        <v>46006</v>
      </c>
      <c r="N63" s="212">
        <f t="shared" si="58"/>
        <v>46188</v>
      </c>
      <c r="O63" s="182">
        <f t="shared" si="60"/>
        <v>46371</v>
      </c>
      <c r="P63" s="182">
        <f t="shared" si="60"/>
        <v>46553</v>
      </c>
      <c r="Q63" s="182">
        <f t="shared" si="60"/>
        <v>46736</v>
      </c>
      <c r="R63" s="182">
        <f t="shared" si="60"/>
        <v>46919</v>
      </c>
      <c r="S63" s="182">
        <f t="shared" si="60"/>
        <v>47102</v>
      </c>
      <c r="T63" s="182">
        <f t="shared" si="60"/>
        <v>47284</v>
      </c>
      <c r="U63" s="182">
        <f t="shared" si="60"/>
        <v>47467</v>
      </c>
      <c r="V63" s="182">
        <f t="shared" si="60"/>
        <v>47649</v>
      </c>
      <c r="W63" s="182">
        <f t="shared" si="60"/>
        <v>47832</v>
      </c>
      <c r="X63" s="182">
        <f t="shared" si="60"/>
        <v>48014</v>
      </c>
      <c r="Y63" s="182">
        <f t="shared" si="60"/>
        <v>48197</v>
      </c>
      <c r="Z63" s="182">
        <f t="shared" si="60"/>
        <v>48380</v>
      </c>
      <c r="AA63" s="182">
        <f t="shared" si="60"/>
        <v>48563</v>
      </c>
      <c r="AB63" s="182">
        <f t="shared" si="61"/>
        <v>48745</v>
      </c>
      <c r="AC63" s="182">
        <f t="shared" si="61"/>
        <v>48928</v>
      </c>
      <c r="AD63" s="182">
        <f t="shared" si="61"/>
        <v>49110</v>
      </c>
      <c r="AE63" s="182">
        <f t="shared" si="55"/>
        <v>49293</v>
      </c>
      <c r="AF63" s="182">
        <f t="shared" si="51"/>
        <v>49475</v>
      </c>
      <c r="AG63" s="182">
        <f t="shared" si="51"/>
        <v>49658</v>
      </c>
      <c r="AH63" s="186">
        <f t="shared" ca="1" si="59"/>
        <v>-14</v>
      </c>
      <c r="AI63" s="201">
        <f t="shared" si="62"/>
        <v>30000000</v>
      </c>
      <c r="AJ63" s="162" t="s">
        <v>967</v>
      </c>
    </row>
    <row r="64" spans="1:36" x14ac:dyDescent="0.2">
      <c r="A64" s="162">
        <v>61</v>
      </c>
      <c r="B64" s="162" t="s">
        <v>704</v>
      </c>
      <c r="C64" s="163" t="s">
        <v>290</v>
      </c>
      <c r="D64" s="164">
        <v>5500000</v>
      </c>
      <c r="E64" s="164" t="s">
        <v>723</v>
      </c>
      <c r="F64" s="164" t="s">
        <v>722</v>
      </c>
      <c r="G64" s="164" t="s">
        <v>153</v>
      </c>
      <c r="H64" s="164" t="s">
        <v>706</v>
      </c>
      <c r="I64" s="200" t="s">
        <v>79</v>
      </c>
      <c r="J64" s="167">
        <v>45453</v>
      </c>
      <c r="K64" s="182">
        <f t="shared" ref="K64:L79" si="63">EDATE(J64,6)</f>
        <v>45636</v>
      </c>
      <c r="L64" s="182">
        <f t="shared" si="58"/>
        <v>45818</v>
      </c>
      <c r="M64" s="182">
        <f t="shared" si="58"/>
        <v>46001</v>
      </c>
      <c r="N64" s="212">
        <f t="shared" si="58"/>
        <v>46183</v>
      </c>
      <c r="O64" s="182">
        <f t="shared" si="60"/>
        <v>46366</v>
      </c>
      <c r="P64" s="182">
        <f t="shared" si="60"/>
        <v>46548</v>
      </c>
      <c r="Q64" s="182">
        <f t="shared" si="60"/>
        <v>46731</v>
      </c>
      <c r="R64" s="182">
        <f t="shared" si="60"/>
        <v>46914</v>
      </c>
      <c r="S64" s="182">
        <f t="shared" si="60"/>
        <v>47097</v>
      </c>
      <c r="T64" s="182">
        <f t="shared" si="60"/>
        <v>47279</v>
      </c>
      <c r="U64" s="182">
        <f t="shared" si="60"/>
        <v>47462</v>
      </c>
      <c r="V64" s="182">
        <f t="shared" si="60"/>
        <v>47644</v>
      </c>
      <c r="W64" s="182">
        <f t="shared" si="60"/>
        <v>47827</v>
      </c>
      <c r="X64" s="182">
        <f t="shared" si="60"/>
        <v>48009</v>
      </c>
      <c r="Y64" s="182">
        <f t="shared" si="60"/>
        <v>48192</v>
      </c>
      <c r="Z64" s="182">
        <f t="shared" si="60"/>
        <v>48375</v>
      </c>
      <c r="AA64" s="182">
        <f t="shared" si="60"/>
        <v>48558</v>
      </c>
      <c r="AB64" s="182">
        <f t="shared" si="61"/>
        <v>48740</v>
      </c>
      <c r="AC64" s="182">
        <f t="shared" si="61"/>
        <v>48923</v>
      </c>
      <c r="AD64" s="182">
        <f t="shared" si="61"/>
        <v>49105</v>
      </c>
      <c r="AE64" s="182">
        <f t="shared" si="55"/>
        <v>49288</v>
      </c>
      <c r="AF64" s="182">
        <f t="shared" si="51"/>
        <v>49470</v>
      </c>
      <c r="AG64" s="182">
        <f t="shared" si="51"/>
        <v>49653</v>
      </c>
      <c r="AH64" s="186">
        <f t="shared" ca="1" si="59"/>
        <v>-19</v>
      </c>
      <c r="AI64" s="201">
        <f>D64*6</f>
        <v>33000000</v>
      </c>
      <c r="AJ64" s="162" t="s">
        <v>967</v>
      </c>
    </row>
    <row r="65" spans="1:36" x14ac:dyDescent="0.2">
      <c r="A65" s="171">
        <v>62</v>
      </c>
      <c r="B65" s="163" t="s">
        <v>707</v>
      </c>
      <c r="C65" s="163" t="s">
        <v>290</v>
      </c>
      <c r="D65" s="164">
        <v>7000000</v>
      </c>
      <c r="E65" s="164" t="s">
        <v>719</v>
      </c>
      <c r="F65" s="164" t="s">
        <v>718</v>
      </c>
      <c r="G65" s="164" t="s">
        <v>410</v>
      </c>
      <c r="H65" s="164" t="s">
        <v>709</v>
      </c>
      <c r="I65" s="191" t="s">
        <v>79</v>
      </c>
      <c r="J65" s="167">
        <v>45463</v>
      </c>
      <c r="K65" s="182">
        <f t="shared" si="63"/>
        <v>45646</v>
      </c>
      <c r="L65" s="182">
        <f t="shared" si="58"/>
        <v>45828</v>
      </c>
      <c r="M65" s="182">
        <f t="shared" si="58"/>
        <v>46011</v>
      </c>
      <c r="N65" s="212">
        <f t="shared" si="58"/>
        <v>46193</v>
      </c>
      <c r="O65" s="182">
        <f t="shared" si="60"/>
        <v>46376</v>
      </c>
      <c r="P65" s="182">
        <f t="shared" si="60"/>
        <v>46558</v>
      </c>
      <c r="Q65" s="182">
        <f t="shared" si="60"/>
        <v>46741</v>
      </c>
      <c r="R65" s="182">
        <f t="shared" si="60"/>
        <v>46924</v>
      </c>
      <c r="S65" s="182">
        <f t="shared" si="60"/>
        <v>47107</v>
      </c>
      <c r="T65" s="182">
        <f t="shared" si="60"/>
        <v>47289</v>
      </c>
      <c r="U65" s="182">
        <f t="shared" si="60"/>
        <v>47472</v>
      </c>
      <c r="V65" s="182">
        <f t="shared" si="60"/>
        <v>47654</v>
      </c>
      <c r="W65" s="182">
        <f t="shared" si="60"/>
        <v>47837</v>
      </c>
      <c r="X65" s="182">
        <f t="shared" si="60"/>
        <v>48019</v>
      </c>
      <c r="Y65" s="182">
        <f t="shared" si="60"/>
        <v>48202</v>
      </c>
      <c r="Z65" s="182">
        <f t="shared" si="60"/>
        <v>48385</v>
      </c>
      <c r="AA65" s="182">
        <f t="shared" si="60"/>
        <v>48568</v>
      </c>
      <c r="AB65" s="182">
        <f t="shared" si="61"/>
        <v>48750</v>
      </c>
      <c r="AC65" s="182">
        <f t="shared" si="61"/>
        <v>48933</v>
      </c>
      <c r="AD65" s="182">
        <f t="shared" si="61"/>
        <v>49115</v>
      </c>
      <c r="AE65" s="182">
        <f t="shared" si="55"/>
        <v>49298</v>
      </c>
      <c r="AF65" s="182">
        <f t="shared" si="51"/>
        <v>49480</v>
      </c>
      <c r="AG65" s="182">
        <f t="shared" si="51"/>
        <v>49663</v>
      </c>
      <c r="AH65" s="186">
        <f t="shared" ca="1" si="59"/>
        <v>-9</v>
      </c>
      <c r="AI65" s="201">
        <f t="shared" si="62"/>
        <v>42000000</v>
      </c>
      <c r="AJ65" s="162" t="s">
        <v>967</v>
      </c>
    </row>
    <row r="66" spans="1:36" x14ac:dyDescent="0.2">
      <c r="A66" s="162">
        <v>63</v>
      </c>
      <c r="B66" s="162" t="s">
        <v>710</v>
      </c>
      <c r="C66" s="163" t="s">
        <v>32</v>
      </c>
      <c r="D66" s="164">
        <v>7500000</v>
      </c>
      <c r="E66" s="164" t="s">
        <v>731</v>
      </c>
      <c r="F66" s="164" t="s">
        <v>730</v>
      </c>
      <c r="G66" s="164" t="s">
        <v>969</v>
      </c>
      <c r="H66" s="164" t="s">
        <v>712</v>
      </c>
      <c r="I66" s="200" t="s">
        <v>79</v>
      </c>
      <c r="J66" s="167">
        <v>45483</v>
      </c>
      <c r="K66" s="182">
        <f t="shared" si="63"/>
        <v>45667</v>
      </c>
      <c r="L66" s="182">
        <f>EDATE(K66,6)</f>
        <v>45848</v>
      </c>
      <c r="M66" s="182">
        <f>EDATE(L66,6)</f>
        <v>46032</v>
      </c>
      <c r="N66" s="212">
        <f>EDATE(M66,6)</f>
        <v>46213</v>
      </c>
      <c r="O66" s="182">
        <f t="shared" si="60"/>
        <v>46397</v>
      </c>
      <c r="P66" s="182">
        <f t="shared" si="60"/>
        <v>46578</v>
      </c>
      <c r="Q66" s="182">
        <f t="shared" si="60"/>
        <v>46762</v>
      </c>
      <c r="R66" s="182">
        <f t="shared" si="60"/>
        <v>46944</v>
      </c>
      <c r="S66" s="182">
        <f t="shared" si="60"/>
        <v>47128</v>
      </c>
      <c r="T66" s="182">
        <f t="shared" si="60"/>
        <v>47309</v>
      </c>
      <c r="U66" s="182">
        <f t="shared" si="60"/>
        <v>47493</v>
      </c>
      <c r="V66" s="182">
        <f t="shared" si="60"/>
        <v>47674</v>
      </c>
      <c r="W66" s="182">
        <f t="shared" si="60"/>
        <v>47858</v>
      </c>
      <c r="X66" s="182">
        <f t="shared" si="60"/>
        <v>48039</v>
      </c>
      <c r="Y66" s="182">
        <f t="shared" si="60"/>
        <v>48223</v>
      </c>
      <c r="Z66" s="182">
        <f t="shared" si="60"/>
        <v>48405</v>
      </c>
      <c r="AA66" s="182">
        <f t="shared" si="60"/>
        <v>48589</v>
      </c>
      <c r="AB66" s="182">
        <f t="shared" si="61"/>
        <v>48770</v>
      </c>
      <c r="AC66" s="182">
        <f t="shared" si="61"/>
        <v>48954</v>
      </c>
      <c r="AD66" s="182">
        <f t="shared" si="61"/>
        <v>49135</v>
      </c>
      <c r="AE66" s="182">
        <f t="shared" si="55"/>
        <v>49319</v>
      </c>
      <c r="AF66" s="182">
        <f t="shared" si="51"/>
        <v>49500</v>
      </c>
      <c r="AG66" s="182">
        <f t="shared" si="51"/>
        <v>49684</v>
      </c>
      <c r="AH66" s="186">
        <f t="shared" ca="1" si="59"/>
        <v>11</v>
      </c>
      <c r="AI66" s="201">
        <f>D66*6</f>
        <v>45000000</v>
      </c>
      <c r="AJ66" s="171" t="s">
        <v>967</v>
      </c>
    </row>
    <row r="67" spans="1:36" x14ac:dyDescent="0.2">
      <c r="A67" s="171">
        <v>64</v>
      </c>
      <c r="B67" s="162" t="s">
        <v>713</v>
      </c>
      <c r="C67" s="163" t="s">
        <v>229</v>
      </c>
      <c r="D67" s="164">
        <v>5000000</v>
      </c>
      <c r="E67" s="164" t="s">
        <v>716</v>
      </c>
      <c r="F67" s="164" t="s">
        <v>717</v>
      </c>
      <c r="G67" s="164" t="s">
        <v>170</v>
      </c>
      <c r="H67" s="164" t="s">
        <v>715</v>
      </c>
      <c r="I67" s="167" t="s">
        <v>79</v>
      </c>
      <c r="J67" s="167">
        <v>45491</v>
      </c>
      <c r="K67" s="182">
        <f t="shared" si="63"/>
        <v>45675</v>
      </c>
      <c r="L67" s="182">
        <f>EDATE(K67,6)</f>
        <v>45856</v>
      </c>
      <c r="M67" s="212">
        <f t="shared" si="58"/>
        <v>46040</v>
      </c>
      <c r="N67" s="182">
        <f t="shared" si="58"/>
        <v>46221</v>
      </c>
      <c r="O67" s="182">
        <f t="shared" si="60"/>
        <v>46405</v>
      </c>
      <c r="P67" s="182">
        <f t="shared" si="60"/>
        <v>46586</v>
      </c>
      <c r="Q67" s="182">
        <f t="shared" si="60"/>
        <v>46770</v>
      </c>
      <c r="R67" s="182">
        <f t="shared" si="60"/>
        <v>46952</v>
      </c>
      <c r="S67" s="182">
        <f t="shared" si="60"/>
        <v>47136</v>
      </c>
      <c r="T67" s="182">
        <f t="shared" si="60"/>
        <v>47317</v>
      </c>
      <c r="U67" s="182">
        <f t="shared" si="60"/>
        <v>47501</v>
      </c>
      <c r="V67" s="182">
        <f t="shared" si="60"/>
        <v>47682</v>
      </c>
      <c r="W67" s="182">
        <f t="shared" si="60"/>
        <v>47866</v>
      </c>
      <c r="X67" s="182">
        <f t="shared" si="60"/>
        <v>48047</v>
      </c>
      <c r="Y67" s="182">
        <f t="shared" si="60"/>
        <v>48231</v>
      </c>
      <c r="Z67" s="182">
        <f t="shared" si="60"/>
        <v>48413</v>
      </c>
      <c r="AA67" s="182">
        <f t="shared" si="60"/>
        <v>48597</v>
      </c>
      <c r="AB67" s="182">
        <f t="shared" si="61"/>
        <v>48778</v>
      </c>
      <c r="AC67" s="182">
        <f t="shared" si="61"/>
        <v>48962</v>
      </c>
      <c r="AD67" s="182">
        <f t="shared" si="61"/>
        <v>49143</v>
      </c>
      <c r="AE67" s="182">
        <f t="shared" si="55"/>
        <v>49327</v>
      </c>
      <c r="AF67" s="182">
        <f t="shared" si="51"/>
        <v>49508</v>
      </c>
      <c r="AG67" s="182">
        <f t="shared" si="51"/>
        <v>49692</v>
      </c>
      <c r="AH67" s="186">
        <f t="shared" ca="1" si="59"/>
        <v>19</v>
      </c>
      <c r="AI67" s="201">
        <f t="shared" si="62"/>
        <v>30000000</v>
      </c>
      <c r="AJ67" s="162" t="s">
        <v>967</v>
      </c>
    </row>
    <row r="68" spans="1:36" x14ac:dyDescent="0.2">
      <c r="A68" s="162">
        <v>65</v>
      </c>
      <c r="B68" s="219" t="s">
        <v>744</v>
      </c>
      <c r="C68" s="163" t="s">
        <v>15</v>
      </c>
      <c r="D68" s="164">
        <v>5500000</v>
      </c>
      <c r="E68" s="164" t="s">
        <v>759</v>
      </c>
      <c r="F68" s="164" t="s">
        <v>758</v>
      </c>
      <c r="G68" s="164" t="s">
        <v>760</v>
      </c>
      <c r="H68" s="164" t="s">
        <v>747</v>
      </c>
      <c r="I68" s="200" t="s">
        <v>79</v>
      </c>
      <c r="J68" s="167">
        <v>45545</v>
      </c>
      <c r="K68" s="182">
        <f t="shared" si="63"/>
        <v>45726</v>
      </c>
      <c r="L68" s="182">
        <f t="shared" si="63"/>
        <v>45910</v>
      </c>
      <c r="M68" s="182">
        <f t="shared" si="58"/>
        <v>46091</v>
      </c>
      <c r="N68" s="212">
        <f t="shared" si="58"/>
        <v>46275</v>
      </c>
      <c r="O68" s="182">
        <f t="shared" si="60"/>
        <v>46456</v>
      </c>
      <c r="P68" s="182">
        <f t="shared" si="60"/>
        <v>46640</v>
      </c>
      <c r="Q68" s="182">
        <f t="shared" si="60"/>
        <v>46822</v>
      </c>
      <c r="R68" s="182">
        <f t="shared" si="60"/>
        <v>47006</v>
      </c>
      <c r="S68" s="182">
        <f t="shared" si="60"/>
        <v>47187</v>
      </c>
      <c r="T68" s="182">
        <f t="shared" si="60"/>
        <v>47371</v>
      </c>
      <c r="U68" s="182">
        <f t="shared" si="60"/>
        <v>47552</v>
      </c>
      <c r="V68" s="182">
        <f t="shared" si="60"/>
        <v>47736</v>
      </c>
      <c r="W68" s="182">
        <f t="shared" si="60"/>
        <v>47917</v>
      </c>
      <c r="X68" s="182">
        <f t="shared" si="60"/>
        <v>48101</v>
      </c>
      <c r="Y68" s="182">
        <f t="shared" si="60"/>
        <v>48283</v>
      </c>
      <c r="Z68" s="182">
        <f t="shared" si="60"/>
        <v>48467</v>
      </c>
      <c r="AA68" s="182">
        <f t="shared" si="60"/>
        <v>48648</v>
      </c>
      <c r="AB68" s="182">
        <f t="shared" si="61"/>
        <v>48832</v>
      </c>
      <c r="AC68" s="182">
        <f t="shared" si="61"/>
        <v>49013</v>
      </c>
      <c r="AD68" s="182">
        <f t="shared" si="61"/>
        <v>49197</v>
      </c>
      <c r="AE68" s="182">
        <f t="shared" si="55"/>
        <v>49378</v>
      </c>
      <c r="AF68" s="182">
        <f t="shared" si="51"/>
        <v>49562</v>
      </c>
      <c r="AG68" s="182">
        <f t="shared" si="51"/>
        <v>49744</v>
      </c>
      <c r="AH68" s="186">
        <f ca="1">N68-TODAY()</f>
        <v>73</v>
      </c>
      <c r="AI68" s="201">
        <f t="shared" si="62"/>
        <v>33000000</v>
      </c>
      <c r="AJ68" s="162" t="s">
        <v>967</v>
      </c>
    </row>
    <row r="69" spans="1:36" x14ac:dyDescent="0.2">
      <c r="A69" s="171">
        <v>66</v>
      </c>
      <c r="B69" s="219" t="s">
        <v>745</v>
      </c>
      <c r="C69" s="163" t="s">
        <v>229</v>
      </c>
      <c r="D69" s="164">
        <v>5000000</v>
      </c>
      <c r="E69" s="164" t="s">
        <v>771</v>
      </c>
      <c r="F69" s="164" t="s">
        <v>772</v>
      </c>
      <c r="G69" s="164" t="s">
        <v>773</v>
      </c>
      <c r="H69" s="164" t="s">
        <v>749</v>
      </c>
      <c r="I69" s="200" t="s">
        <v>79</v>
      </c>
      <c r="J69" s="167">
        <v>45545</v>
      </c>
      <c r="K69" s="182">
        <f t="shared" si="63"/>
        <v>45726</v>
      </c>
      <c r="L69" s="182">
        <f>EDATE(K69,6)</f>
        <v>45910</v>
      </c>
      <c r="M69" s="182">
        <f t="shared" ref="M69:V84" si="64">EDATE(L69,6)</f>
        <v>46091</v>
      </c>
      <c r="N69" s="212">
        <f t="shared" si="64"/>
        <v>46275</v>
      </c>
      <c r="O69" s="182">
        <f t="shared" si="60"/>
        <v>46456</v>
      </c>
      <c r="P69" s="182">
        <f t="shared" si="60"/>
        <v>46640</v>
      </c>
      <c r="Q69" s="182">
        <f t="shared" si="60"/>
        <v>46822</v>
      </c>
      <c r="R69" s="182">
        <f t="shared" si="60"/>
        <v>47006</v>
      </c>
      <c r="S69" s="182">
        <f t="shared" si="60"/>
        <v>47187</v>
      </c>
      <c r="T69" s="182">
        <f t="shared" si="60"/>
        <v>47371</v>
      </c>
      <c r="U69" s="182">
        <f t="shared" si="60"/>
        <v>47552</v>
      </c>
      <c r="V69" s="182">
        <f t="shared" si="60"/>
        <v>47736</v>
      </c>
      <c r="W69" s="182">
        <f t="shared" si="60"/>
        <v>47917</v>
      </c>
      <c r="X69" s="182">
        <f t="shared" si="60"/>
        <v>48101</v>
      </c>
      <c r="Y69" s="182">
        <f t="shared" si="60"/>
        <v>48283</v>
      </c>
      <c r="Z69" s="182">
        <f t="shared" si="60"/>
        <v>48467</v>
      </c>
      <c r="AA69" s="182">
        <f t="shared" si="60"/>
        <v>48648</v>
      </c>
      <c r="AB69" s="182">
        <f t="shared" si="61"/>
        <v>48832</v>
      </c>
      <c r="AC69" s="182">
        <f t="shared" si="61"/>
        <v>49013</v>
      </c>
      <c r="AD69" s="182">
        <f t="shared" si="61"/>
        <v>49197</v>
      </c>
      <c r="AE69" s="182">
        <f t="shared" si="55"/>
        <v>49378</v>
      </c>
      <c r="AF69" s="182">
        <f t="shared" si="51"/>
        <v>49562</v>
      </c>
      <c r="AG69" s="182">
        <f t="shared" si="51"/>
        <v>49744</v>
      </c>
      <c r="AH69" s="186">
        <f ca="1">N69-TODAY()</f>
        <v>73</v>
      </c>
      <c r="AI69" s="201">
        <f t="shared" si="62"/>
        <v>30000000</v>
      </c>
      <c r="AJ69" s="162" t="s">
        <v>967</v>
      </c>
    </row>
    <row r="70" spans="1:36" x14ac:dyDescent="0.2">
      <c r="A70" s="162">
        <v>67</v>
      </c>
      <c r="B70" s="162" t="s">
        <v>742</v>
      </c>
      <c r="C70" s="163" t="s">
        <v>15</v>
      </c>
      <c r="D70" s="164">
        <v>5000000</v>
      </c>
      <c r="E70" s="164" t="s">
        <v>756</v>
      </c>
      <c r="F70" s="164" t="s">
        <v>757</v>
      </c>
      <c r="G70" s="164" t="s">
        <v>703</v>
      </c>
      <c r="H70" s="164" t="s">
        <v>754</v>
      </c>
      <c r="I70" s="197" t="s">
        <v>79</v>
      </c>
      <c r="J70" s="167">
        <v>45583</v>
      </c>
      <c r="K70" s="182">
        <f t="shared" si="63"/>
        <v>45765</v>
      </c>
      <c r="L70" s="182">
        <f t="shared" si="63"/>
        <v>45948</v>
      </c>
      <c r="M70" s="182">
        <f t="shared" si="64"/>
        <v>46130</v>
      </c>
      <c r="N70" s="182">
        <f t="shared" si="64"/>
        <v>46313</v>
      </c>
      <c r="O70" s="182">
        <f t="shared" si="60"/>
        <v>46495</v>
      </c>
      <c r="P70" s="182">
        <f t="shared" si="60"/>
        <v>46678</v>
      </c>
      <c r="Q70" s="182">
        <f t="shared" si="60"/>
        <v>46861</v>
      </c>
      <c r="R70" s="182">
        <f t="shared" si="60"/>
        <v>47044</v>
      </c>
      <c r="S70" s="182">
        <f t="shared" si="60"/>
        <v>47226</v>
      </c>
      <c r="T70" s="182">
        <f t="shared" si="60"/>
        <v>47409</v>
      </c>
      <c r="U70" s="182">
        <f t="shared" si="60"/>
        <v>47591</v>
      </c>
      <c r="V70" s="182">
        <f t="shared" si="60"/>
        <v>47774</v>
      </c>
      <c r="W70" s="182">
        <f t="shared" si="60"/>
        <v>47956</v>
      </c>
      <c r="X70" s="182">
        <f t="shared" si="60"/>
        <v>48139</v>
      </c>
      <c r="Y70" s="182">
        <f t="shared" si="60"/>
        <v>48322</v>
      </c>
      <c r="Z70" s="182">
        <f t="shared" si="60"/>
        <v>48505</v>
      </c>
      <c r="AA70" s="182">
        <f t="shared" si="60"/>
        <v>48687</v>
      </c>
      <c r="AB70" s="182">
        <f t="shared" si="61"/>
        <v>48870</v>
      </c>
      <c r="AC70" s="182">
        <f t="shared" si="61"/>
        <v>49052</v>
      </c>
      <c r="AD70" s="182">
        <f t="shared" si="61"/>
        <v>49235</v>
      </c>
      <c r="AE70" s="182">
        <f t="shared" si="55"/>
        <v>49417</v>
      </c>
      <c r="AF70" s="182">
        <f t="shared" si="51"/>
        <v>49600</v>
      </c>
      <c r="AG70" s="182">
        <f t="shared" si="51"/>
        <v>49783</v>
      </c>
      <c r="AH70" s="186">
        <f t="shared" ref="AH70:AH73" ca="1" si="65">M70-TODAY()</f>
        <v>-72</v>
      </c>
      <c r="AI70" s="201">
        <f t="shared" si="62"/>
        <v>30000000</v>
      </c>
      <c r="AJ70" s="162" t="s">
        <v>966</v>
      </c>
    </row>
    <row r="71" spans="1:36" x14ac:dyDescent="0.2">
      <c r="A71" s="171">
        <v>68</v>
      </c>
      <c r="B71" s="162" t="s">
        <v>743</v>
      </c>
      <c r="C71" s="163" t="s">
        <v>117</v>
      </c>
      <c r="D71" s="164">
        <v>4500000</v>
      </c>
      <c r="E71" s="164" t="s">
        <v>752</v>
      </c>
      <c r="F71" s="164" t="s">
        <v>751</v>
      </c>
      <c r="G71" s="164" t="s">
        <v>703</v>
      </c>
      <c r="H71" s="164" t="s">
        <v>753</v>
      </c>
      <c r="I71" s="167" t="s">
        <v>79</v>
      </c>
      <c r="J71" s="167">
        <v>45530</v>
      </c>
      <c r="K71" s="182">
        <f t="shared" si="63"/>
        <v>45714</v>
      </c>
      <c r="L71" s="182">
        <f t="shared" si="63"/>
        <v>45895</v>
      </c>
      <c r="M71" s="182">
        <f t="shared" si="64"/>
        <v>46079</v>
      </c>
      <c r="N71" s="212">
        <f t="shared" si="64"/>
        <v>46260</v>
      </c>
      <c r="O71" s="182">
        <f t="shared" si="60"/>
        <v>46444</v>
      </c>
      <c r="P71" s="182">
        <f t="shared" si="60"/>
        <v>46625</v>
      </c>
      <c r="Q71" s="182">
        <f t="shared" si="60"/>
        <v>46809</v>
      </c>
      <c r="R71" s="182">
        <f t="shared" si="60"/>
        <v>46991</v>
      </c>
      <c r="S71" s="182">
        <f t="shared" si="60"/>
        <v>47175</v>
      </c>
      <c r="T71" s="182">
        <f t="shared" si="60"/>
        <v>47356</v>
      </c>
      <c r="U71" s="182">
        <f t="shared" si="60"/>
        <v>47540</v>
      </c>
      <c r="V71" s="182">
        <f t="shared" si="60"/>
        <v>47721</v>
      </c>
      <c r="W71" s="182">
        <f t="shared" si="60"/>
        <v>47905</v>
      </c>
      <c r="X71" s="182">
        <f t="shared" si="60"/>
        <v>48086</v>
      </c>
      <c r="Y71" s="182">
        <f t="shared" si="60"/>
        <v>48270</v>
      </c>
      <c r="Z71" s="182">
        <f t="shared" si="60"/>
        <v>48452</v>
      </c>
      <c r="AA71" s="182">
        <f t="shared" si="60"/>
        <v>48636</v>
      </c>
      <c r="AB71" s="182">
        <f t="shared" si="61"/>
        <v>48817</v>
      </c>
      <c r="AC71" s="182">
        <f t="shared" si="61"/>
        <v>49001</v>
      </c>
      <c r="AD71" s="182">
        <f t="shared" si="61"/>
        <v>49182</v>
      </c>
      <c r="AE71" s="182">
        <f t="shared" si="55"/>
        <v>49366</v>
      </c>
      <c r="AF71" s="182">
        <f t="shared" si="51"/>
        <v>49547</v>
      </c>
      <c r="AG71" s="182">
        <f t="shared" si="51"/>
        <v>49731</v>
      </c>
      <c r="AH71" s="186">
        <f ca="1">N71-TODAY()</f>
        <v>58</v>
      </c>
      <c r="AI71" s="201">
        <f t="shared" si="62"/>
        <v>27000000</v>
      </c>
      <c r="AJ71" s="162" t="s">
        <v>967</v>
      </c>
    </row>
    <row r="72" spans="1:36" x14ac:dyDescent="0.2">
      <c r="A72" s="162">
        <v>69</v>
      </c>
      <c r="B72" s="162" t="s">
        <v>774</v>
      </c>
      <c r="C72" s="163" t="s">
        <v>32</v>
      </c>
      <c r="D72" s="164">
        <v>6000000</v>
      </c>
      <c r="E72" s="164" t="s">
        <v>777</v>
      </c>
      <c r="F72" s="164" t="s">
        <v>778</v>
      </c>
      <c r="G72" s="164" t="s">
        <v>773</v>
      </c>
      <c r="H72" s="164" t="s">
        <v>779</v>
      </c>
      <c r="I72" s="167" t="s">
        <v>79</v>
      </c>
      <c r="J72" s="167">
        <v>45622</v>
      </c>
      <c r="K72" s="182">
        <f t="shared" si="63"/>
        <v>45803</v>
      </c>
      <c r="L72" s="182">
        <f t="shared" si="63"/>
        <v>45987</v>
      </c>
      <c r="M72" s="212">
        <f t="shared" si="64"/>
        <v>46168</v>
      </c>
      <c r="N72" s="182">
        <f t="shared" si="64"/>
        <v>46352</v>
      </c>
      <c r="O72" s="182">
        <f t="shared" si="60"/>
        <v>46533</v>
      </c>
      <c r="P72" s="182">
        <f t="shared" si="60"/>
        <v>46717</v>
      </c>
      <c r="Q72" s="182">
        <f t="shared" si="60"/>
        <v>46899</v>
      </c>
      <c r="R72" s="182">
        <f t="shared" si="60"/>
        <v>47083</v>
      </c>
      <c r="S72" s="182">
        <f t="shared" si="60"/>
        <v>47264</v>
      </c>
      <c r="T72" s="182">
        <f t="shared" si="60"/>
        <v>47448</v>
      </c>
      <c r="U72" s="182">
        <f t="shared" si="60"/>
        <v>47629</v>
      </c>
      <c r="V72" s="182">
        <f t="shared" si="60"/>
        <v>47813</v>
      </c>
      <c r="W72" s="182">
        <f t="shared" si="60"/>
        <v>47994</v>
      </c>
      <c r="X72" s="182">
        <f t="shared" si="60"/>
        <v>48178</v>
      </c>
      <c r="Y72" s="182">
        <f t="shared" si="60"/>
        <v>48360</v>
      </c>
      <c r="Z72" s="182">
        <f t="shared" si="60"/>
        <v>48544</v>
      </c>
      <c r="AA72" s="182">
        <f t="shared" si="60"/>
        <v>48725</v>
      </c>
      <c r="AB72" s="182">
        <f t="shared" si="61"/>
        <v>48909</v>
      </c>
      <c r="AC72" s="182">
        <f t="shared" si="61"/>
        <v>49090</v>
      </c>
      <c r="AD72" s="182">
        <f t="shared" si="61"/>
        <v>49274</v>
      </c>
      <c r="AE72" s="182">
        <f t="shared" si="55"/>
        <v>49455</v>
      </c>
      <c r="AF72" s="182">
        <f t="shared" si="51"/>
        <v>49639</v>
      </c>
      <c r="AG72" s="182">
        <f t="shared" si="51"/>
        <v>49821</v>
      </c>
      <c r="AH72" s="186">
        <f t="shared" ca="1" si="65"/>
        <v>-34</v>
      </c>
      <c r="AI72" s="201">
        <f t="shared" si="62"/>
        <v>36000000</v>
      </c>
      <c r="AJ72" s="162" t="s">
        <v>970</v>
      </c>
    </row>
    <row r="73" spans="1:36" x14ac:dyDescent="0.2">
      <c r="A73" s="162">
        <v>70</v>
      </c>
      <c r="B73" s="219" t="s">
        <v>781</v>
      </c>
      <c r="C73" s="163" t="s">
        <v>156</v>
      </c>
      <c r="D73" s="164">
        <v>4000000</v>
      </c>
      <c r="E73" s="164" t="s">
        <v>783</v>
      </c>
      <c r="F73" s="164" t="s">
        <v>784</v>
      </c>
      <c r="G73" s="164" t="s">
        <v>785</v>
      </c>
      <c r="H73" s="164" t="s">
        <v>786</v>
      </c>
      <c r="I73" s="200" t="s">
        <v>79</v>
      </c>
      <c r="J73" s="167">
        <v>45639</v>
      </c>
      <c r="K73" s="182">
        <f t="shared" si="63"/>
        <v>45821</v>
      </c>
      <c r="L73" s="182">
        <f t="shared" si="63"/>
        <v>46004</v>
      </c>
      <c r="M73" s="212">
        <f t="shared" si="64"/>
        <v>46186</v>
      </c>
      <c r="N73" s="182">
        <f t="shared" si="64"/>
        <v>46369</v>
      </c>
      <c r="O73" s="182">
        <f t="shared" si="60"/>
        <v>46551</v>
      </c>
      <c r="P73" s="182">
        <f t="shared" si="60"/>
        <v>46734</v>
      </c>
      <c r="Q73" s="182">
        <f t="shared" si="60"/>
        <v>46917</v>
      </c>
      <c r="R73" s="182">
        <f t="shared" si="60"/>
        <v>47100</v>
      </c>
      <c r="S73" s="182">
        <f t="shared" si="60"/>
        <v>47282</v>
      </c>
      <c r="T73" s="182">
        <f t="shared" si="60"/>
        <v>47465</v>
      </c>
      <c r="U73" s="182">
        <f t="shared" si="60"/>
        <v>47647</v>
      </c>
      <c r="V73" s="182">
        <f t="shared" si="60"/>
        <v>47830</v>
      </c>
      <c r="W73" s="182">
        <f t="shared" si="60"/>
        <v>48012</v>
      </c>
      <c r="X73" s="182">
        <f t="shared" si="60"/>
        <v>48195</v>
      </c>
      <c r="Y73" s="182">
        <f t="shared" si="60"/>
        <v>48378</v>
      </c>
      <c r="Z73" s="182">
        <f t="shared" si="60"/>
        <v>48561</v>
      </c>
      <c r="AA73" s="182">
        <f t="shared" si="60"/>
        <v>48743</v>
      </c>
      <c r="AB73" s="182">
        <f t="shared" si="61"/>
        <v>48926</v>
      </c>
      <c r="AC73" s="182">
        <f t="shared" si="61"/>
        <v>49108</v>
      </c>
      <c r="AD73" s="182">
        <f t="shared" si="61"/>
        <v>49291</v>
      </c>
      <c r="AE73" s="182">
        <f t="shared" si="55"/>
        <v>49473</v>
      </c>
      <c r="AF73" s="182">
        <f t="shared" si="51"/>
        <v>49656</v>
      </c>
      <c r="AG73" s="182">
        <f t="shared" si="51"/>
        <v>49839</v>
      </c>
      <c r="AH73" s="186">
        <f t="shared" ca="1" si="65"/>
        <v>-16</v>
      </c>
      <c r="AI73" s="201">
        <f t="shared" si="62"/>
        <v>24000000</v>
      </c>
      <c r="AJ73" s="162" t="s">
        <v>970</v>
      </c>
    </row>
    <row r="74" spans="1:36" x14ac:dyDescent="0.2">
      <c r="A74" s="162">
        <v>71</v>
      </c>
      <c r="B74" s="163" t="s">
        <v>790</v>
      </c>
      <c r="C74" s="163" t="s">
        <v>575</v>
      </c>
      <c r="D74" s="164">
        <v>7000000</v>
      </c>
      <c r="E74" s="164" t="s">
        <v>792</v>
      </c>
      <c r="F74" s="164" t="s">
        <v>791</v>
      </c>
      <c r="G74" s="164" t="s">
        <v>793</v>
      </c>
      <c r="H74" s="164" t="s">
        <v>788</v>
      </c>
      <c r="I74" s="167" t="s">
        <v>79</v>
      </c>
      <c r="J74" s="167">
        <v>45677</v>
      </c>
      <c r="K74" s="182">
        <f t="shared" si="63"/>
        <v>45858</v>
      </c>
      <c r="L74" s="182">
        <f t="shared" si="63"/>
        <v>46042</v>
      </c>
      <c r="M74" s="212">
        <f t="shared" si="64"/>
        <v>46223</v>
      </c>
      <c r="N74" s="182">
        <f t="shared" si="64"/>
        <v>46407</v>
      </c>
      <c r="O74" s="182">
        <f t="shared" si="60"/>
        <v>46588</v>
      </c>
      <c r="P74" s="182">
        <f t="shared" si="60"/>
        <v>46772</v>
      </c>
      <c r="Q74" s="182">
        <f t="shared" si="60"/>
        <v>46954</v>
      </c>
      <c r="R74" s="182">
        <f t="shared" si="60"/>
        <v>47138</v>
      </c>
      <c r="S74" s="182">
        <f t="shared" si="60"/>
        <v>47319</v>
      </c>
      <c r="T74" s="182">
        <f t="shared" si="60"/>
        <v>47503</v>
      </c>
      <c r="U74" s="182">
        <f t="shared" si="60"/>
        <v>47684</v>
      </c>
      <c r="V74" s="182">
        <f t="shared" si="60"/>
        <v>47868</v>
      </c>
      <c r="W74" s="182">
        <f t="shared" si="60"/>
        <v>48049</v>
      </c>
      <c r="X74" s="182">
        <f t="shared" si="60"/>
        <v>48233</v>
      </c>
      <c r="Y74" s="182">
        <f t="shared" si="60"/>
        <v>48415</v>
      </c>
      <c r="Z74" s="182">
        <f t="shared" si="60"/>
        <v>48599</v>
      </c>
      <c r="AA74" s="182">
        <f t="shared" si="60"/>
        <v>48780</v>
      </c>
      <c r="AB74" s="182">
        <f t="shared" si="61"/>
        <v>48964</v>
      </c>
      <c r="AC74" s="182">
        <f t="shared" si="61"/>
        <v>49145</v>
      </c>
      <c r="AD74" s="182">
        <f t="shared" si="61"/>
        <v>49329</v>
      </c>
      <c r="AE74" s="182">
        <f t="shared" si="55"/>
        <v>49510</v>
      </c>
      <c r="AF74" s="182">
        <f t="shared" si="51"/>
        <v>49694</v>
      </c>
      <c r="AG74" s="182">
        <f t="shared" si="51"/>
        <v>49876</v>
      </c>
      <c r="AH74" s="186">
        <f ca="1">M74-TODAY()</f>
        <v>21</v>
      </c>
      <c r="AI74" s="201">
        <f t="shared" si="62"/>
        <v>42000000</v>
      </c>
      <c r="AJ74" s="162" t="s">
        <v>966</v>
      </c>
    </row>
    <row r="75" spans="1:36" x14ac:dyDescent="0.2">
      <c r="A75" s="162">
        <v>73</v>
      </c>
      <c r="B75" s="163" t="s">
        <v>794</v>
      </c>
      <c r="C75" s="163" t="s">
        <v>32</v>
      </c>
      <c r="D75" s="164">
        <v>4000000</v>
      </c>
      <c r="E75" s="164" t="s">
        <v>801</v>
      </c>
      <c r="F75" s="164" t="s">
        <v>861</v>
      </c>
      <c r="G75" s="164" t="s">
        <v>699</v>
      </c>
      <c r="H75" s="164" t="s">
        <v>800</v>
      </c>
      <c r="I75" s="200" t="s">
        <v>79</v>
      </c>
      <c r="J75" s="167">
        <v>45683</v>
      </c>
      <c r="K75" s="182">
        <f t="shared" si="63"/>
        <v>45864</v>
      </c>
      <c r="L75" s="182">
        <f t="shared" si="63"/>
        <v>46048</v>
      </c>
      <c r="M75" s="212">
        <f t="shared" si="64"/>
        <v>46229</v>
      </c>
      <c r="N75" s="182">
        <f t="shared" si="64"/>
        <v>46413</v>
      </c>
      <c r="O75" s="182">
        <f t="shared" si="60"/>
        <v>46594</v>
      </c>
      <c r="P75" s="182">
        <f t="shared" si="60"/>
        <v>46778</v>
      </c>
      <c r="Q75" s="182">
        <f t="shared" si="60"/>
        <v>46960</v>
      </c>
      <c r="R75" s="182">
        <f t="shared" si="60"/>
        <v>47144</v>
      </c>
      <c r="S75" s="182">
        <f t="shared" si="60"/>
        <v>47325</v>
      </c>
      <c r="T75" s="182">
        <f t="shared" si="60"/>
        <v>47509</v>
      </c>
      <c r="U75" s="182">
        <f t="shared" si="60"/>
        <v>47690</v>
      </c>
      <c r="V75" s="182">
        <f t="shared" si="60"/>
        <v>47874</v>
      </c>
      <c r="W75" s="182">
        <f t="shared" si="60"/>
        <v>48055</v>
      </c>
      <c r="X75" s="182">
        <f t="shared" si="60"/>
        <v>48239</v>
      </c>
      <c r="Y75" s="182">
        <f t="shared" si="60"/>
        <v>48421</v>
      </c>
      <c r="Z75" s="182">
        <f t="shared" si="60"/>
        <v>48605</v>
      </c>
      <c r="AA75" s="182">
        <f t="shared" si="60"/>
        <v>48786</v>
      </c>
      <c r="AB75" s="182">
        <f t="shared" si="61"/>
        <v>48970</v>
      </c>
      <c r="AC75" s="182">
        <f t="shared" si="61"/>
        <v>49151</v>
      </c>
      <c r="AD75" s="182">
        <f t="shared" si="61"/>
        <v>49335</v>
      </c>
      <c r="AE75" s="182">
        <f t="shared" si="55"/>
        <v>49516</v>
      </c>
      <c r="AF75" s="182">
        <f t="shared" si="51"/>
        <v>49700</v>
      </c>
      <c r="AG75" s="182">
        <f t="shared" si="51"/>
        <v>49882</v>
      </c>
      <c r="AH75" s="186">
        <f ca="1">M75-TODAY()</f>
        <v>27</v>
      </c>
      <c r="AI75" s="201">
        <f t="shared" si="62"/>
        <v>24000000</v>
      </c>
      <c r="AJ75" s="162" t="s">
        <v>966</v>
      </c>
    </row>
    <row r="76" spans="1:36" x14ac:dyDescent="0.2">
      <c r="A76" s="162">
        <v>74</v>
      </c>
      <c r="B76" s="163" t="s">
        <v>795</v>
      </c>
      <c r="C76" s="163" t="s">
        <v>156</v>
      </c>
      <c r="D76" s="164">
        <v>4000000</v>
      </c>
      <c r="E76" s="164" t="s">
        <v>797</v>
      </c>
      <c r="F76" s="164" t="s">
        <v>798</v>
      </c>
      <c r="G76" s="164" t="s">
        <v>170</v>
      </c>
      <c r="H76" s="164" t="s">
        <v>799</v>
      </c>
      <c r="I76" s="167" t="s">
        <v>79</v>
      </c>
      <c r="J76" s="167">
        <v>45675</v>
      </c>
      <c r="K76" s="182">
        <f t="shared" si="63"/>
        <v>45856</v>
      </c>
      <c r="L76" s="212">
        <f t="shared" si="63"/>
        <v>46040</v>
      </c>
      <c r="M76" s="182">
        <f t="shared" si="64"/>
        <v>46221</v>
      </c>
      <c r="N76" s="182">
        <f t="shared" si="64"/>
        <v>46405</v>
      </c>
      <c r="O76" s="182">
        <f t="shared" si="60"/>
        <v>46586</v>
      </c>
      <c r="P76" s="182">
        <f t="shared" si="60"/>
        <v>46770</v>
      </c>
      <c r="Q76" s="182">
        <f t="shared" si="60"/>
        <v>46952</v>
      </c>
      <c r="R76" s="182">
        <f t="shared" si="60"/>
        <v>47136</v>
      </c>
      <c r="S76" s="182">
        <f t="shared" si="60"/>
        <v>47317</v>
      </c>
      <c r="T76" s="182">
        <f t="shared" si="60"/>
        <v>47501</v>
      </c>
      <c r="U76" s="182">
        <f t="shared" si="60"/>
        <v>47682</v>
      </c>
      <c r="V76" s="182">
        <f t="shared" si="60"/>
        <v>47866</v>
      </c>
      <c r="W76" s="182">
        <f t="shared" si="60"/>
        <v>48047</v>
      </c>
      <c r="X76" s="182">
        <f t="shared" si="60"/>
        <v>48231</v>
      </c>
      <c r="Y76" s="182">
        <f t="shared" si="60"/>
        <v>48413</v>
      </c>
      <c r="Z76" s="182">
        <f t="shared" si="60"/>
        <v>48597</v>
      </c>
      <c r="AA76" s="182">
        <f t="shared" si="60"/>
        <v>48778</v>
      </c>
      <c r="AB76" s="182">
        <f t="shared" si="61"/>
        <v>48962</v>
      </c>
      <c r="AC76" s="182">
        <f t="shared" si="61"/>
        <v>49143</v>
      </c>
      <c r="AD76" s="182">
        <f t="shared" si="61"/>
        <v>49327</v>
      </c>
      <c r="AE76" s="182">
        <f t="shared" si="55"/>
        <v>49508</v>
      </c>
      <c r="AF76" s="182">
        <f t="shared" si="51"/>
        <v>49692</v>
      </c>
      <c r="AG76" s="182">
        <f t="shared" si="51"/>
        <v>49874</v>
      </c>
      <c r="AH76" s="186">
        <f ca="1">M76-TODAY()</f>
        <v>19</v>
      </c>
      <c r="AI76" s="201">
        <f t="shared" si="62"/>
        <v>24000000</v>
      </c>
      <c r="AJ76" s="162" t="s">
        <v>966</v>
      </c>
    </row>
    <row r="77" spans="1:36" x14ac:dyDescent="0.2">
      <c r="A77" s="162">
        <v>75</v>
      </c>
      <c r="B77" s="162" t="s">
        <v>806</v>
      </c>
      <c r="C77" s="163" t="s">
        <v>117</v>
      </c>
      <c r="D77" s="164">
        <v>5000000</v>
      </c>
      <c r="E77" s="181" t="s">
        <v>808</v>
      </c>
      <c r="F77" s="163" t="s">
        <v>809</v>
      </c>
      <c r="G77" s="163" t="s">
        <v>153</v>
      </c>
      <c r="H77" s="162" t="s">
        <v>810</v>
      </c>
      <c r="I77" s="167" t="s">
        <v>79</v>
      </c>
      <c r="J77" s="167">
        <v>45705</v>
      </c>
      <c r="K77" s="182">
        <f t="shared" si="63"/>
        <v>45886</v>
      </c>
      <c r="L77" s="182">
        <f t="shared" si="63"/>
        <v>46070</v>
      </c>
      <c r="M77" s="212">
        <f t="shared" si="64"/>
        <v>46251</v>
      </c>
      <c r="N77" s="182">
        <f t="shared" si="64"/>
        <v>46435</v>
      </c>
      <c r="O77" s="182">
        <f t="shared" si="60"/>
        <v>46616</v>
      </c>
      <c r="P77" s="182">
        <f t="shared" si="60"/>
        <v>46800</v>
      </c>
      <c r="Q77" s="182">
        <f t="shared" si="60"/>
        <v>46982</v>
      </c>
      <c r="R77" s="182">
        <f t="shared" si="60"/>
        <v>47166</v>
      </c>
      <c r="S77" s="182">
        <f t="shared" si="60"/>
        <v>47347</v>
      </c>
      <c r="T77" s="182">
        <f t="shared" si="60"/>
        <v>47531</v>
      </c>
      <c r="U77" s="182">
        <f t="shared" si="60"/>
        <v>47712</v>
      </c>
      <c r="V77" s="182">
        <f t="shared" si="60"/>
        <v>47896</v>
      </c>
      <c r="W77" s="182">
        <f t="shared" si="60"/>
        <v>48077</v>
      </c>
      <c r="X77" s="182">
        <f t="shared" si="60"/>
        <v>48261</v>
      </c>
      <c r="Y77" s="182">
        <f t="shared" si="60"/>
        <v>48443</v>
      </c>
      <c r="Z77" s="182">
        <f t="shared" si="60"/>
        <v>48627</v>
      </c>
      <c r="AA77" s="182">
        <f t="shared" si="60"/>
        <v>48808</v>
      </c>
      <c r="AB77" s="182">
        <f t="shared" si="61"/>
        <v>48992</v>
      </c>
      <c r="AC77" s="182">
        <f t="shared" si="61"/>
        <v>49173</v>
      </c>
      <c r="AD77" s="182">
        <f t="shared" si="61"/>
        <v>49357</v>
      </c>
      <c r="AE77" s="182">
        <f t="shared" si="55"/>
        <v>49538</v>
      </c>
      <c r="AF77" s="182">
        <f t="shared" si="51"/>
        <v>49722</v>
      </c>
      <c r="AG77" s="182">
        <f t="shared" si="51"/>
        <v>49904</v>
      </c>
      <c r="AH77" s="186">
        <f ca="1">M77-TODAY()</f>
        <v>49</v>
      </c>
      <c r="AI77" s="201">
        <f t="shared" si="62"/>
        <v>30000000</v>
      </c>
      <c r="AJ77" s="162" t="s">
        <v>966</v>
      </c>
    </row>
    <row r="78" spans="1:36" x14ac:dyDescent="0.2">
      <c r="A78" s="162">
        <v>76</v>
      </c>
      <c r="B78" s="162" t="s">
        <v>811</v>
      </c>
      <c r="C78" s="163" t="s">
        <v>117</v>
      </c>
      <c r="D78" s="164">
        <v>3000000</v>
      </c>
      <c r="E78" s="181" t="s">
        <v>812</v>
      </c>
      <c r="F78" s="163" t="s">
        <v>813</v>
      </c>
      <c r="G78" s="163" t="s">
        <v>170</v>
      </c>
      <c r="H78" s="162" t="s">
        <v>971</v>
      </c>
      <c r="I78" s="190" t="s">
        <v>79</v>
      </c>
      <c r="J78" s="167">
        <v>45799</v>
      </c>
      <c r="K78" s="212">
        <f t="shared" si="63"/>
        <v>45983</v>
      </c>
      <c r="L78" s="182">
        <f t="shared" si="63"/>
        <v>46164</v>
      </c>
      <c r="M78" s="182">
        <f t="shared" si="64"/>
        <v>46348</v>
      </c>
      <c r="N78" s="182">
        <f t="shared" si="64"/>
        <v>46529</v>
      </c>
      <c r="O78" s="182">
        <f t="shared" si="60"/>
        <v>46713</v>
      </c>
      <c r="P78" s="182">
        <f t="shared" si="60"/>
        <v>46895</v>
      </c>
      <c r="Q78" s="182">
        <f t="shared" si="60"/>
        <v>47079</v>
      </c>
      <c r="R78" s="182">
        <f t="shared" si="60"/>
        <v>47260</v>
      </c>
      <c r="S78" s="182">
        <f t="shared" si="60"/>
        <v>47444</v>
      </c>
      <c r="T78" s="182">
        <f t="shared" si="60"/>
        <v>47625</v>
      </c>
      <c r="U78" s="182">
        <f t="shared" si="60"/>
        <v>47809</v>
      </c>
      <c r="V78" s="182">
        <f t="shared" si="60"/>
        <v>47990</v>
      </c>
      <c r="W78" s="182">
        <f t="shared" si="60"/>
        <v>48174</v>
      </c>
      <c r="X78" s="182">
        <f t="shared" si="60"/>
        <v>48356</v>
      </c>
      <c r="Y78" s="182">
        <f t="shared" si="60"/>
        <v>48540</v>
      </c>
      <c r="Z78" s="182">
        <f t="shared" si="60"/>
        <v>48721</v>
      </c>
      <c r="AA78" s="182">
        <f t="shared" si="60"/>
        <v>48905</v>
      </c>
      <c r="AB78" s="182">
        <f t="shared" si="61"/>
        <v>49086</v>
      </c>
      <c r="AC78" s="182">
        <f t="shared" si="61"/>
        <v>49270</v>
      </c>
      <c r="AD78" s="182">
        <f t="shared" si="61"/>
        <v>49451</v>
      </c>
      <c r="AE78" s="182">
        <f t="shared" si="55"/>
        <v>49635</v>
      </c>
      <c r="AF78" s="182">
        <f t="shared" si="51"/>
        <v>49817</v>
      </c>
      <c r="AG78" s="182">
        <f t="shared" si="51"/>
        <v>50001</v>
      </c>
      <c r="AH78" s="186">
        <f t="shared" ref="AH78:AH79" ca="1" si="66">L78-TODAY()</f>
        <v>-38</v>
      </c>
      <c r="AI78" s="201">
        <f t="shared" si="62"/>
        <v>18000000</v>
      </c>
      <c r="AJ78" s="162" t="s">
        <v>972</v>
      </c>
    </row>
    <row r="79" spans="1:36" x14ac:dyDescent="0.2">
      <c r="A79" s="162">
        <v>77</v>
      </c>
      <c r="B79" s="162" t="s">
        <v>976</v>
      </c>
      <c r="C79" s="163" t="s">
        <v>66</v>
      </c>
      <c r="D79" s="164">
        <v>4000000</v>
      </c>
      <c r="E79" s="181" t="s">
        <v>815</v>
      </c>
      <c r="F79" s="163" t="s">
        <v>814</v>
      </c>
      <c r="G79" s="163" t="s">
        <v>973</v>
      </c>
      <c r="H79" s="162" t="s">
        <v>816</v>
      </c>
      <c r="I79" s="200" t="s">
        <v>79</v>
      </c>
      <c r="J79" s="167">
        <v>45804</v>
      </c>
      <c r="K79" s="182">
        <f t="shared" si="63"/>
        <v>45988</v>
      </c>
      <c r="L79" s="212">
        <f t="shared" si="63"/>
        <v>46169</v>
      </c>
      <c r="M79" s="182">
        <f t="shared" si="64"/>
        <v>46353</v>
      </c>
      <c r="N79" s="182">
        <f t="shared" si="64"/>
        <v>46534</v>
      </c>
      <c r="O79" s="182">
        <f t="shared" si="60"/>
        <v>46718</v>
      </c>
      <c r="P79" s="182">
        <f t="shared" si="60"/>
        <v>46900</v>
      </c>
      <c r="Q79" s="182">
        <f t="shared" si="60"/>
        <v>47084</v>
      </c>
      <c r="R79" s="182">
        <f t="shared" si="60"/>
        <v>47265</v>
      </c>
      <c r="S79" s="182">
        <f t="shared" si="60"/>
        <v>47449</v>
      </c>
      <c r="T79" s="182">
        <f t="shared" si="60"/>
        <v>47630</v>
      </c>
      <c r="U79" s="182">
        <f t="shared" si="60"/>
        <v>47814</v>
      </c>
      <c r="V79" s="182">
        <f t="shared" si="60"/>
        <v>47995</v>
      </c>
      <c r="W79" s="182">
        <f t="shared" ref="W79:AG85" si="67">EDATE(V79,6)</f>
        <v>48179</v>
      </c>
      <c r="X79" s="182">
        <f t="shared" si="67"/>
        <v>48361</v>
      </c>
      <c r="Y79" s="182">
        <f t="shared" si="67"/>
        <v>48545</v>
      </c>
      <c r="Z79" s="182">
        <f t="shared" si="67"/>
        <v>48726</v>
      </c>
      <c r="AA79" s="182">
        <f t="shared" si="67"/>
        <v>48910</v>
      </c>
      <c r="AB79" s="182">
        <f t="shared" si="67"/>
        <v>49091</v>
      </c>
      <c r="AC79" s="182">
        <f t="shared" si="67"/>
        <v>49275</v>
      </c>
      <c r="AD79" s="182">
        <f t="shared" si="67"/>
        <v>49456</v>
      </c>
      <c r="AE79" s="182">
        <f t="shared" si="67"/>
        <v>49640</v>
      </c>
      <c r="AF79" s="182">
        <f t="shared" si="67"/>
        <v>49822</v>
      </c>
      <c r="AG79" s="182">
        <f t="shared" si="67"/>
        <v>50006</v>
      </c>
      <c r="AH79" s="186">
        <f t="shared" ca="1" si="66"/>
        <v>-33</v>
      </c>
      <c r="AI79" s="201">
        <f t="shared" si="62"/>
        <v>24000000</v>
      </c>
      <c r="AJ79" s="162" t="s">
        <v>972</v>
      </c>
    </row>
    <row r="80" spans="1:36" x14ac:dyDescent="0.2">
      <c r="A80" s="162">
        <v>78</v>
      </c>
      <c r="B80" s="187" t="s">
        <v>834</v>
      </c>
      <c r="C80" s="163" t="s">
        <v>15</v>
      </c>
      <c r="D80" s="164">
        <v>5000000</v>
      </c>
      <c r="E80" s="163" t="s">
        <v>842</v>
      </c>
      <c r="F80" s="163" t="s">
        <v>841</v>
      </c>
      <c r="G80" s="162" t="s">
        <v>153</v>
      </c>
      <c r="H80" s="162" t="s">
        <v>843</v>
      </c>
      <c r="I80" s="200" t="s">
        <v>79</v>
      </c>
      <c r="J80" s="167">
        <v>45857</v>
      </c>
      <c r="K80" s="182">
        <f t="shared" ref="K80:V85" si="68">EDATE(J80,6)</f>
        <v>46041</v>
      </c>
      <c r="L80" s="212">
        <f t="shared" si="68"/>
        <v>46222</v>
      </c>
      <c r="M80" s="182">
        <f t="shared" si="64"/>
        <v>46406</v>
      </c>
      <c r="N80" s="182">
        <f t="shared" si="64"/>
        <v>46587</v>
      </c>
      <c r="O80" s="182">
        <f t="shared" si="64"/>
        <v>46771</v>
      </c>
      <c r="P80" s="182">
        <f t="shared" si="64"/>
        <v>46953</v>
      </c>
      <c r="Q80" s="182">
        <f t="shared" si="64"/>
        <v>47137</v>
      </c>
      <c r="R80" s="182">
        <f t="shared" si="64"/>
        <v>47318</v>
      </c>
      <c r="S80" s="182">
        <f t="shared" si="64"/>
        <v>47502</v>
      </c>
      <c r="T80" s="182">
        <f t="shared" si="64"/>
        <v>47683</v>
      </c>
      <c r="U80" s="182">
        <f t="shared" si="64"/>
        <v>47867</v>
      </c>
      <c r="V80" s="182">
        <f t="shared" si="64"/>
        <v>48048</v>
      </c>
      <c r="W80" s="182">
        <f t="shared" si="67"/>
        <v>48232</v>
      </c>
      <c r="X80" s="182">
        <f t="shared" si="67"/>
        <v>48414</v>
      </c>
      <c r="Y80" s="182">
        <f t="shared" si="67"/>
        <v>48598</v>
      </c>
      <c r="Z80" s="182">
        <f t="shared" si="67"/>
        <v>48779</v>
      </c>
      <c r="AA80" s="182">
        <f t="shared" si="67"/>
        <v>48963</v>
      </c>
      <c r="AB80" s="182">
        <f t="shared" si="67"/>
        <v>49144</v>
      </c>
      <c r="AC80" s="182">
        <f t="shared" si="67"/>
        <v>49328</v>
      </c>
      <c r="AD80" s="182">
        <f t="shared" si="67"/>
        <v>49509</v>
      </c>
      <c r="AE80" s="182">
        <f t="shared" si="67"/>
        <v>49693</v>
      </c>
      <c r="AF80" s="182">
        <f t="shared" si="67"/>
        <v>49875</v>
      </c>
      <c r="AG80" s="182">
        <f t="shared" si="67"/>
        <v>50059</v>
      </c>
      <c r="AH80" s="186">
        <f ca="1">L80-TODAY()</f>
        <v>20</v>
      </c>
      <c r="AI80" s="201">
        <f t="shared" si="62"/>
        <v>30000000</v>
      </c>
      <c r="AJ80" s="220" t="s">
        <v>972</v>
      </c>
    </row>
    <row r="81" spans="1:36" x14ac:dyDescent="0.2">
      <c r="A81" s="162">
        <v>79</v>
      </c>
      <c r="B81" s="187" t="s">
        <v>836</v>
      </c>
      <c r="C81" s="163" t="s">
        <v>229</v>
      </c>
      <c r="D81" s="164">
        <v>5000000</v>
      </c>
      <c r="E81" s="163" t="s">
        <v>852</v>
      </c>
      <c r="F81" s="163" t="s">
        <v>851</v>
      </c>
      <c r="G81" s="162" t="s">
        <v>853</v>
      </c>
      <c r="H81" s="162" t="s">
        <v>849</v>
      </c>
      <c r="I81" s="200" t="s">
        <v>79</v>
      </c>
      <c r="J81" s="167">
        <v>45870</v>
      </c>
      <c r="K81" s="182">
        <f>EDATE(J81,6)</f>
        <v>46054</v>
      </c>
      <c r="L81" s="212">
        <f>EDATE(K81,6)</f>
        <v>46235</v>
      </c>
      <c r="M81" s="182">
        <f t="shared" si="64"/>
        <v>46419</v>
      </c>
      <c r="N81" s="182">
        <f t="shared" si="64"/>
        <v>46600</v>
      </c>
      <c r="O81" s="182">
        <f t="shared" si="64"/>
        <v>46784</v>
      </c>
      <c r="P81" s="182">
        <f t="shared" si="64"/>
        <v>46966</v>
      </c>
      <c r="Q81" s="182">
        <f t="shared" si="64"/>
        <v>47150</v>
      </c>
      <c r="R81" s="182">
        <f t="shared" si="64"/>
        <v>47331</v>
      </c>
      <c r="S81" s="182">
        <f t="shared" si="64"/>
        <v>47515</v>
      </c>
      <c r="T81" s="182">
        <f t="shared" si="64"/>
        <v>47696</v>
      </c>
      <c r="U81" s="182">
        <f t="shared" si="64"/>
        <v>47880</v>
      </c>
      <c r="V81" s="182">
        <f t="shared" si="64"/>
        <v>48061</v>
      </c>
      <c r="W81" s="182">
        <f t="shared" si="67"/>
        <v>48245</v>
      </c>
      <c r="X81" s="182">
        <f t="shared" si="67"/>
        <v>48427</v>
      </c>
      <c r="Y81" s="182">
        <f t="shared" si="67"/>
        <v>48611</v>
      </c>
      <c r="Z81" s="182">
        <f t="shared" si="67"/>
        <v>48792</v>
      </c>
      <c r="AA81" s="182">
        <f t="shared" si="67"/>
        <v>48976</v>
      </c>
      <c r="AB81" s="182">
        <f t="shared" si="67"/>
        <v>49157</v>
      </c>
      <c r="AC81" s="182">
        <f t="shared" si="67"/>
        <v>49341</v>
      </c>
      <c r="AD81" s="182">
        <f t="shared" si="67"/>
        <v>49522</v>
      </c>
      <c r="AE81" s="182">
        <f t="shared" si="67"/>
        <v>49706</v>
      </c>
      <c r="AF81" s="182">
        <f t="shared" si="67"/>
        <v>49888</v>
      </c>
      <c r="AG81" s="182">
        <f t="shared" si="67"/>
        <v>50072</v>
      </c>
      <c r="AH81" s="186">
        <f ca="1">L81-TODAY()</f>
        <v>33</v>
      </c>
      <c r="AI81" s="201">
        <f t="shared" si="62"/>
        <v>30000000</v>
      </c>
      <c r="AJ81" s="162" t="s">
        <v>972</v>
      </c>
    </row>
    <row r="82" spans="1:36" x14ac:dyDescent="0.2">
      <c r="A82" s="162">
        <v>80</v>
      </c>
      <c r="B82" s="187" t="s">
        <v>838</v>
      </c>
      <c r="C82" s="163" t="s">
        <v>290</v>
      </c>
      <c r="D82" s="164">
        <v>4000000</v>
      </c>
      <c r="E82" s="163" t="s">
        <v>847</v>
      </c>
      <c r="F82" s="163" t="s">
        <v>846</v>
      </c>
      <c r="G82" s="162" t="s">
        <v>848</v>
      </c>
      <c r="H82" s="162" t="s">
        <v>844</v>
      </c>
      <c r="I82" s="200" t="s">
        <v>79</v>
      </c>
      <c r="J82" s="167">
        <v>45846</v>
      </c>
      <c r="K82" s="182">
        <f>EDATE(J82,6)</f>
        <v>46030</v>
      </c>
      <c r="L82" s="212">
        <f t="shared" si="68"/>
        <v>46211</v>
      </c>
      <c r="M82" s="182">
        <f t="shared" si="64"/>
        <v>46395</v>
      </c>
      <c r="N82" s="182">
        <f t="shared" si="64"/>
        <v>46576</v>
      </c>
      <c r="O82" s="182">
        <f t="shared" si="64"/>
        <v>46760</v>
      </c>
      <c r="P82" s="182">
        <f t="shared" si="64"/>
        <v>46942</v>
      </c>
      <c r="Q82" s="182">
        <f t="shared" si="64"/>
        <v>47126</v>
      </c>
      <c r="R82" s="182">
        <f t="shared" si="64"/>
        <v>47307</v>
      </c>
      <c r="S82" s="182">
        <f t="shared" si="64"/>
        <v>47491</v>
      </c>
      <c r="T82" s="182">
        <f t="shared" si="64"/>
        <v>47672</v>
      </c>
      <c r="U82" s="182">
        <f t="shared" si="64"/>
        <v>47856</v>
      </c>
      <c r="V82" s="182">
        <f t="shared" si="64"/>
        <v>48037</v>
      </c>
      <c r="W82" s="182">
        <f t="shared" si="67"/>
        <v>48221</v>
      </c>
      <c r="X82" s="182">
        <f t="shared" si="67"/>
        <v>48403</v>
      </c>
      <c r="Y82" s="182">
        <f t="shared" si="67"/>
        <v>48587</v>
      </c>
      <c r="Z82" s="182">
        <f t="shared" si="67"/>
        <v>48768</v>
      </c>
      <c r="AA82" s="182">
        <f t="shared" si="67"/>
        <v>48952</v>
      </c>
      <c r="AB82" s="182">
        <f t="shared" si="67"/>
        <v>49133</v>
      </c>
      <c r="AC82" s="182">
        <f t="shared" si="67"/>
        <v>49317</v>
      </c>
      <c r="AD82" s="182">
        <f t="shared" si="67"/>
        <v>49498</v>
      </c>
      <c r="AE82" s="182">
        <f t="shared" si="67"/>
        <v>49682</v>
      </c>
      <c r="AF82" s="182">
        <f t="shared" si="67"/>
        <v>49864</v>
      </c>
      <c r="AG82" s="182">
        <f t="shared" si="67"/>
        <v>50048</v>
      </c>
      <c r="AH82" s="186">
        <f ca="1">L82-TODAY()</f>
        <v>9</v>
      </c>
      <c r="AI82" s="201">
        <f t="shared" si="62"/>
        <v>24000000</v>
      </c>
      <c r="AJ82" s="220" t="s">
        <v>972</v>
      </c>
    </row>
    <row r="83" spans="1:36" x14ac:dyDescent="0.2">
      <c r="A83" s="162">
        <v>81</v>
      </c>
      <c r="B83" s="187" t="s">
        <v>837</v>
      </c>
      <c r="C83" s="163" t="s">
        <v>581</v>
      </c>
      <c r="D83" s="164">
        <v>5000000</v>
      </c>
      <c r="E83" s="163" t="s">
        <v>859</v>
      </c>
      <c r="F83" s="163" t="s">
        <v>857</v>
      </c>
      <c r="G83" s="162" t="s">
        <v>858</v>
      </c>
      <c r="H83" s="162" t="s">
        <v>860</v>
      </c>
      <c r="I83" s="200" t="s">
        <v>79</v>
      </c>
      <c r="J83" s="167">
        <v>45847</v>
      </c>
      <c r="K83" s="182">
        <f>EDATE(J83,6)</f>
        <v>46031</v>
      </c>
      <c r="L83" s="212">
        <f t="shared" si="68"/>
        <v>46212</v>
      </c>
      <c r="M83" s="182">
        <f t="shared" si="64"/>
        <v>46396</v>
      </c>
      <c r="N83" s="182">
        <f t="shared" si="64"/>
        <v>46577</v>
      </c>
      <c r="O83" s="182">
        <f t="shared" si="64"/>
        <v>46761</v>
      </c>
      <c r="P83" s="182">
        <f t="shared" si="64"/>
        <v>46943</v>
      </c>
      <c r="Q83" s="182">
        <f t="shared" si="64"/>
        <v>47127</v>
      </c>
      <c r="R83" s="182">
        <f t="shared" si="64"/>
        <v>47308</v>
      </c>
      <c r="S83" s="182">
        <f t="shared" si="64"/>
        <v>47492</v>
      </c>
      <c r="T83" s="182">
        <f t="shared" si="64"/>
        <v>47673</v>
      </c>
      <c r="U83" s="182">
        <f t="shared" si="64"/>
        <v>47857</v>
      </c>
      <c r="V83" s="182">
        <f t="shared" si="64"/>
        <v>48038</v>
      </c>
      <c r="W83" s="182">
        <f t="shared" si="67"/>
        <v>48222</v>
      </c>
      <c r="X83" s="182">
        <f t="shared" si="67"/>
        <v>48404</v>
      </c>
      <c r="Y83" s="182">
        <f t="shared" si="67"/>
        <v>48588</v>
      </c>
      <c r="Z83" s="182">
        <f t="shared" si="67"/>
        <v>48769</v>
      </c>
      <c r="AA83" s="182">
        <f t="shared" si="67"/>
        <v>48953</v>
      </c>
      <c r="AB83" s="182">
        <f t="shared" si="67"/>
        <v>49134</v>
      </c>
      <c r="AC83" s="182">
        <f t="shared" si="67"/>
        <v>49318</v>
      </c>
      <c r="AD83" s="182">
        <f t="shared" si="67"/>
        <v>49499</v>
      </c>
      <c r="AE83" s="182">
        <f t="shared" si="67"/>
        <v>49683</v>
      </c>
      <c r="AF83" s="182">
        <f t="shared" si="67"/>
        <v>49865</v>
      </c>
      <c r="AG83" s="182">
        <f t="shared" si="67"/>
        <v>50049</v>
      </c>
      <c r="AH83" s="186">
        <f ca="1">L83-TODAY()</f>
        <v>10</v>
      </c>
      <c r="AI83" s="201">
        <f t="shared" si="62"/>
        <v>30000000</v>
      </c>
      <c r="AJ83" s="162" t="s">
        <v>972</v>
      </c>
    </row>
    <row r="84" spans="1:36" x14ac:dyDescent="0.2">
      <c r="A84" s="162">
        <v>82</v>
      </c>
      <c r="B84" s="221" t="s">
        <v>885</v>
      </c>
      <c r="C84" s="163" t="s">
        <v>66</v>
      </c>
      <c r="D84" s="164">
        <v>4000000</v>
      </c>
      <c r="E84" s="181" t="s">
        <v>887</v>
      </c>
      <c r="F84" s="163" t="s">
        <v>886</v>
      </c>
      <c r="G84" s="162" t="s">
        <v>693</v>
      </c>
      <c r="H84" s="162" t="s">
        <v>888</v>
      </c>
      <c r="I84" s="200" t="s">
        <v>79</v>
      </c>
      <c r="J84" s="167">
        <v>45905</v>
      </c>
      <c r="K84" s="182">
        <f>EDATE(J84,6)</f>
        <v>46086</v>
      </c>
      <c r="L84" s="212">
        <f t="shared" si="68"/>
        <v>46270</v>
      </c>
      <c r="M84" s="182">
        <f t="shared" si="64"/>
        <v>46451</v>
      </c>
      <c r="N84" s="182">
        <f t="shared" si="64"/>
        <v>46635</v>
      </c>
      <c r="O84" s="182">
        <f t="shared" si="64"/>
        <v>46817</v>
      </c>
      <c r="P84" s="182">
        <f t="shared" si="64"/>
        <v>47001</v>
      </c>
      <c r="Q84" s="182">
        <f t="shared" si="64"/>
        <v>47182</v>
      </c>
      <c r="R84" s="182">
        <f t="shared" si="64"/>
        <v>47366</v>
      </c>
      <c r="S84" s="182">
        <f t="shared" si="64"/>
        <v>47547</v>
      </c>
      <c r="T84" s="182">
        <f t="shared" si="64"/>
        <v>47731</v>
      </c>
      <c r="U84" s="182">
        <f t="shared" si="64"/>
        <v>47912</v>
      </c>
      <c r="V84" s="182">
        <f t="shared" si="64"/>
        <v>48096</v>
      </c>
      <c r="W84" s="182">
        <f t="shared" si="67"/>
        <v>48278</v>
      </c>
      <c r="X84" s="182">
        <f t="shared" si="67"/>
        <v>48462</v>
      </c>
      <c r="Y84" s="182">
        <f t="shared" si="67"/>
        <v>48643</v>
      </c>
      <c r="Z84" s="182">
        <f t="shared" si="67"/>
        <v>48827</v>
      </c>
      <c r="AA84" s="182">
        <f t="shared" si="67"/>
        <v>49008</v>
      </c>
      <c r="AB84" s="182">
        <f t="shared" si="67"/>
        <v>49192</v>
      </c>
      <c r="AC84" s="182">
        <f t="shared" si="67"/>
        <v>49373</v>
      </c>
      <c r="AD84" s="182">
        <f t="shared" si="67"/>
        <v>49557</v>
      </c>
      <c r="AE84" s="182">
        <f t="shared" si="67"/>
        <v>49739</v>
      </c>
      <c r="AF84" s="182">
        <f t="shared" si="67"/>
        <v>49923</v>
      </c>
      <c r="AG84" s="182">
        <f t="shared" si="67"/>
        <v>50104</v>
      </c>
      <c r="AH84" s="186">
        <f ca="1">L84-TODAY()</f>
        <v>68</v>
      </c>
      <c r="AI84" s="201">
        <f t="shared" si="62"/>
        <v>24000000</v>
      </c>
      <c r="AJ84" s="162" t="s">
        <v>972</v>
      </c>
    </row>
    <row r="85" spans="1:36" x14ac:dyDescent="0.2">
      <c r="A85" s="162">
        <v>83</v>
      </c>
      <c r="B85" s="187" t="s">
        <v>892</v>
      </c>
      <c r="C85" s="163" t="s">
        <v>66</v>
      </c>
      <c r="D85" s="164">
        <v>6000000</v>
      </c>
      <c r="E85" s="181" t="s">
        <v>893</v>
      </c>
      <c r="F85" s="163" t="s">
        <v>891</v>
      </c>
      <c r="G85" s="162" t="s">
        <v>102</v>
      </c>
      <c r="H85" s="162" t="s">
        <v>894</v>
      </c>
      <c r="I85" s="200" t="s">
        <v>79</v>
      </c>
      <c r="J85" s="167">
        <v>45931</v>
      </c>
      <c r="K85" s="182">
        <f>EDATE(J85,6)</f>
        <v>46113</v>
      </c>
      <c r="L85" s="182">
        <f t="shared" si="68"/>
        <v>46296</v>
      </c>
      <c r="M85" s="182">
        <f t="shared" si="68"/>
        <v>46478</v>
      </c>
      <c r="N85" s="182">
        <f t="shared" si="68"/>
        <v>46661</v>
      </c>
      <c r="O85" s="182">
        <f t="shared" si="68"/>
        <v>46844</v>
      </c>
      <c r="P85" s="182">
        <f t="shared" si="68"/>
        <v>47027</v>
      </c>
      <c r="Q85" s="182">
        <f t="shared" si="68"/>
        <v>47209</v>
      </c>
      <c r="R85" s="182">
        <f t="shared" si="68"/>
        <v>47392</v>
      </c>
      <c r="S85" s="182">
        <f t="shared" si="68"/>
        <v>47574</v>
      </c>
      <c r="T85" s="182">
        <f t="shared" si="68"/>
        <v>47757</v>
      </c>
      <c r="U85" s="182">
        <f t="shared" si="68"/>
        <v>47939</v>
      </c>
      <c r="V85" s="182">
        <f t="shared" si="68"/>
        <v>48122</v>
      </c>
      <c r="W85" s="182">
        <f t="shared" si="67"/>
        <v>48305</v>
      </c>
      <c r="X85" s="182">
        <f t="shared" si="67"/>
        <v>48488</v>
      </c>
      <c r="Y85" s="182">
        <f t="shared" si="67"/>
        <v>48670</v>
      </c>
      <c r="Z85" s="182">
        <f t="shared" si="67"/>
        <v>48853</v>
      </c>
      <c r="AA85" s="182">
        <f t="shared" si="67"/>
        <v>49035</v>
      </c>
      <c r="AB85" s="182">
        <f t="shared" si="67"/>
        <v>49218</v>
      </c>
      <c r="AC85" s="182">
        <f t="shared" si="67"/>
        <v>49400</v>
      </c>
      <c r="AD85" s="182">
        <f t="shared" si="67"/>
        <v>49583</v>
      </c>
      <c r="AE85" s="182">
        <f t="shared" si="67"/>
        <v>49766</v>
      </c>
      <c r="AF85" s="182">
        <f t="shared" si="67"/>
        <v>49949</v>
      </c>
      <c r="AG85" s="182">
        <f t="shared" si="67"/>
        <v>50131</v>
      </c>
      <c r="AH85" s="186">
        <f ca="1">K85-TODAY()</f>
        <v>-89</v>
      </c>
      <c r="AI85" s="201">
        <f t="shared" si="62"/>
        <v>36000000</v>
      </c>
      <c r="AJ85" s="162" t="s">
        <v>974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70" zoomScale="85" zoomScaleNormal="85" workbookViewId="0">
      <selection activeCell="L96" sqref="L96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365</v>
      </c>
      <c r="C1" s="155" t="s">
        <v>1050</v>
      </c>
      <c r="D1" s="155" t="s">
        <v>983</v>
      </c>
      <c r="E1" s="155" t="s">
        <v>984</v>
      </c>
      <c r="F1" s="155" t="s">
        <v>1051</v>
      </c>
      <c r="G1" s="228" t="s">
        <v>985</v>
      </c>
      <c r="H1" s="228" t="s">
        <v>986</v>
      </c>
      <c r="I1" s="228" t="s">
        <v>987</v>
      </c>
      <c r="J1" s="228" t="s">
        <v>988</v>
      </c>
      <c r="K1" s="228" t="s">
        <v>989</v>
      </c>
      <c r="L1" s="228" t="s">
        <v>990</v>
      </c>
      <c r="M1" s="228" t="s">
        <v>991</v>
      </c>
      <c r="N1" s="228" t="s">
        <v>992</v>
      </c>
      <c r="O1" s="228" t="s">
        <v>992</v>
      </c>
      <c r="P1" s="228" t="s">
        <v>993</v>
      </c>
      <c r="Q1" s="228" t="s">
        <v>993</v>
      </c>
      <c r="R1" s="228" t="s">
        <v>1042</v>
      </c>
      <c r="S1" s="228" t="s">
        <v>1043</v>
      </c>
      <c r="T1" s="228" t="s">
        <v>1044</v>
      </c>
      <c r="U1" s="228" t="s">
        <v>1045</v>
      </c>
      <c r="V1" s="228" t="s">
        <v>1046</v>
      </c>
      <c r="W1" s="228" t="s">
        <v>1047</v>
      </c>
      <c r="X1" s="228" t="s">
        <v>1048</v>
      </c>
      <c r="Y1" s="228" t="s">
        <v>1049</v>
      </c>
      <c r="Z1" s="229" t="s">
        <v>994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4846680000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187">
        <v>6640000</v>
      </c>
      <c r="D4" s="187"/>
      <c r="E4" s="162" t="s">
        <v>995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39840000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995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995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975</v>
      </c>
      <c r="C7" s="187">
        <v>6300000</v>
      </c>
      <c r="D7" s="187"/>
      <c r="E7" s="162" t="s">
        <v>995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1141</v>
      </c>
      <c r="B8" s="163" t="s">
        <v>95</v>
      </c>
      <c r="C8" s="187">
        <v>7680000</v>
      </c>
      <c r="D8" s="187"/>
      <c r="E8" s="162" t="s">
        <v>996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995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253</v>
      </c>
      <c r="C10" s="206">
        <v>11900000</v>
      </c>
      <c r="D10" s="206"/>
      <c r="E10" s="171" t="s">
        <v>995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256</v>
      </c>
      <c r="C11" s="187">
        <v>8640000</v>
      </c>
      <c r="D11" s="235" t="s">
        <v>997</v>
      </c>
      <c r="E11" s="162" t="s">
        <v>995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995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995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259</v>
      </c>
      <c r="C14" s="206">
        <v>5920000</v>
      </c>
      <c r="D14" s="206"/>
      <c r="E14" s="171" t="s">
        <v>998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417</v>
      </c>
      <c r="C15" s="187">
        <v>11500000</v>
      </c>
      <c r="D15" s="187"/>
      <c r="E15" s="162" t="s">
        <v>995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69000000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995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995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999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289</v>
      </c>
      <c r="C19" s="206">
        <v>8800000</v>
      </c>
      <c r="D19" s="237" t="s">
        <v>1000</v>
      </c>
      <c r="E19" s="171" t="s">
        <v>1001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315</v>
      </c>
      <c r="C20" s="187">
        <v>10000000</v>
      </c>
      <c r="D20" s="187"/>
      <c r="E20" s="162" t="s">
        <v>1002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60000000</v>
      </c>
    </row>
    <row r="21" spans="1:26" x14ac:dyDescent="0.3">
      <c r="A21" s="162">
        <v>18</v>
      </c>
      <c r="B21" s="163" t="s">
        <v>346</v>
      </c>
      <c r="C21" s="187">
        <v>5800000</v>
      </c>
      <c r="D21" s="187"/>
      <c r="E21" s="162" t="s">
        <v>1003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1004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529</v>
      </c>
      <c r="C23" s="187">
        <v>12600000</v>
      </c>
      <c r="D23" s="235" t="s">
        <v>1005</v>
      </c>
      <c r="E23" s="162" t="s">
        <v>1006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1007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402</v>
      </c>
      <c r="C25" s="206">
        <v>10700000</v>
      </c>
      <c r="D25" s="206"/>
      <c r="E25" s="171" t="s">
        <v>1008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422</v>
      </c>
      <c r="C26" s="187">
        <v>10200000</v>
      </c>
      <c r="D26" s="187"/>
      <c r="E26" s="162" t="s">
        <v>1009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428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430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342</v>
      </c>
      <c r="C29" s="187">
        <v>10000000</v>
      </c>
      <c r="D29" s="235" t="s">
        <v>1010</v>
      </c>
      <c r="E29" s="162" t="s">
        <v>1011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451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457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463</v>
      </c>
      <c r="C32" s="206">
        <v>10600000</v>
      </c>
      <c r="D32" s="237" t="s">
        <v>1012</v>
      </c>
      <c r="E32" s="171" t="s">
        <v>1013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469</v>
      </c>
      <c r="C33" s="187">
        <v>11000000</v>
      </c>
      <c r="D33" s="235" t="s">
        <v>1014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480</v>
      </c>
      <c r="C35" s="187">
        <v>11000000</v>
      </c>
      <c r="D35" s="235" t="s">
        <v>1015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495</v>
      </c>
      <c r="C36" s="206">
        <v>11700000</v>
      </c>
      <c r="D36" s="237" t="s">
        <v>1016</v>
      </c>
      <c r="E36" s="171" t="s">
        <v>1011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494</v>
      </c>
      <c r="C37" s="187">
        <v>12600000</v>
      </c>
      <c r="D37" s="237" t="s">
        <v>1017</v>
      </c>
      <c r="E37" s="162" t="s">
        <v>1018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1141</v>
      </c>
      <c r="B38" s="210" t="s">
        <v>1019</v>
      </c>
      <c r="C38" s="187">
        <v>8030000</v>
      </c>
      <c r="D38" s="187"/>
      <c r="E38" s="162" t="s">
        <v>1020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643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486</v>
      </c>
      <c r="C40" s="187">
        <v>8000000</v>
      </c>
      <c r="D40" s="187"/>
      <c r="E40" s="162" t="s">
        <v>1021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1141</v>
      </c>
      <c r="B41" s="239" t="s">
        <v>1140</v>
      </c>
      <c r="C41" s="206">
        <v>10700000</v>
      </c>
      <c r="D41" s="206"/>
      <c r="E41" s="171" t="s">
        <v>1022</v>
      </c>
      <c r="F41" s="232" t="s">
        <v>957</v>
      </c>
      <c r="G41" s="232" t="s">
        <v>957</v>
      </c>
      <c r="H41" s="232" t="s">
        <v>957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543</v>
      </c>
      <c r="C42" s="187">
        <v>11400000</v>
      </c>
      <c r="D42" s="187"/>
      <c r="E42" s="162" t="s">
        <v>1008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552</v>
      </c>
      <c r="C43" s="206">
        <v>11000000</v>
      </c>
      <c r="D43" s="237" t="s">
        <v>1023</v>
      </c>
      <c r="E43" s="171" t="s">
        <v>1008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1141</v>
      </c>
      <c r="B44" s="233" t="s">
        <v>559</v>
      </c>
      <c r="C44" s="187">
        <v>6500000</v>
      </c>
      <c r="D44" s="187"/>
      <c r="E44" s="162" t="s">
        <v>1008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571</v>
      </c>
      <c r="C45" s="187">
        <v>11200000</v>
      </c>
      <c r="D45" s="187"/>
      <c r="E45" s="162" t="s">
        <v>1024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574</v>
      </c>
      <c r="C46" s="187">
        <v>10100000</v>
      </c>
      <c r="D46" s="187"/>
      <c r="E46" s="162" t="s">
        <v>1025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573</v>
      </c>
      <c r="C47" s="187">
        <v>7000000</v>
      </c>
      <c r="D47" s="187"/>
      <c r="E47" s="162" t="s">
        <v>1026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572</v>
      </c>
      <c r="C48" s="187">
        <v>7000000</v>
      </c>
      <c r="D48" s="187"/>
      <c r="E48" s="162" t="s">
        <v>1026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609</v>
      </c>
      <c r="C49" s="206">
        <v>7500000</v>
      </c>
      <c r="D49" s="206"/>
      <c r="E49" s="174" t="s">
        <v>1027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570</v>
      </c>
      <c r="C50" s="187">
        <v>6400000</v>
      </c>
      <c r="D50" s="187"/>
      <c r="E50" s="162" t="s">
        <v>1028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1141</v>
      </c>
      <c r="B51" s="163" t="s">
        <v>1029</v>
      </c>
      <c r="C51" s="187">
        <v>8000000</v>
      </c>
      <c r="D51" s="187"/>
      <c r="E51" s="162" t="s">
        <v>1030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610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638</v>
      </c>
      <c r="C53" s="187">
        <v>6600000</v>
      </c>
      <c r="D53" s="235" t="s">
        <v>1031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639</v>
      </c>
      <c r="C54" s="187">
        <v>6700000</v>
      </c>
      <c r="D54" s="235" t="s">
        <v>1032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616</v>
      </c>
      <c r="C55" s="187">
        <v>10200000</v>
      </c>
      <c r="D55" s="187"/>
      <c r="E55" s="220" t="s">
        <v>1033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621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674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740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732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673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671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1141</v>
      </c>
      <c r="B62" s="234" t="s">
        <v>1034</v>
      </c>
      <c r="C62" s="187">
        <v>12000000</v>
      </c>
      <c r="D62" s="187"/>
      <c r="E62" s="220" t="s">
        <v>1035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704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707</v>
      </c>
      <c r="C64" s="187">
        <v>9800000</v>
      </c>
      <c r="D64" s="235" t="s">
        <v>1036</v>
      </c>
      <c r="E64" s="220" t="s">
        <v>1037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710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713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725</v>
      </c>
      <c r="C67" s="187">
        <v>9500000</v>
      </c>
      <c r="D67" s="235" t="s">
        <v>1038</v>
      </c>
      <c r="E67" s="220" t="s">
        <v>1039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743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672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670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742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744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745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774</v>
      </c>
      <c r="C74" s="187">
        <v>10500000</v>
      </c>
      <c r="D74" s="187"/>
      <c r="E74" s="220" t="s">
        <v>1008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790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781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794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795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1040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806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838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834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836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976</v>
      </c>
      <c r="C84" s="187">
        <v>6400000</v>
      </c>
      <c r="D84" s="187"/>
      <c r="E84" s="220" t="s">
        <v>1008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811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837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1141</v>
      </c>
      <c r="B87" s="163" t="s">
        <v>394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885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1041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1133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892</v>
      </c>
      <c r="C91" s="187">
        <v>10600000</v>
      </c>
      <c r="D91" s="187"/>
      <c r="E91" s="220" t="s">
        <v>1008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365</v>
      </c>
      <c r="C1" s="223" t="s">
        <v>1052</v>
      </c>
      <c r="D1" s="223" t="s">
        <v>1053</v>
      </c>
      <c r="E1" s="223" t="s">
        <v>1054</v>
      </c>
      <c r="F1" s="223" t="s">
        <v>1085</v>
      </c>
      <c r="G1" s="223" t="s">
        <v>1084</v>
      </c>
      <c r="H1" s="223" t="s">
        <v>1086</v>
      </c>
      <c r="I1" s="223" t="s">
        <v>985</v>
      </c>
      <c r="J1" s="223" t="s">
        <v>986</v>
      </c>
      <c r="K1" s="223" t="s">
        <v>987</v>
      </c>
      <c r="L1" s="223" t="s">
        <v>988</v>
      </c>
      <c r="M1" s="223" t="s">
        <v>989</v>
      </c>
      <c r="N1" s="223" t="s">
        <v>990</v>
      </c>
      <c r="O1" s="223" t="s">
        <v>991</v>
      </c>
      <c r="P1" s="223" t="s">
        <v>992</v>
      </c>
      <c r="Q1" s="223" t="s">
        <v>993</v>
      </c>
      <c r="R1" s="223" t="s">
        <v>1042</v>
      </c>
      <c r="S1" s="223" t="s">
        <v>1043</v>
      </c>
      <c r="T1" s="223" t="s">
        <v>1044</v>
      </c>
      <c r="U1" s="223" t="s">
        <v>1045</v>
      </c>
      <c r="V1" s="223" t="s">
        <v>1046</v>
      </c>
      <c r="W1" s="223" t="s">
        <v>1046</v>
      </c>
      <c r="X1" s="223" t="s">
        <v>1047</v>
      </c>
      <c r="Y1" s="223" t="s">
        <v>1048</v>
      </c>
      <c r="Z1" s="223" t="s">
        <v>1049</v>
      </c>
      <c r="AA1" s="223" t="s">
        <v>1088</v>
      </c>
      <c r="AB1" s="223" t="s">
        <v>1089</v>
      </c>
      <c r="AC1" s="223" t="s">
        <v>1090</v>
      </c>
      <c r="AD1" s="223" t="s">
        <v>1091</v>
      </c>
      <c r="AE1" s="223" t="s">
        <v>1092</v>
      </c>
      <c r="AF1" s="247" t="s">
        <v>1087</v>
      </c>
      <c r="AG1" s="223" t="s">
        <v>53</v>
      </c>
    </row>
    <row r="2" spans="1:33" x14ac:dyDescent="0.3">
      <c r="A2" s="223"/>
      <c r="B2" s="223">
        <f>SUBTOTAL(3,B4:B50)</f>
        <v>9</v>
      </c>
      <c r="C2" s="223">
        <f>SUBTOTAL(3,C4:C50)</f>
        <v>9</v>
      </c>
      <c r="D2" s="223"/>
      <c r="E2" s="223"/>
      <c r="F2" s="223">
        <f t="shared" ref="F2:X2" si="0">SUBTOTAL(3,F4:F50)</f>
        <v>9</v>
      </c>
      <c r="G2" s="223">
        <f t="shared" ref="G2" si="1">SUBTOTAL(3,G4:G50)</f>
        <v>9</v>
      </c>
      <c r="H2" s="223">
        <f t="shared" si="0"/>
        <v>9</v>
      </c>
      <c r="I2" s="223">
        <f t="shared" si="0"/>
        <v>9</v>
      </c>
      <c r="J2" s="223">
        <f t="shared" si="0"/>
        <v>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1141</v>
      </c>
      <c r="B4" s="224" t="s">
        <v>1055</v>
      </c>
      <c r="C4" s="224" t="s">
        <v>1056</v>
      </c>
      <c r="D4" s="224" t="s">
        <v>1057</v>
      </c>
      <c r="E4" s="248" t="s">
        <v>1058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1141</v>
      </c>
    </row>
    <row r="5" spans="1:33" x14ac:dyDescent="0.3">
      <c r="A5" s="224">
        <v>2</v>
      </c>
      <c r="B5" s="224" t="s">
        <v>189</v>
      </c>
      <c r="C5" s="224" t="s">
        <v>1059</v>
      </c>
      <c r="D5" s="224" t="s">
        <v>1060</v>
      </c>
      <c r="E5" s="248" t="s">
        <v>1061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259</v>
      </c>
      <c r="C6" s="224" t="s">
        <v>1062</v>
      </c>
      <c r="D6" s="224" t="s">
        <v>1063</v>
      </c>
      <c r="E6" s="248" t="s">
        <v>1064</v>
      </c>
      <c r="F6" s="225">
        <v>10736000</v>
      </c>
      <c r="G6" s="224" t="s">
        <v>77</v>
      </c>
      <c r="H6" s="248" t="s">
        <v>392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1065</v>
      </c>
      <c r="C7" s="224" t="s">
        <v>1066</v>
      </c>
      <c r="D7" s="224" t="s">
        <v>1067</v>
      </c>
      <c r="E7" s="248" t="s">
        <v>1068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1069</v>
      </c>
      <c r="C8" s="224" t="s">
        <v>382</v>
      </c>
      <c r="D8" s="224" t="s">
        <v>1070</v>
      </c>
      <c r="E8" s="248" t="s">
        <v>1071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1072</v>
      </c>
      <c r="C9" s="224" t="s">
        <v>383</v>
      </c>
      <c r="D9" s="224" t="s">
        <v>1073</v>
      </c>
      <c r="E9" s="248" t="s">
        <v>1071</v>
      </c>
      <c r="F9" s="225">
        <v>11330000</v>
      </c>
      <c r="G9" s="224" t="s">
        <v>77</v>
      </c>
      <c r="H9" s="248" t="s">
        <v>1074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1141</v>
      </c>
      <c r="B10" s="224" t="s">
        <v>1075</v>
      </c>
      <c r="C10" s="224" t="s">
        <v>421</v>
      </c>
      <c r="D10" s="224" t="s">
        <v>1076</v>
      </c>
      <c r="E10" s="248" t="s">
        <v>1077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1141</v>
      </c>
    </row>
    <row r="11" spans="1:33" x14ac:dyDescent="0.3">
      <c r="A11" s="224">
        <v>8</v>
      </c>
      <c r="B11" s="224" t="s">
        <v>315</v>
      </c>
      <c r="C11" s="224" t="s">
        <v>1078</v>
      </c>
      <c r="D11" s="224" t="s">
        <v>1079</v>
      </c>
      <c r="E11" s="248" t="s">
        <v>1080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1081</v>
      </c>
      <c r="D12" s="224" t="s">
        <v>1082</v>
      </c>
      <c r="E12" s="248" t="s">
        <v>1083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5" sqref="H15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3" t="s">
        <v>24</v>
      </c>
      <c r="B1" s="223" t="s">
        <v>365</v>
      </c>
      <c r="C1" s="223" t="s">
        <v>1093</v>
      </c>
      <c r="D1" s="223" t="s">
        <v>1094</v>
      </c>
      <c r="E1" s="223" t="s">
        <v>1054</v>
      </c>
      <c r="F1" s="223" t="s">
        <v>365</v>
      </c>
      <c r="G1" s="223" t="s">
        <v>1095</v>
      </c>
      <c r="H1" s="223" t="s">
        <v>1128</v>
      </c>
      <c r="I1" s="223" t="s">
        <v>1096</v>
      </c>
      <c r="J1" s="223" t="s">
        <v>1097</v>
      </c>
      <c r="K1" s="223" t="s">
        <v>985</v>
      </c>
      <c r="L1" s="223" t="s">
        <v>986</v>
      </c>
      <c r="M1" s="223" t="s">
        <v>987</v>
      </c>
      <c r="N1" s="223" t="s">
        <v>988</v>
      </c>
      <c r="O1" s="223" t="s">
        <v>989</v>
      </c>
      <c r="P1" s="223" t="s">
        <v>990</v>
      </c>
      <c r="Q1" s="223" t="s">
        <v>990</v>
      </c>
      <c r="R1" s="223" t="s">
        <v>990</v>
      </c>
      <c r="S1" s="223" t="s">
        <v>991</v>
      </c>
      <c r="T1" s="223" t="s">
        <v>991</v>
      </c>
      <c r="U1" s="223" t="s">
        <v>992</v>
      </c>
      <c r="V1" s="223" t="s">
        <v>993</v>
      </c>
      <c r="W1" s="223" t="s">
        <v>1042</v>
      </c>
      <c r="X1" s="223" t="s">
        <v>1043</v>
      </c>
      <c r="Y1" s="252" t="s">
        <v>1098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7">
        <f>SUBTOTAL(9,Y4:Y49)</f>
        <v>347220000</v>
      </c>
    </row>
    <row r="3" spans="1:25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5" x14ac:dyDescent="0.3">
      <c r="A4" s="224">
        <v>1</v>
      </c>
      <c r="B4" s="41" t="s">
        <v>256</v>
      </c>
      <c r="C4" s="224" t="s">
        <v>1099</v>
      </c>
      <c r="D4" s="41" t="s">
        <v>1100</v>
      </c>
      <c r="E4" s="253" t="s">
        <v>1101</v>
      </c>
      <c r="F4" s="224" t="s">
        <v>1099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</row>
    <row r="5" spans="1:25" ht="27.6" x14ac:dyDescent="0.3">
      <c r="A5" s="224">
        <v>2</v>
      </c>
      <c r="B5" s="41" t="s">
        <v>14</v>
      </c>
      <c r="C5" s="224" t="s">
        <v>18</v>
      </c>
      <c r="D5" s="41" t="s">
        <v>1102</v>
      </c>
      <c r="E5" s="253" t="s">
        <v>1103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</row>
    <row r="6" spans="1:25" ht="41.4" x14ac:dyDescent="0.3">
      <c r="A6" s="224">
        <v>3</v>
      </c>
      <c r="B6" s="41" t="s">
        <v>430</v>
      </c>
      <c r="C6" s="224" t="s">
        <v>1104</v>
      </c>
      <c r="D6" s="41" t="s">
        <v>1105</v>
      </c>
      <c r="E6" s="41" t="s">
        <v>1106</v>
      </c>
      <c r="F6" s="224" t="s">
        <v>1107</v>
      </c>
      <c r="G6" s="41" t="s">
        <v>1104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</row>
    <row r="7" spans="1:25" ht="27.6" x14ac:dyDescent="0.3">
      <c r="A7" s="224">
        <v>4</v>
      </c>
      <c r="B7" s="41" t="s">
        <v>486</v>
      </c>
      <c r="C7" s="224" t="s">
        <v>1108</v>
      </c>
      <c r="D7" s="41" t="s">
        <v>1109</v>
      </c>
      <c r="E7" s="253" t="s">
        <v>1110</v>
      </c>
      <c r="F7" s="224" t="s">
        <v>1111</v>
      </c>
      <c r="G7" s="41" t="s">
        <v>1108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</row>
    <row r="8" spans="1:25" ht="27.6" x14ac:dyDescent="0.3">
      <c r="A8" s="224">
        <v>5</v>
      </c>
      <c r="B8" s="41" t="s">
        <v>1112</v>
      </c>
      <c r="C8" s="224" t="s">
        <v>1113</v>
      </c>
      <c r="D8" s="41" t="s">
        <v>1114</v>
      </c>
      <c r="E8" s="253" t="s">
        <v>1115</v>
      </c>
      <c r="F8" s="224" t="s">
        <v>1113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2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12" si="14">EDATE(T8,6)</f>
        <v>47635</v>
      </c>
      <c r="V8" s="249">
        <f t="shared" ref="V8:V12" si="15">EDATE(U8,6)</f>
        <v>47818</v>
      </c>
      <c r="W8" s="249">
        <f t="shared" ref="W8:W12" si="16">EDATE(V8,6)</f>
        <v>48000</v>
      </c>
      <c r="X8" s="249">
        <f t="shared" ref="X8:X12" si="17">EDATE(W8,6)</f>
        <v>48183</v>
      </c>
      <c r="Y8" s="227">
        <f>H8*6</f>
        <v>40920000.000000007</v>
      </c>
    </row>
    <row r="9" spans="1:25" ht="27.6" x14ac:dyDescent="0.3">
      <c r="A9" s="224">
        <v>6</v>
      </c>
      <c r="B9" s="41" t="s">
        <v>253</v>
      </c>
      <c r="C9" s="224" t="s">
        <v>1116</v>
      </c>
      <c r="D9" s="41" t="s">
        <v>1117</v>
      </c>
      <c r="E9" s="253" t="s">
        <v>1118</v>
      </c>
      <c r="F9" s="224" t="s">
        <v>1119</v>
      </c>
      <c r="G9" s="41" t="s">
        <v>1116</v>
      </c>
      <c r="H9" s="254">
        <v>7000000</v>
      </c>
      <c r="I9" s="224">
        <v>6</v>
      </c>
      <c r="J9" s="249">
        <v>45915</v>
      </c>
      <c r="K9" s="250">
        <v>46113</v>
      </c>
      <c r="L9" s="226">
        <f t="shared" si="13"/>
        <v>46296</v>
      </c>
      <c r="M9" s="226">
        <f t="shared" si="13"/>
        <v>46478</v>
      </c>
      <c r="N9" s="226">
        <f t="shared" si="13"/>
        <v>46661</v>
      </c>
      <c r="O9" s="226">
        <f t="shared" si="13"/>
        <v>46844</v>
      </c>
      <c r="P9" s="226">
        <f t="shared" si="13"/>
        <v>47027</v>
      </c>
      <c r="Q9" s="226">
        <f t="shared" si="13"/>
        <v>47209</v>
      </c>
      <c r="R9" s="226">
        <f t="shared" si="13"/>
        <v>47392</v>
      </c>
      <c r="S9" s="226">
        <f t="shared" si="13"/>
        <v>47574</v>
      </c>
      <c r="T9" s="226">
        <f t="shared" si="13"/>
        <v>47757</v>
      </c>
      <c r="U9" s="226">
        <f t="shared" si="14"/>
        <v>47939</v>
      </c>
      <c r="V9" s="226">
        <f t="shared" si="15"/>
        <v>48122</v>
      </c>
      <c r="W9" s="226">
        <f t="shared" si="16"/>
        <v>48305</v>
      </c>
      <c r="X9" s="226">
        <f t="shared" si="17"/>
        <v>48488</v>
      </c>
      <c r="Y9" s="227">
        <f t="shared" ref="Y9:Y12" si="18">H9*6</f>
        <v>42000000</v>
      </c>
    </row>
    <row r="10" spans="1:25" ht="27.6" x14ac:dyDescent="0.3">
      <c r="A10" s="224">
        <v>7</v>
      </c>
      <c r="B10" s="41" t="s">
        <v>707</v>
      </c>
      <c r="C10" s="224" t="s">
        <v>1120</v>
      </c>
      <c r="D10" s="41" t="s">
        <v>1121</v>
      </c>
      <c r="E10" s="253" t="s">
        <v>1122</v>
      </c>
      <c r="F10" s="224"/>
      <c r="G10" s="41" t="s">
        <v>1120</v>
      </c>
      <c r="H10" s="254">
        <v>8000000</v>
      </c>
      <c r="I10" s="224">
        <v>6</v>
      </c>
      <c r="J10" s="249"/>
      <c r="K10" s="249">
        <v>46023</v>
      </c>
      <c r="L10" s="226">
        <f t="shared" si="13"/>
        <v>46204</v>
      </c>
      <c r="M10" s="226">
        <f t="shared" si="13"/>
        <v>46388</v>
      </c>
      <c r="N10" s="226">
        <f t="shared" si="13"/>
        <v>46569</v>
      </c>
      <c r="O10" s="226">
        <f t="shared" si="13"/>
        <v>46753</v>
      </c>
      <c r="P10" s="226">
        <f t="shared" si="13"/>
        <v>46935</v>
      </c>
      <c r="Q10" s="226">
        <f t="shared" si="13"/>
        <v>47119</v>
      </c>
      <c r="R10" s="226">
        <f t="shared" si="13"/>
        <v>47300</v>
      </c>
      <c r="S10" s="226">
        <f t="shared" si="13"/>
        <v>47484</v>
      </c>
      <c r="T10" s="226">
        <f t="shared" si="13"/>
        <v>47665</v>
      </c>
      <c r="U10" s="226">
        <f t="shared" si="14"/>
        <v>47849</v>
      </c>
      <c r="V10" s="226">
        <f t="shared" si="15"/>
        <v>48030</v>
      </c>
      <c r="W10" s="226">
        <f t="shared" si="16"/>
        <v>48214</v>
      </c>
      <c r="X10" s="226">
        <f t="shared" si="17"/>
        <v>48396</v>
      </c>
      <c r="Y10" s="227">
        <f t="shared" si="18"/>
        <v>48000000</v>
      </c>
    </row>
    <row r="11" spans="1:25" ht="27.6" x14ac:dyDescent="0.3">
      <c r="A11" s="224">
        <v>8</v>
      </c>
      <c r="B11" s="41" t="s">
        <v>1123</v>
      </c>
      <c r="C11" s="224" t="s">
        <v>1124</v>
      </c>
      <c r="D11" s="41" t="s">
        <v>1125</v>
      </c>
      <c r="E11" s="253" t="s">
        <v>1122</v>
      </c>
      <c r="F11" s="224"/>
      <c r="G11" s="41" t="s">
        <v>1124</v>
      </c>
      <c r="H11" s="254">
        <v>7400000</v>
      </c>
      <c r="I11" s="224">
        <v>6</v>
      </c>
      <c r="J11" s="249"/>
      <c r="K11" s="249">
        <v>46023</v>
      </c>
      <c r="L11" s="226">
        <f t="shared" si="13"/>
        <v>46204</v>
      </c>
      <c r="M11" s="226">
        <f t="shared" si="13"/>
        <v>46388</v>
      </c>
      <c r="N11" s="226">
        <f t="shared" si="13"/>
        <v>46569</v>
      </c>
      <c r="O11" s="226">
        <f t="shared" si="13"/>
        <v>46753</v>
      </c>
      <c r="P11" s="226">
        <f t="shared" si="13"/>
        <v>46935</v>
      </c>
      <c r="Q11" s="226">
        <f t="shared" si="13"/>
        <v>47119</v>
      </c>
      <c r="R11" s="226">
        <f t="shared" si="13"/>
        <v>47300</v>
      </c>
      <c r="S11" s="226">
        <f t="shared" si="13"/>
        <v>47484</v>
      </c>
      <c r="T11" s="226">
        <f t="shared" si="13"/>
        <v>47665</v>
      </c>
      <c r="U11" s="226">
        <f t="shared" si="14"/>
        <v>47849</v>
      </c>
      <c r="V11" s="226">
        <f t="shared" si="15"/>
        <v>48030</v>
      </c>
      <c r="W11" s="226">
        <f t="shared" si="16"/>
        <v>48214</v>
      </c>
      <c r="X11" s="226">
        <f t="shared" si="17"/>
        <v>48396</v>
      </c>
      <c r="Y11" s="227">
        <f t="shared" si="18"/>
        <v>44400000</v>
      </c>
    </row>
    <row r="12" spans="1:25" ht="27.6" x14ac:dyDescent="0.3">
      <c r="A12" s="224">
        <v>9</v>
      </c>
      <c r="B12" s="41" t="s">
        <v>417</v>
      </c>
      <c r="C12" s="224" t="s">
        <v>1126</v>
      </c>
      <c r="D12" s="41" t="s">
        <v>1127</v>
      </c>
      <c r="E12" s="253" t="s">
        <v>1122</v>
      </c>
      <c r="F12" s="224"/>
      <c r="G12" s="41" t="s">
        <v>1126</v>
      </c>
      <c r="H12" s="254">
        <v>6400000</v>
      </c>
      <c r="I12" s="224">
        <v>6</v>
      </c>
      <c r="J12" s="249"/>
      <c r="K12" s="249">
        <v>46023</v>
      </c>
      <c r="L12" s="226">
        <f t="shared" si="13"/>
        <v>46204</v>
      </c>
      <c r="M12" s="226">
        <f t="shared" si="13"/>
        <v>46388</v>
      </c>
      <c r="N12" s="226">
        <f t="shared" si="13"/>
        <v>46569</v>
      </c>
      <c r="O12" s="226">
        <f t="shared" si="13"/>
        <v>46753</v>
      </c>
      <c r="P12" s="226">
        <f t="shared" si="13"/>
        <v>46935</v>
      </c>
      <c r="Q12" s="226">
        <f t="shared" si="13"/>
        <v>47119</v>
      </c>
      <c r="R12" s="226">
        <f t="shared" si="13"/>
        <v>47300</v>
      </c>
      <c r="S12" s="226">
        <f t="shared" si="13"/>
        <v>47484</v>
      </c>
      <c r="T12" s="226">
        <f t="shared" si="13"/>
        <v>47665</v>
      </c>
      <c r="U12" s="226">
        <f t="shared" si="14"/>
        <v>47849</v>
      </c>
      <c r="V12" s="226">
        <f t="shared" si="15"/>
        <v>48030</v>
      </c>
      <c r="W12" s="226">
        <f t="shared" si="16"/>
        <v>48214</v>
      </c>
      <c r="X12" s="226">
        <f t="shared" si="17"/>
        <v>48396</v>
      </c>
      <c r="Y12" s="227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242</v>
      </c>
      <c r="B1" s="255" t="s">
        <v>365</v>
      </c>
      <c r="C1" s="256" t="s">
        <v>1156</v>
      </c>
      <c r="D1" s="256" t="s">
        <v>1142</v>
      </c>
      <c r="E1" s="257" t="s">
        <v>1143</v>
      </c>
      <c r="F1" s="257" t="s">
        <v>1144</v>
      </c>
      <c r="G1" s="258" t="s">
        <v>1157</v>
      </c>
      <c r="H1" s="257" t="s">
        <v>1145</v>
      </c>
      <c r="I1" s="257" t="s">
        <v>1146</v>
      </c>
      <c r="J1" s="257" t="s">
        <v>1158</v>
      </c>
      <c r="K1" s="255" t="s">
        <v>1147</v>
      </c>
      <c r="L1" s="255" t="s">
        <v>1148</v>
      </c>
      <c r="M1" s="255" t="s">
        <v>1149</v>
      </c>
      <c r="N1" s="255" t="s">
        <v>1150</v>
      </c>
      <c r="O1" s="255" t="s">
        <v>1151</v>
      </c>
      <c r="P1" s="255" t="s">
        <v>1152</v>
      </c>
      <c r="Q1" s="259" t="s">
        <v>1159</v>
      </c>
      <c r="R1" s="255" t="s">
        <v>1153</v>
      </c>
    </row>
    <row r="2" spans="1:18" x14ac:dyDescent="0.3">
      <c r="A2" s="255"/>
      <c r="B2" s="255" t="s">
        <v>1154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975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256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259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417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289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315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346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643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402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1155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422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428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430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342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451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457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463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469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480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495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494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486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543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552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571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572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573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574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570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616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621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610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638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639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670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671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672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673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674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704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707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710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713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725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725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732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742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743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744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745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740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609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774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781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790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794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795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253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806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817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818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819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820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821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822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823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824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825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826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827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828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834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836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838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976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811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837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521</v>
      </c>
      <c r="F1" s="130" t="s">
        <v>519</v>
      </c>
    </row>
    <row r="2" spans="1:6" ht="15.6" x14ac:dyDescent="0.3">
      <c r="A2" s="126">
        <v>1</v>
      </c>
      <c r="B2" s="128" t="s">
        <v>524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523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522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525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526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518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527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520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528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536</v>
      </c>
      <c r="F1" s="130" t="s">
        <v>519</v>
      </c>
    </row>
    <row r="2" spans="1:6" ht="15.6" x14ac:dyDescent="0.3">
      <c r="A2" s="126">
        <v>1</v>
      </c>
      <c r="B2" s="128" t="s">
        <v>530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531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533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525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535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532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520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528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542</v>
      </c>
      <c r="D1" s="126" t="s">
        <v>541</v>
      </c>
      <c r="E1" s="132" t="s">
        <v>540</v>
      </c>
    </row>
    <row r="2" spans="1:5" ht="15.6" x14ac:dyDescent="0.3">
      <c r="A2" s="126">
        <v>1</v>
      </c>
      <c r="B2" s="128" t="s">
        <v>531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537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526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538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539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551</v>
      </c>
    </row>
    <row r="2" spans="1:5" ht="15.6" x14ac:dyDescent="0.3">
      <c r="A2" s="126">
        <v>1</v>
      </c>
      <c r="B2" s="128" t="s">
        <v>548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549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531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550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532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551</v>
      </c>
      <c r="F1" s="126" t="s">
        <v>53</v>
      </c>
    </row>
    <row r="2" spans="1:6" ht="15.6" x14ac:dyDescent="0.3">
      <c r="A2" s="126">
        <v>1</v>
      </c>
      <c r="B2" s="128" t="s">
        <v>567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566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531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565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569</v>
      </c>
      <c r="C6" s="127"/>
      <c r="D6" s="138">
        <v>0</v>
      </c>
      <c r="E6" s="126"/>
      <c r="F6" s="132" t="s">
        <v>568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9" t="s">
        <v>605</v>
      </c>
      <c r="F1" s="126" t="s">
        <v>53</v>
      </c>
    </row>
    <row r="2" spans="1:6" ht="15.6" x14ac:dyDescent="0.3">
      <c r="A2" s="126">
        <v>1</v>
      </c>
      <c r="B2" s="128" t="s">
        <v>603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602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607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604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608</v>
      </c>
      <c r="C6" s="127"/>
      <c r="D6" s="138">
        <v>0</v>
      </c>
      <c r="E6" s="126"/>
      <c r="F6" s="132" t="s">
        <v>606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9" t="s">
        <v>605</v>
      </c>
      <c r="F1" s="126" t="s">
        <v>53</v>
      </c>
    </row>
    <row r="2" spans="1:6" ht="15.6" x14ac:dyDescent="0.3">
      <c r="A2" s="126">
        <v>1</v>
      </c>
      <c r="B2" s="128" t="s">
        <v>611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615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612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613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614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646</v>
      </c>
      <c r="F1" s="126" t="s">
        <v>53</v>
      </c>
    </row>
    <row r="2" spans="1:6" ht="15.6" x14ac:dyDescent="0.3">
      <c r="A2" s="126">
        <v>1</v>
      </c>
      <c r="B2" s="128" t="s">
        <v>648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649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650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657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645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644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539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658</v>
      </c>
      <c r="C1" s="145" t="s">
        <v>663</v>
      </c>
      <c r="D1" s="145" t="s">
        <v>659</v>
      </c>
      <c r="E1" s="145" t="s">
        <v>660</v>
      </c>
      <c r="F1" s="145" t="s">
        <v>665</v>
      </c>
    </row>
    <row r="2" spans="1:10" x14ac:dyDescent="0.35">
      <c r="A2" s="146">
        <v>1</v>
      </c>
      <c r="B2" s="146" t="s">
        <v>661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662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664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67" t="s">
        <v>665</v>
      </c>
      <c r="B5" s="268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270</v>
      </c>
      <c r="C2" s="44" t="s">
        <v>202</v>
      </c>
      <c r="D2" s="46"/>
      <c r="E2" s="65" t="s">
        <v>276</v>
      </c>
    </row>
    <row r="3" spans="1:8" ht="26.4" x14ac:dyDescent="0.25">
      <c r="A3" s="44">
        <v>2</v>
      </c>
      <c r="B3" s="46" t="s">
        <v>321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322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269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278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279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272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329</v>
      </c>
      <c r="C10" s="44" t="s">
        <v>205</v>
      </c>
      <c r="D10" s="46" t="s">
        <v>280</v>
      </c>
      <c r="E10" s="65" t="s">
        <v>328</v>
      </c>
      <c r="H10" s="53"/>
    </row>
    <row r="11" spans="1:8" ht="26.4" x14ac:dyDescent="0.25">
      <c r="A11" s="44">
        <v>1</v>
      </c>
      <c r="B11" s="46" t="s">
        <v>281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323</v>
      </c>
      <c r="C12" s="44" t="s">
        <v>201</v>
      </c>
      <c r="D12" s="46" t="s">
        <v>324</v>
      </c>
      <c r="E12" s="65" t="s">
        <v>282</v>
      </c>
    </row>
    <row r="13" spans="1:8" x14ac:dyDescent="0.25">
      <c r="A13" s="44">
        <v>3</v>
      </c>
      <c r="B13" s="46" t="s">
        <v>325</v>
      </c>
      <c r="C13" s="44" t="s">
        <v>201</v>
      </c>
      <c r="D13" s="46" t="s">
        <v>283</v>
      </c>
      <c r="E13" s="65" t="s">
        <v>284</v>
      </c>
    </row>
    <row r="14" spans="1:8" x14ac:dyDescent="0.25">
      <c r="A14" s="44">
        <v>4</v>
      </c>
      <c r="B14" s="46" t="s">
        <v>271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285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286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287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288</v>
      </c>
    </row>
    <row r="21" spans="1:5" x14ac:dyDescent="0.25">
      <c r="A21" s="44">
        <v>7</v>
      </c>
      <c r="B21" s="46" t="s">
        <v>308</v>
      </c>
      <c r="C21" s="44" t="s">
        <v>309</v>
      </c>
      <c r="D21" s="46"/>
      <c r="E21" s="46"/>
    </row>
    <row r="22" spans="1:5" x14ac:dyDescent="0.25">
      <c r="A22" s="44">
        <v>8</v>
      </c>
      <c r="B22" s="46" t="s">
        <v>327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310</v>
      </c>
      <c r="C23" s="81" t="s">
        <v>312</v>
      </c>
      <c r="D23" s="82"/>
      <c r="E23" s="82"/>
    </row>
    <row r="24" spans="1:5" x14ac:dyDescent="0.25">
      <c r="A24" s="44">
        <v>6</v>
      </c>
      <c r="B24" s="46" t="s">
        <v>311</v>
      </c>
      <c r="C24" s="44" t="s">
        <v>320</v>
      </c>
      <c r="D24" s="46"/>
      <c r="E24" s="46"/>
    </row>
    <row r="25" spans="1:5" x14ac:dyDescent="0.25">
      <c r="A25" s="44">
        <v>12</v>
      </c>
      <c r="B25" s="46" t="s">
        <v>313</v>
      </c>
      <c r="C25" s="44" t="s">
        <v>312</v>
      </c>
      <c r="D25" s="46"/>
      <c r="E25" s="46"/>
    </row>
    <row r="26" spans="1:5" ht="26.4" x14ac:dyDescent="0.25">
      <c r="A26" s="44">
        <v>13</v>
      </c>
      <c r="B26" s="46" t="s">
        <v>314</v>
      </c>
      <c r="C26" s="44" t="s">
        <v>312</v>
      </c>
      <c r="D26" s="46"/>
      <c r="E26" s="46"/>
    </row>
    <row r="27" spans="1:5" x14ac:dyDescent="0.25">
      <c r="A27" s="44">
        <v>14</v>
      </c>
      <c r="B27" s="46" t="s">
        <v>319</v>
      </c>
      <c r="C27" s="44" t="s">
        <v>312</v>
      </c>
      <c r="D27" s="46"/>
      <c r="E27" s="46"/>
    </row>
    <row r="28" spans="1:5" x14ac:dyDescent="0.25">
      <c r="A28" s="44">
        <v>9</v>
      </c>
      <c r="B28" s="46" t="s">
        <v>326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234</v>
      </c>
      <c r="C18" s="8" t="s">
        <v>15</v>
      </c>
      <c r="D18" s="8">
        <v>106.651433</v>
      </c>
      <c r="E18" s="8">
        <v>10.897498000000001</v>
      </c>
      <c r="F18" s="8" t="s">
        <v>235</v>
      </c>
      <c r="G18" s="30" t="s">
        <v>134</v>
      </c>
      <c r="H18" s="36" t="s">
        <v>140</v>
      </c>
      <c r="I18" s="30" t="s">
        <v>298</v>
      </c>
      <c r="J18" s="30" t="s">
        <v>176</v>
      </c>
      <c r="K18" s="22"/>
      <c r="L18" s="8" t="s">
        <v>236</v>
      </c>
      <c r="M18" s="8" t="s">
        <v>43</v>
      </c>
      <c r="N18" s="8" t="s">
        <v>58</v>
      </c>
      <c r="O18" s="8"/>
      <c r="P18" s="8"/>
      <c r="Q18" s="8"/>
      <c r="R18" s="21" t="s">
        <v>237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291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303</v>
      </c>
      <c r="M19" s="8" t="s">
        <v>43</v>
      </c>
      <c r="N19" s="8" t="s">
        <v>147</v>
      </c>
      <c r="O19" s="8"/>
      <c r="P19" s="8"/>
      <c r="Q19" s="8"/>
      <c r="R19" s="21" t="s">
        <v>295</v>
      </c>
      <c r="S19" s="22" t="s">
        <v>79</v>
      </c>
      <c r="T19" s="21"/>
      <c r="U19" s="22" t="s">
        <v>305</v>
      </c>
      <c r="V19" s="22" t="s">
        <v>292</v>
      </c>
      <c r="W19" s="22" t="s">
        <v>304</v>
      </c>
      <c r="X19" s="22" t="s">
        <v>293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342</v>
      </c>
      <c r="C20" s="25" t="s">
        <v>15</v>
      </c>
      <c r="D20" s="25">
        <v>106.587734</v>
      </c>
      <c r="E20" s="25">
        <v>10.846996000000001</v>
      </c>
      <c r="F20" s="25" t="s">
        <v>345</v>
      </c>
      <c r="G20" s="2" t="s">
        <v>355</v>
      </c>
      <c r="H20" s="27" t="s">
        <v>134</v>
      </c>
      <c r="I20" s="27" t="s">
        <v>134</v>
      </c>
      <c r="J20" s="24"/>
      <c r="K20" s="27" t="s">
        <v>299</v>
      </c>
      <c r="L20" s="24"/>
      <c r="M20" s="27" t="s">
        <v>299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343</v>
      </c>
      <c r="Y20" s="96">
        <v>6000000</v>
      </c>
      <c r="Z20" s="25" t="s">
        <v>344</v>
      </c>
      <c r="AA20" s="25" t="s">
        <v>336</v>
      </c>
      <c r="AB20" s="25"/>
      <c r="AC20" s="25"/>
      <c r="AD20" s="23" t="s">
        <v>296</v>
      </c>
      <c r="AE20" s="24" t="s">
        <v>77</v>
      </c>
      <c r="AF20" s="23"/>
      <c r="AG20" s="24"/>
      <c r="AH20" s="24"/>
      <c r="AI20" s="24"/>
      <c r="AJ20" s="24" t="s">
        <v>347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441</v>
      </c>
      <c r="C22" s="2" t="e">
        <v>#N/A</v>
      </c>
      <c r="D22" s="2" t="s">
        <v>461</v>
      </c>
      <c r="E22" s="2">
        <v>106.805773</v>
      </c>
      <c r="F22" s="2">
        <v>10.58525</v>
      </c>
      <c r="G22" s="2" t="s">
        <v>442</v>
      </c>
      <c r="H22" s="34" t="s">
        <v>443</v>
      </c>
      <c r="I22" s="48" t="s">
        <v>443</v>
      </c>
      <c r="J22" s="34" t="s">
        <v>140</v>
      </c>
      <c r="K22" s="97">
        <v>44762</v>
      </c>
      <c r="L22" s="27" t="s">
        <v>420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444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445</v>
      </c>
      <c r="AF22" s="111" t="s">
        <v>77</v>
      </c>
      <c r="AG22" s="118"/>
      <c r="AH22" s="119" t="s">
        <v>446</v>
      </c>
      <c r="AI22" s="117" t="s">
        <v>447</v>
      </c>
      <c r="AJ22" s="110" t="s">
        <v>400</v>
      </c>
      <c r="AK22" s="2" t="s">
        <v>448</v>
      </c>
      <c r="AL22" s="8">
        <v>0</v>
      </c>
      <c r="AM22" s="2">
        <v>30</v>
      </c>
      <c r="AN22" s="48"/>
      <c r="AO22" t="s">
        <v>767</v>
      </c>
      <c r="AP22" s="120"/>
    </row>
    <row r="23" spans="1:42" s="121" customFormat="1" ht="48" x14ac:dyDescent="0.3">
      <c r="A23" s="4">
        <v>39</v>
      </c>
      <c r="B23" s="2" t="s">
        <v>489</v>
      </c>
      <c r="C23" s="2" t="e">
        <v>#N/A</v>
      </c>
      <c r="D23" s="2" t="s">
        <v>470</v>
      </c>
      <c r="E23" s="2">
        <v>106.620645</v>
      </c>
      <c r="F23" s="2">
        <v>10.786562999999999</v>
      </c>
      <c r="G23" s="2" t="s">
        <v>490</v>
      </c>
      <c r="H23" s="34" t="s">
        <v>140</v>
      </c>
      <c r="I23" s="27" t="s">
        <v>134</v>
      </c>
      <c r="J23" s="27" t="s">
        <v>134</v>
      </c>
      <c r="K23" s="123" t="s">
        <v>511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491</v>
      </c>
      <c r="AI23" s="117" t="s">
        <v>492</v>
      </c>
      <c r="AJ23" s="110" t="s">
        <v>194</v>
      </c>
      <c r="AK23" s="2" t="s">
        <v>493</v>
      </c>
      <c r="AL23" s="2">
        <v>14</v>
      </c>
      <c r="AM23" s="2">
        <v>12</v>
      </c>
      <c r="AN23" s="48"/>
      <c r="AO23" t="s">
        <v>767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277</v>
      </c>
      <c r="F2" s="49" t="s">
        <v>273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69" t="s">
        <v>268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70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70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277</v>
      </c>
      <c r="F6" s="270"/>
    </row>
    <row r="7" spans="2:10" x14ac:dyDescent="0.3">
      <c r="B7" s="75">
        <v>6</v>
      </c>
      <c r="C7" s="75" t="s">
        <v>265</v>
      </c>
      <c r="D7" s="76">
        <f>3*6000000</f>
        <v>18000000</v>
      </c>
      <c r="E7" s="76"/>
      <c r="F7" s="270"/>
    </row>
    <row r="8" spans="2:10" x14ac:dyDescent="0.3">
      <c r="B8" s="70">
        <v>7</v>
      </c>
      <c r="C8" s="70" t="s">
        <v>266</v>
      </c>
      <c r="D8" s="71">
        <v>5000000</v>
      </c>
      <c r="E8" s="71" t="s">
        <v>277</v>
      </c>
      <c r="F8" s="270"/>
    </row>
    <row r="9" spans="2:10" x14ac:dyDescent="0.3">
      <c r="B9" s="70">
        <v>8</v>
      </c>
      <c r="C9" s="70" t="s">
        <v>275</v>
      </c>
      <c r="D9" s="71">
        <v>6620000</v>
      </c>
      <c r="E9" s="71" t="s">
        <v>277</v>
      </c>
      <c r="F9" s="270"/>
    </row>
    <row r="10" spans="2:10" x14ac:dyDescent="0.3">
      <c r="B10" s="70">
        <v>9</v>
      </c>
      <c r="C10" s="70" t="s">
        <v>274</v>
      </c>
      <c r="D10" s="71">
        <v>1250000</v>
      </c>
      <c r="E10" s="71" t="s">
        <v>277</v>
      </c>
      <c r="F10" s="270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70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70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71"/>
    </row>
    <row r="14" spans="2:10" hidden="1" x14ac:dyDescent="0.3">
      <c r="B14" s="60"/>
      <c r="C14" s="62" t="s">
        <v>267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242</v>
      </c>
      <c r="B1" s="48" t="s">
        <v>243</v>
      </c>
      <c r="C1" s="48" t="s">
        <v>244</v>
      </c>
      <c r="D1" s="48" t="s">
        <v>245</v>
      </c>
      <c r="E1" s="50" t="s">
        <v>246</v>
      </c>
      <c r="F1" s="50" t="s">
        <v>247</v>
      </c>
      <c r="G1" s="50" t="s">
        <v>53</v>
      </c>
      <c r="H1" s="48" t="s">
        <v>261</v>
      </c>
      <c r="I1" s="48" t="s">
        <v>262</v>
      </c>
    </row>
    <row r="2" spans="1:9" ht="43.2" x14ac:dyDescent="0.3">
      <c r="A2" s="48">
        <v>1</v>
      </c>
      <c r="B2" s="48" t="s">
        <v>14</v>
      </c>
      <c r="C2" s="48" t="s">
        <v>248</v>
      </c>
      <c r="D2" s="48" t="s">
        <v>249</v>
      </c>
      <c r="E2" s="51">
        <v>97186343.887759268</v>
      </c>
      <c r="F2" s="51">
        <v>97186343.887759268</v>
      </c>
      <c r="G2" s="50" t="s">
        <v>263</v>
      </c>
      <c r="H2" s="48" t="s">
        <v>264</v>
      </c>
      <c r="I2" s="48" t="s">
        <v>264</v>
      </c>
    </row>
    <row r="3" spans="1:9" ht="43.2" x14ac:dyDescent="0.3">
      <c r="A3" s="48">
        <v>2</v>
      </c>
      <c r="B3" s="48" t="s">
        <v>19</v>
      </c>
      <c r="C3" s="48" t="s">
        <v>250</v>
      </c>
      <c r="D3" s="48" t="s">
        <v>251</v>
      </c>
      <c r="E3" s="51">
        <v>119976179.789873</v>
      </c>
      <c r="F3" s="51">
        <v>119976179.789873</v>
      </c>
      <c r="G3" s="50" t="s">
        <v>263</v>
      </c>
      <c r="H3" s="48" t="s">
        <v>264</v>
      </c>
      <c r="I3" s="48" t="s">
        <v>264</v>
      </c>
    </row>
    <row r="4" spans="1:9" x14ac:dyDescent="0.3">
      <c r="A4" s="48">
        <v>3</v>
      </c>
      <c r="B4" s="48" t="s">
        <v>29</v>
      </c>
      <c r="C4" s="48" t="s">
        <v>252</v>
      </c>
      <c r="D4" s="48" t="s">
        <v>249</v>
      </c>
      <c r="E4" s="51">
        <v>81643720</v>
      </c>
      <c r="F4" s="51">
        <v>86661720</v>
      </c>
      <c r="G4" s="50"/>
      <c r="H4" s="48" t="s">
        <v>264</v>
      </c>
      <c r="I4" s="48"/>
    </row>
    <row r="5" spans="1:9" x14ac:dyDescent="0.3">
      <c r="A5" s="48">
        <v>4</v>
      </c>
      <c r="B5" s="48" t="s">
        <v>253</v>
      </c>
      <c r="C5" s="48" t="s">
        <v>254</v>
      </c>
      <c r="D5" s="48" t="s">
        <v>255</v>
      </c>
      <c r="E5" s="51">
        <v>181765190</v>
      </c>
      <c r="F5" s="51">
        <v>183610190</v>
      </c>
      <c r="G5" s="50"/>
      <c r="H5" s="48" t="s">
        <v>264</v>
      </c>
      <c r="I5" s="48"/>
    </row>
    <row r="6" spans="1:9" x14ac:dyDescent="0.3">
      <c r="A6" s="48">
        <v>5</v>
      </c>
      <c r="B6" s="48" t="s">
        <v>256</v>
      </c>
      <c r="C6" s="48" t="s">
        <v>257</v>
      </c>
      <c r="D6" s="48" t="s">
        <v>258</v>
      </c>
      <c r="E6" s="51">
        <v>182845575</v>
      </c>
      <c r="F6" s="51">
        <v>185170575</v>
      </c>
      <c r="G6" s="50"/>
      <c r="H6" s="48" t="s">
        <v>264</v>
      </c>
      <c r="I6" s="48" t="s">
        <v>264</v>
      </c>
    </row>
    <row r="7" spans="1:9" x14ac:dyDescent="0.3">
      <c r="A7" s="48">
        <v>6</v>
      </c>
      <c r="B7" s="48" t="s">
        <v>259</v>
      </c>
      <c r="C7" s="48" t="s">
        <v>260</v>
      </c>
      <c r="D7" s="48" t="s">
        <v>258</v>
      </c>
      <c r="E7" s="51">
        <v>94620010</v>
      </c>
      <c r="F7" s="51">
        <v>96905010</v>
      </c>
      <c r="G7" s="50"/>
      <c r="H7" s="48" t="s">
        <v>264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2" t="s">
        <v>1</v>
      </c>
      <c r="M1" s="272"/>
      <c r="N1" s="272"/>
      <c r="O1" s="272"/>
      <c r="P1" s="272"/>
      <c r="Q1" s="273" t="s">
        <v>2</v>
      </c>
      <c r="R1" s="273"/>
      <c r="S1" s="273"/>
      <c r="T1" s="273"/>
      <c r="U1" s="27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2026-06-28T20:29:31Z</dcterms:modified>
</cp:coreProperties>
</file>