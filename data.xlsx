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F9681ED5-38F2-43D5-BE75-D597D075FB48}" xr6:coauthVersionLast="47" xr6:coauthVersionMax="47" xr10:uidLastSave="{00000000-0000-0000-0000-000000000000}"/>
  <bookViews>
    <workbookView xWindow="-108" yWindow="-108" windowWidth="23256" windowHeight="12456" tabRatio="822" activeTab="1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9" i="24" l="1"/>
  <c r="L18" i="2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R69" i="24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<sst xmlns="http://schemas.openxmlformats.org/spreadsheetml/2006/main" count="3380" uniqueCount="1251">
  <si>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</si>
  <si>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</si>
  <si>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</si>
  <si>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</si>
  <si>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</si>
  <si>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</si>
  <si>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</si>
  <si>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</si>
  <si>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</si>
  <si>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</si>
  <si>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</si>
  <si>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</si>
  <si>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</si>
  <si>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</si>
  <si>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</si>
  <si>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</si>
  <si>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</si>
  <si>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</si>
  <si>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</si>
  <si>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</si>
  <si>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</si>
  <si>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</si>
  <si>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</si>
  <si>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</si>
  <si>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</si>
  <si>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</si>
  <si>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</si>
  <si>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</si>
  <si>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</si>
  <si>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</si>
  <si>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</si>
  <si>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</si>
  <si>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</si>
  <si>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</si>
  <si>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</si>
  <si>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</si>
  <si>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</si>
  <si>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</si>
  <si>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</si>
  <si>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</si>
  <si>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</si>
  <si>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</si>
  <si>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</si>
  <si>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</si>
  <si>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</si>
  <si>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</si>
  <si>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</si>
  <si>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</si>
  <si>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</si>
  <si>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</si>
  <si>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</si>
  <si>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</si>
  <si>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</si>
  <si>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</si>
  <si>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</si>
  <si>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</si>
  <si>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</si>
  <si>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</si>
  <si>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</si>
  <si>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</si>
  <si>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</si>
  <si>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</si>
  <si>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</si>
  <si>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</si>
  <si>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</si>
  <si>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</si>
  <si>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</si>
  <si>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</si>
  <si>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</si>
  <si>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</si>
  <si>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</si>
  <si>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</si>
  <si>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</si>
  <si>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</si>
  <si>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</si>
  <si>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</si>
  <si>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</si>
  <si>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</si>
  <si>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</si>
  <si>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</si>
  <si>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</si>
  <si>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</si>
  <si>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</si>
  <si>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</si>
  <si>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</si>
  <si>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</si>
  <si>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</si>
  <si>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</si>
  <si>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</si>
  <si>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</si>
  <si>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</si>
  <si>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</si>
  <si>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</si>
  <si>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</si>
  <si>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</si>
  <si>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</si>
  <si>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</si>
  <si>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</si>
  <si>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</si>
  <si>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</si>
  <si>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</si>
  <si>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</si>
  <si>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</si>
  <si>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</si>
  <si>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</si>
  <si>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</si>
  <si>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</si>
  <si>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</si>
  <si>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</si>
  <si>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</si>
  <si>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</si>
  <si>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</si>
  <si>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</si>
  <si>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</si>
  <si>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</si>
  <si>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</si>
  <si>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</si>
  <si>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</si>
  <si>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</si>
  <si>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</si>
  <si>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</si>
  <si>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</si>
  <si>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</si>
  <si>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</si>
  <si>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</si>
  <si>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</si>
  <si>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</si>
  <si>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</si>
  <si>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</si>
  <si>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</si>
  <si>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</si>
  <si>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</si>
  <si>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</si>
  <si>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</si>
  <si>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</si>
  <si>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</si>
  <si>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</si>
  <si>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</si>
  <si>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</si>
  <si>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</si>
  <si>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</si>
  <si>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</si>
  <si>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</si>
  <si>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</si>
  <si>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</si>
  <si>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</si>
  <si>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</si>
  <si>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</si>
  <si>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</si>
  <si>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</si>
  <si>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</si>
  <si>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</si>
  <si>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</si>
  <si>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</si>
  <si>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</si>
  <si>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</si>
  <si>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</si>
  <si>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</si>
  <si>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</si>
  <si>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</si>
  <si>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</si>
  <si>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</si>
  <si>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</si>
  <si>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</si>
  <si>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</si>
  <si>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</si>
  <si>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</si>
  <si>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</si>
  <si>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</si>
  <si>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</si>
  <si>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</si>
  <si>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</si>
  <si>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</si>
  <si>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</si>
  <si>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</si>
  <si>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</si>
  <si>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</si>
  <si>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</si>
  <si>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</si>
  <si>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</si>
  <si>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</si>
  <si>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</si>
  <si>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</si>
  <si>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</si>
  <si>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</si>
  <si>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</si>
  <si>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</si>
  <si>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</si>
  <si>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</si>
  <si>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</si>
  <si>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</si>
  <si>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</si>
  <si>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</si>
  <si>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</si>
  <si>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</si>
  <si>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</si>
  <si>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</si>
  <si>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</si>
  <si>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</si>
  <si>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</si>
  <si>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</si>
  <si>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</si>
  <si>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</si>
  <si>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</si>
  <si>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</si>
  <si>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</si>
  <si>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</si>
  <si>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</si>
  <si>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</si>
  <si>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</si>
  <si>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</si>
  <si>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</si>
  <si>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</si>
  <si>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</si>
  <si>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</si>
  <si>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</si>
  <si>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</si>
  <si>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</si>
  <si>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</si>
  <si>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</si>
  <si>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</si>
  <si>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</si>
  <si>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</si>
  <si>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</si>
  <si>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</si>
  <si>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</si>
  <si>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</si>
  <si>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</si>
  <si>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</si>
  <si>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</si>
  <si>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</si>
  <si>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</si>
  <si>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</si>
  <si>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</si>
  <si>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</si>
  <si>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</si>
  <si>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</si>
  <si>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</si>
  <si>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</si>
  <si>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</si>
  <si>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</si>
  <si>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</si>
  <si>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</si>
  <si>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</si>
  <si>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</si>
  <si>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</si>
  <si>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</si>
  <si>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</si>
  <si>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</si>
  <si>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</si>
  <si>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</si>
  <si>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</si>
  <si>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</si>
  <si>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</si>
  <si>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</si>
  <si>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</si>
  <si>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</si>
  <si>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</si>
  <si>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</si>
  <si>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</si>
  <si>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</si>
  <si>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</si>
  <si>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</si>
  <si>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</si>
  <si>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</si>
  <si>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</si>
  <si>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</si>
  <si>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</si>
  <si>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</si>
  <si>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</si>
  <si>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</si>
  <si>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</si>
  <si>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</si>
  <si>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</si>
  <si>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</si>
  <si>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</si>
  <si>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</si>
  <si>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</si>
  <si>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</si>
  <si>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</si>
  <si>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</si>
  <si>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</si>
  <si>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</si>
  <si>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</si>
  <si>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</si>
  <si>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</si>
  <si>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</si>
  <si>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</si>
  <si>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</si>
  <si>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</si>
  <si>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</si>
  <si>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</si>
  <si>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</si>
  <si>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</si>
  <si>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</si>
  <si>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</si>
  <si>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</si>
  <si>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</si>
  <si>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</si>
  <si>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</si>
  <si>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</si>
  <si>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</si>
  <si>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</si>
  <si>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</si>
  <si>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</si>
  <si>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</si>
  <si>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</si>
  <si>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</si>
  <si>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</si>
  <si>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</si>
  <si>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</si>
  <si>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</si>
  <si>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</si>
  <si>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</si>
  <si>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</si>
  <si>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</si>
  <si>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</si>
  <si>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</si>
  <si>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</si>
  <si>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</si>
  <si>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</si>
  <si>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</si>
  <si>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</si>
  <si>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</si>
  <si>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</si>
  <si>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</si>
  <si>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</si>
  <si>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</si>
  <si>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</si>
  <si>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</si>
  <si>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</si>
  <si>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</si>
  <si>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</si>
  <si>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</si>
  <si>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</si>
  <si>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</si>
  <si>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</si>
  <si>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</si>
  <si>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</si>
  <si>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</si>
  <si>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</si>
  <si>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</si>
  <si>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</si>
  <si>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</si>
  <si>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</si>
  <si>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</si>
  <si>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</si>
  <si>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</si>
  <si>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</si>
  <si>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</si>
  <si>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</si>
  <si>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</si>
  <si>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</si>
  <si>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</si>
  <si>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</si>
  <si>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</si>
  <si>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</si>
  <si>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</si>
  <si>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</si>
  <si>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</si>
  <si>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</si>
  <si>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</si>
  <si>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</si>
  <si>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</si>
  <si>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</si>
  <si>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</si>
  <si>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</si>
  <si>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</si>
  <si>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</si>
  <si>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</si>
  <si>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</si>
  <si>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</si>
  <si>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</si>
  <si>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</si>
  <si>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</si>
  <si>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</si>
  <si>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</si>
  <si>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</si>
  <si>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</si>
  <si>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</si>
  <si>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</si>
  <si>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</si>
  <si>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</si>
  <si>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</si>
  <si>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</si>
  <si>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</si>
  <si>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</si>
  <si>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</si>
  <si>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</si>
  <si>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</si>
  <si>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</si>
  <si>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</si>
  <si>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</si>
  <si>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</si>
  <si>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</si>
  <si>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</si>
  <si>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</si>
  <si>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</si>
  <si>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</si>
  <si>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</si>
  <si>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</si>
  <si>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</si>
  <si>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</si>
  <si>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</si>
  <si>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</si>
  <si>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</si>
  <si>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</si>
  <si>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</si>
  <si>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</si>
  <si>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</si>
  <si>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</si>
  <si>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</si>
  <si>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</si>
  <si>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</si>
  <si>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</si>
  <si>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</si>
  <si>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</si>
  <si>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</si>
  <si>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</si>
  <si>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</si>
  <si>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</si>
  <si>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</si>
  <si>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</si>
  <si>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</si>
  <si>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</si>
  <si>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</si>
  <si>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</si>
  <si>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</si>
  <si>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</si>
  <si>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</si>
  <si>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</si>
  <si>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</si>
  <si>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</si>
  <si>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</si>
  <si>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</si>
  <si>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</si>
  <si>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</si>
  <si>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</si>
  <si>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</si>
  <si>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</si>
  <si>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</si>
  <si>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</si>
  <si>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</si>
  <si>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</si>
  <si>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</si>
  <si>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</si>
  <si>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</si>
  <si>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</si>
  <si>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</si>
  <si>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</si>
  <si>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</si>
  <si>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</si>
  <si>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</si>
  <si>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</si>
  <si>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</si>
  <si>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</si>
  <si>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</si>
  <si>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</si>
  <si>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</si>
  <si>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</si>
  <si>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</si>
  <si>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</si>
  <si>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</si>
  <si>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</si>
  <si>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</si>
  <si>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</si>
  <si>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</si>
  <si>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</si>
  <si>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</si>
  <si>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</si>
  <si>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</si>
  <si>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</si>
  <si>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</si>
  <si>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</si>
  <si>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</si>
  <si>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</si>
  <si>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</si>
  <si>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</si>
  <si>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</si>
  <si>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</si>
  <si>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</si>
  <si>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</si>
  <si>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</si>
  <si>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</si>
  <si>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</si>
  <si>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</si>
  <si>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</si>
  <si>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</si>
  <si>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</si>
  <si>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</si>
  <si>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</si>
  <si>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</si>
  <si>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</si>
  <si>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</si>
  <si>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</si>
  <si>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</si>
  <si>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</si>
  <si>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</si>
  <si>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</si>
  <si>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</si>
  <si>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</si>
  <si>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</si>
  <si>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</si>
  <si>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</si>
  <si>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</si>
  <si>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</si>
  <si>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</si>
  <si>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</si>
  <si>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</si>
  <si>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</si>
  <si>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</si>
  <si>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</si>
  <si>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</si>
  <si>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</si>
  <si>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</si>
  <si>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</si>
  <si>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</si>
  <si>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</si>
  <si>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</si>
  <si>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</si>
  <si>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</si>
  <si>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</si>
  <si>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</si>
  <si>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</si>
  <si>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</si>
  <si>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</si>
  <si>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</si>
  <si>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</si>
  <si>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</si>
  <si>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</si>
  <si>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</si>
  <si>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</si>
  <si>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</si>
  <si>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</si>
  <si>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</si>
  <si>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</si>
  <si>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</si>
  <si>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</si>
  <si>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</si>
  <si>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</si>
  <si>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</si>
  <si>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</si>
  <si>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</si>
  <si>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</si>
  <si>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</si>
  <si>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</si>
  <si>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</si>
  <si>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</si>
  <si>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</si>
  <si>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</si>
  <si>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</si>
  <si>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</si>
  <si>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</si>
  <si>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</si>
  <si>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</si>
  <si>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</si>
  <si>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</si>
  <si>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</si>
  <si>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</si>
  <si>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</si>
  <si>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</si>
  <si>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</si>
  <si>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</si>
  <si>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</si>
  <si>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</si>
  <si>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</si>
  <si>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</si>
  <si>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</si>
  <si>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</si>
  <si>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</si>
  <si>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</si>
  <si>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</si>
  <si>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</si>
  <si>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</si>
  <si>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</si>
  <si>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</si>
  <si>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</si>
  <si>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</si>
  <si>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</si>
  <si>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</si>
  <si>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</si>
  <si>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</si>
  <si>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</si>
  <si>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</si>
  <si>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</si>
  <si>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</si>
  <si>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</si>
  <si>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</si>
  <si>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</si>
  <si>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</si>
  <si>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</si>
  <si>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</si>
  <si>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</si>
  <si>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</si>
  <si>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</si>
  <si>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</si>
  <si>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</si>
  <si>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</si>
  <si>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</si>
  <si>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</si>
  <si>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</si>
  <si>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</si>
  <si>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</si>
  <si>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</si>
  <si>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</si>
  <si>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</si>
  <si>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</si>
  <si>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</si>
  <si>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</si>
  <si>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</si>
  <si>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</si>
  <si>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</si>
  <si>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</si>
  <si>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</si>
  <si>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</si>
  <si>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</si>
  <si>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</si>
  <si>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</si>
  <si>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</si>
  <si>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</si>
  <si>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</si>
  <si>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</si>
  <si>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</si>
  <si>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</si>
  <si>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</si>
  <si>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</si>
  <si>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</si>
  <si>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</si>
  <si>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</si>
  <si>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</si>
  <si>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</si>
  <si>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</si>
  <si>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</si>
  <si>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</si>
  <si>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</si>
  <si>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</si>
  <si>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</si>
  <si>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</si>
  <si>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</si>
  <si>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</si>
  <si>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</si>
  <si>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</si>
  <si>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</si>
  <si>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</si>
  <si>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</si>
  <si>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</si>
  <si>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</si>
  <si>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</si>
  <si>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</si>
  <si>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</si>
  <si>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</si>
  <si>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</si>
  <si>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</si>
  <si>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</si>
  <si>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</si>
  <si>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</si>
  <si>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</si>
  <si>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</si>
  <si>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</si>
  <si>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</si>
  <si>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</si>
  <si>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</si>
  <si>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</si>
  <si>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</si>
  <si>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</si>
  <si>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</si>
  <si>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</si>
  <si>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</si>
  <si>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</si>
  <si>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</si>
  <si>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</si>
  <si>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</si>
  <si>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</si>
  <si>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</si>
  <si>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</si>
  <si>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</si>
  <si>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</si>
  <si>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</si>
  <si>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</si>
  <si>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</si>
  <si>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</si>
  <si>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</si>
  <si>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</si>
  <si>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</si>
  <si>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</si>
  <si>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</si>
  <si>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</si>
  <si>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</si>
  <si>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</si>
  <si>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</si>
  <si>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</si>
  <si>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</si>
  <si>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</si>
  <si>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</si>
  <si>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</si>
  <si>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</si>
  <si>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</si>
  <si>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</si>
  <si>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</si>
  <si>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</si>
  <si>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</si>
  <si>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</si>
  <si>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</si>
  <si>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</si>
  <si>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</si>
  <si>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</si>
  <si>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</si>
  <si>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</si>
  <si>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</si>
  <si>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</si>
  <si>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</si>
  <si>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</si>
  <si>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</si>
  <si>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</si>
  <si>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</si>
  <si>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</si>
  <si>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</si>
  <si>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</si>
  <si>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</si>
  <si>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</si>
  <si>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</si>
  <si>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</si>
  <si>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</si>
  <si>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</si>
  <si>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</si>
  <si>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</si>
  <si>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</si>
  <si>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</si>
  <si>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</si>
  <si>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</si>
  <si>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</si>
  <si>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</si>
  <si>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</si>
  <si>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</si>
  <si>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</si>
  <si>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</si>
  <si>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</si>
  <si>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</si>
  <si>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</si>
  <si>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</si>
  <si>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</si>
  <si>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</si>
  <si>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</si>
  <si>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</si>
  <si>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</si>
  <si>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</si>
  <si>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</si>
  <si>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</si>
  <si>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</si>
  <si>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</si>
  <si>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</si>
  <si>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</si>
  <si>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</si>
  <si>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</si>
  <si>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</si>
  <si>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</si>
  <si>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</si>
  <si>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</si>
  <si>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</si>
  <si>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</si>
  <si>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</si>
  <si>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</si>
  <si>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</si>
  <si>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</si>
  <si>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</si>
  <si>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</si>
  <si>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</si>
  <si>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</si>
  <si>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</si>
  <si>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</si>
  <si>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</si>
  <si>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</si>
  <si>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</si>
  <si>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</si>
  <si>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</si>
  <si>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</si>
  <si>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</si>
  <si>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</si>
  <si>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</si>
  <si>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</si>
  <si>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</si>
  <si>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</si>
  <si>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</si>
  <si>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</si>
  <si>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</si>
  <si>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</si>
  <si>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</si>
  <si>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</si>
  <si>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</si>
  <si>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</si>
  <si>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</si>
  <si>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</si>
  <si>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</si>
  <si>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</si>
  <si>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</si>
  <si>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</si>
  <si>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</si>
  <si>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</si>
  <si>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</si>
  <si>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</si>
  <si>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</si>
  <si>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</si>
  <si>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</si>
  <si>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</si>
  <si>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</si>
  <si>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</si>
  <si>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</si>
  <si>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</si>
  <si>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</si>
  <si>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</si>
  <si>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</si>
  <si>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</si>
  <si>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</si>
  <si>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</si>
  <si>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</si>
  <si>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</si>
  <si>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</si>
  <si>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</si>
  <si>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</si>
  <si>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</si>
  <si>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</si>
  <si>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</si>
  <si>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</si>
  <si>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</si>
  <si>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</si>
  <si>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</si>
  <si>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</si>
  <si>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</si>
  <si>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</si>
  <si>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</si>
  <si>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</si>
  <si>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</si>
  <si>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</si>
  <si>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</si>
  <si>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</si>
  <si>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</si>
  <si>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</si>
  <si>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</si>
  <si>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</si>
  <si>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</si>
  <si>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</si>
  <si>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</si>
  <si>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</si>
  <si>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</si>
  <si>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</si>
  <si>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</si>
  <si>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</si>
  <si>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</si>
  <si>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</si>
  <si>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</si>
  <si>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</si>
  <si>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</si>
  <si>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</si>
  <si>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</si>
  <si>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</si>
  <si>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</si>
  <si>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</si>
  <si>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</si>
  <si>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</si>
  <si>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</si>
  <si>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</si>
  <si>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</si>
  <si>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</si>
  <si>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</si>
  <si>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</si>
  <si>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</si>
  <si>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</si>
  <si>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</si>
  <si>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</si>
  <si>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</si>
  <si>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</si>
  <si>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</si>
  <si>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</si>
  <si>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</si>
  <si>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</si>
  <si>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</si>
  <si>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</si>
  <si>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</si>
  <si>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</si>
  <si>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</si>
  <si>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</si>
  <si>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</si>
  <si>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</si>
  <si>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</si>
  <si>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</si>
  <si>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</si>
  <si>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</si>
  <si>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</si>
  <si>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</si>
  <si>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</si>
  <si>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</si>
  <si>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</si>
  <si>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</si>
  <si>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</si>
  <si>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</si>
  <si>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</si>
  <si>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</si>
  <si>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</si>
  <si>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</si>
  <si>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</si>
  <si>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</si>
  <si>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</si>
  <si>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</si>
  <si>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</si>
  <si>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</si>
  <si>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</si>
  <si>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</si>
  <si>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</si>
  <si>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</si>
  <si>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</si>
  <si>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</si>
  <si>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</si>
  <si>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</si>
  <si>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</si>
  <si>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</si>
  <si>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</si>
  <si>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</si>
  <si>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</si>
  <si>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</si>
  <si>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</si>
  <si>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</si>
  <si>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</si>
  <si>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</si>
  <si>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</si>
  <si>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</si>
  <si>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</si>
  <si>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</si>
  <si>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</si>
  <si>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</si>
  <si>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</si>
  <si>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</si>
  <si>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</si>
  <si>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</si>
  <si>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</si>
  <si>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</si>
  <si>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</si>
  <si>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</si>
  <si>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</si>
  <si>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</si>
  <si>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</si>
  <si>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</si>
  <si>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</si>
  <si>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</si>
  <si>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</si>
  <si>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</si>
  <si>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</si>
  <si>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</si>
  <si>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</si>
  <si>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</si>
  <si>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</si>
  <si>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</si>
  <si>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</si>
  <si>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</si>
  <si>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</si>
  <si>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</si>
  <si>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</si>
  <si>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</si>
  <si>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</si>
  <si>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</si>
  <si>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</si>
  <si>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</si>
  <si>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</si>
  <si>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</si>
  <si>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</si>
  <si>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</si>
  <si>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</si>
  <si>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</si>
  <si>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</si>
  <si>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</si>
  <si>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</si>
  <si>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</si>
  <si>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</si>
  <si>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</si>
  <si>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</si>
  <si>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</si>
  <si>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</si>
  <si>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</si>
  <si>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</si>
  <si>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</si>
  <si>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</si>
  <si>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</si>
  <si>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</si>
  <si>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</si>
  <si>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</si>
  <si>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</si>
  <si>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</si>
  <si>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</si>
  <si>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</si>
  <si>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</si>
  <si>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</si>
  <si>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</si>
  <si>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</si>
  <si>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</si>
  <si>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</si>
  <si>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</si>
  <si>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</si>
  <si>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</si>
  <si>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</si>
  <si>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</si>
  <si>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</si>
  <si>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</si>
  <si>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</si>
  <si>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</si>
  <si>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</si>
  <si>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</si>
  <si>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</si>
  <si>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</si>
  <si>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</si>
  <si>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</si>
  <si>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</si>
  <si>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</si>
  <si>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</si>
  <si>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</si>
  <si>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</si>
  <si>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</si>
  <si>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</si>
  <si>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</si>
  <si>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</si>
  <si>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</si>
  <si>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</si>
  <si>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</si>
  <si>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</si>
  <si>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</si>
  <si>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</si>
  <si>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</si>
  <si>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</si>
  <si>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</si>
  <si>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</si>
  <si>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</si>
  <si>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</si>
  <si>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</si>
  <si>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</si>
  <si>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</si>
  <si>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</si>
  <si>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</si>
  <si>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</si>
  <si>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</si>
  <si>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</si>
  <si>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</si>
  <si>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</si>
  <si>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</si>
  <si>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</si>
  <si>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</si>
  <si>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</si>
  <si>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</si>
  <si>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</si>
  <si>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</si>
  <si>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</si>
  <si>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</si>
  <si>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</si>
  <si>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</si>
  <si>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</si>
  <si>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</si>
  <si>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</si>
  <si>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</si>
  <si>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</si>
  <si>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</si>
  <si>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</si>
  <si>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</si>
  <si>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</si>
  <si>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</si>
  <si>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</si>
  <si>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</si>
  <si>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</si>
  <si>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</si>
  <si>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</si>
  <si>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</si>
  <si>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</si>
  <si>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</si>
  <si>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</si>
  <si>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</si>
  <si>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</si>
  <si>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</si>
  <si>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</si>
  <si>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</si>
  <si>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</si>
  <si>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</si>
  <si>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</si>
  <si>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</si>
  <si>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</si>
  <si>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</si>
  <si>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</si>
  <si>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</si>
  <si>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</si>
  <si>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</si>
  <si>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</si>
  <si>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</si>
  <si>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</si>
  <si>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</si>
  <si>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</si>
  <si>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</si>
  <si>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</si>
  <si>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</si>
  <si>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</si>
  <si>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</si>
  <si>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</si>
  <si>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</si>
  <si>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</si>
  <si>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</si>
  <si>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</si>
  <si>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</si>
  <si>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</si>
  <si>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</si>
  <si>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</si>
  <si>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</si>
  <si>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</si>
  <si>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</si>
  <si>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</si>
  <si>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</si>
  <si>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</si>
  <si>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</si>
  <si>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</si>
  <si>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</si>
  <si>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</si>
  <si>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</si>
  <si>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</si>
  <si>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</si>
  <si>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</si>
  <si>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</si>
  <si>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</si>
  <si>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</si>
  <si>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</si>
  <si>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</si>
  <si>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</si>
  <si>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</si>
  <si>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</si>
  <si>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</si>
  <si>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</si>
  <si>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</si>
  <si>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</si>
  <si>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</si>
  <si>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</si>
  <si>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</si>
  <si>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</si>
  <si>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</si>
  <si>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</si>
  <si>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</si>
  <si>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</si>
  <si>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</si>
  <si>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</si>
  <si>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</si>
  <si>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</si>
  <si>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</si>
  <si>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</si>
  <si>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</si>
  <si>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</si>
  <si>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</si>
  <si>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</si>
  <si>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</si>
  <si>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</si>
  <si>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</si>
  <si>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</si>
  <si>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</si>
  <si>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</si>
  <si>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</si>
  <si>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</si>
  <si>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</si>
  <si>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</si>
  <si>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</si>
  <si>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</si>
  <si>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</si>
  <si>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</si>
  <si>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</si>
  <si>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</si>
  <si>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</si>
  <si>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</si>
  <si>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</si>
  <si>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</si>
  <si>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</si>
  <si>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</si>
  <si>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</si>
  <si>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</si>
  <si>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</si>
  <si>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</si>
  <si>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</si>
  <si>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</si>
  <si>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</si>
  <si>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</si>
  <si>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</si>
  <si>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</si>
  <si>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</si>
  <si>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</si>
  <si>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</si>
  <si>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</si>
  <si>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</si>
  <si>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</si>
  <si>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</si>
  <si>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</si>
  <si>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</si>
  <si>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</si>
  <si>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</si>
  <si>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</si>
  <si>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</si>
  <si>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</si>
  <si>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</si>
  <si>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</si>
  <si>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</si>
  <si>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</si>
  <si>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</si>
  <si>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</si>
  <si>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</si>
  <si>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</si>
  <si>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</si>
  <si>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</si>
  <si>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</si>
  <si>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</si>
  <si>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</si>
  <si>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</si>
  <si>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</si>
  <si>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</si>
  <si>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</si>
  <si>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</si>
  <si>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</si>
  <si>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</si>
  <si>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</si>
  <si>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</si>
  <si>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</si>
  <si>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</si>
  <si>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</si>
  <si>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</si>
  <si>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</si>
  <si>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</si>
  <si>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</si>
  <si>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</si>
  <si>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</si>
  <si>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</si>
  <si>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</si>
  <si>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</si>
  <si>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</si>
  <si>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</si>
  <si>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</si>
  <si>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</si>
  <si>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</si>
  <si>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</si>
  <si>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</si>
  <si>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</si>
  <si>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</si>
  <si>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</si>
  <si>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</si>
  <si>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</si>
  <si>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</si>
  <si>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Ngày bắt đầu tính tính giá thuê mới</t>
  </si>
  <si>
    <t>66646</t>
  </si>
  <si>
    <t>La Ngoc Linh</t>
  </si>
  <si>
    <t>Ngan hang ACB</t>
  </si>
  <si>
    <t>19022625139011
66646</t>
  </si>
  <si>
    <t>Nguyễn Phi Hiệp
-&gt; La Ngọc Linh</t>
  </si>
  <si>
    <t>Techcombank
--&gt; Ngan hing ACB</t>
  </si>
  <si>
    <t>21HTD010_HTD281</t>
  </si>
  <si>
    <t>22HGV004_HGV228</t>
  </si>
  <si>
    <t>22HTD009_HTD297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</si>
</sst>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8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2"/>
  <sheetViews>
    <sheetView zoomScale="70" zoomScaleNormal="70" workbookViewId="0">
      <pane xSplit="3" ySplit="3" topLeftCell="AA22" activePane="bottomRight" state="frozen"/>
      <selection pane="topRight" activeCell="D1" sqref="D1"/>
      <selection pane="bottomLeft" activeCell="A4" sqref="A4"/>
      <selection pane="bottomRight" activeCell="A28" sqref="A28:XFD2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73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75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363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895</v>
      </c>
      <c r="H1" s="8" t="s">
        <v>896</v>
      </c>
      <c r="I1" s="31" t="s">
        <v>2</v>
      </c>
      <c r="J1" s="8" t="s">
        <v>144</v>
      </c>
      <c r="K1" s="8" t="s">
        <v>914</v>
      </c>
      <c r="L1" s="40" t="s">
        <v>1238</v>
      </c>
      <c r="M1" s="32" t="s">
        <v>460</v>
      </c>
      <c r="N1" s="84" t="s">
        <v>164</v>
      </c>
      <c r="O1" s="84" t="s">
        <v>226</v>
      </c>
      <c r="P1" s="84" t="s">
        <v>355</v>
      </c>
      <c r="Q1" s="84" t="s">
        <v>227</v>
      </c>
      <c r="R1" s="33" t="s">
        <v>358</v>
      </c>
      <c r="S1" s="33" t="s">
        <v>351</v>
      </c>
      <c r="T1" s="33" t="s">
        <v>356</v>
      </c>
      <c r="U1" s="33" t="s">
        <v>359</v>
      </c>
      <c r="V1" s="85" t="s">
        <v>360</v>
      </c>
      <c r="W1" s="85" t="s">
        <v>352</v>
      </c>
      <c r="X1" s="85" t="s">
        <v>357</v>
      </c>
      <c r="Y1" s="85" t="s">
        <v>361</v>
      </c>
      <c r="Z1" s="7" t="s">
        <v>36</v>
      </c>
      <c r="AA1" s="7" t="s">
        <v>362</v>
      </c>
      <c r="AB1" s="40" t="s">
        <v>1239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912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99</v>
      </c>
      <c r="B2" s="150">
        <f t="shared" si="0"/>
        <v>99</v>
      </c>
      <c r="C2" s="150">
        <f t="shared" si="0"/>
        <v>99</v>
      </c>
      <c r="D2" s="150">
        <f t="shared" si="0"/>
        <v>99</v>
      </c>
      <c r="E2" s="150">
        <f t="shared" si="0"/>
        <v>99</v>
      </c>
      <c r="F2" s="150">
        <f t="shared" si="0"/>
        <v>99</v>
      </c>
      <c r="G2" s="150">
        <f t="shared" si="0"/>
        <v>99</v>
      </c>
      <c r="H2" s="150">
        <f t="shared" si="0"/>
        <v>99</v>
      </c>
      <c r="I2" s="150">
        <f t="shared" si="0"/>
        <v>99</v>
      </c>
      <c r="J2" s="150">
        <f t="shared" ref="J2:L2" si="1">SUBTOTAL(3,J4:J190)</f>
        <v>99</v>
      </c>
      <c r="K2" s="150">
        <f t="shared" si="1"/>
        <v>99</v>
      </c>
      <c r="L2" s="270">
        <f t="shared" si="1"/>
        <v>6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99</v>
      </c>
      <c r="AA2" s="150">
        <f t="shared" si="0"/>
        <v>99</v>
      </c>
      <c r="AB2" s="270"/>
      <c r="AC2" s="150">
        <f t="shared" si="0"/>
        <v>43</v>
      </c>
      <c r="AD2" s="150">
        <f t="shared" si="0"/>
        <v>99</v>
      </c>
      <c r="AE2" s="150">
        <f t="shared" si="0"/>
        <v>97</v>
      </c>
      <c r="AF2" s="150">
        <f t="shared" si="0"/>
        <v>97</v>
      </c>
      <c r="AG2" s="150">
        <f t="shared" si="0"/>
        <v>59</v>
      </c>
      <c r="AH2" s="150">
        <f t="shared" si="0"/>
        <v>99</v>
      </c>
      <c r="AI2" s="150">
        <f t="shared" si="0"/>
        <v>11</v>
      </c>
      <c r="AJ2" s="150">
        <f t="shared" si="0"/>
        <v>99</v>
      </c>
      <c r="AK2" s="150">
        <f t="shared" si="0"/>
        <v>99</v>
      </c>
      <c r="AL2" s="150">
        <f t="shared" si="0"/>
        <v>99</v>
      </c>
      <c r="AM2" s="150">
        <f t="shared" si="0"/>
        <v>99</v>
      </c>
      <c r="AN2" s="150">
        <f t="shared" si="0"/>
        <v>71</v>
      </c>
      <c r="AO2" s="150">
        <f t="shared" si="0"/>
        <v>76</v>
      </c>
      <c r="AP2" s="150">
        <f t="shared" si="0"/>
        <v>0</v>
      </c>
      <c r="AQ2" s="150">
        <f t="shared" si="0"/>
        <v>99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1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1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353</v>
      </c>
      <c r="H4" s="33" t="s">
        <v>1219</v>
      </c>
      <c r="I4" s="33" t="s">
        <v>1229</v>
      </c>
      <c r="J4" s="20">
        <v>44525</v>
      </c>
      <c r="K4" s="20">
        <v>46350</v>
      </c>
      <c r="L4" s="272">
        <v>48176</v>
      </c>
      <c r="M4" s="31" t="s">
        <v>417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74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764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353</v>
      </c>
      <c r="H5" s="33" t="s">
        <v>1226</v>
      </c>
      <c r="I5" s="25" t="s">
        <v>893</v>
      </c>
      <c r="J5" s="20">
        <v>44528</v>
      </c>
      <c r="K5" s="20">
        <v>46353</v>
      </c>
      <c r="L5" s="272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76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764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353</v>
      </c>
      <c r="H6" s="25" t="s">
        <v>893</v>
      </c>
      <c r="I6" s="25" t="s">
        <v>893</v>
      </c>
      <c r="J6" s="20">
        <v>44526</v>
      </c>
      <c r="K6" s="20">
        <v>46351</v>
      </c>
      <c r="L6" s="272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76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764</v>
      </c>
    </row>
    <row r="7" spans="1:45" ht="24" x14ac:dyDescent="0.3">
      <c r="A7" s="4">
        <v>4</v>
      </c>
      <c r="B7" s="2" t="s">
        <v>972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354</v>
      </c>
      <c r="H7" s="25" t="s">
        <v>893</v>
      </c>
      <c r="I7" s="25" t="s">
        <v>893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764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353</v>
      </c>
      <c r="H8" s="33" t="s">
        <v>1211</v>
      </c>
      <c r="I8" s="25" t="s">
        <v>893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760</v>
      </c>
      <c r="AN8" s="2">
        <v>12</v>
      </c>
      <c r="AO8" s="2">
        <v>12</v>
      </c>
      <c r="AP8" s="48"/>
      <c r="AQ8" t="s">
        <v>765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353</v>
      </c>
      <c r="H9" s="25" t="s">
        <v>893</v>
      </c>
      <c r="I9" s="25" t="s">
        <v>893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237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764</v>
      </c>
    </row>
    <row r="10" spans="1:45" ht="36" x14ac:dyDescent="0.3">
      <c r="A10" s="4">
        <v>7</v>
      </c>
      <c r="B10" s="40" t="s">
        <v>251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353</v>
      </c>
      <c r="H10" s="33" t="s">
        <v>1224</v>
      </c>
      <c r="I10" s="31" t="s">
        <v>1236</v>
      </c>
      <c r="J10" s="20">
        <v>44586</v>
      </c>
      <c r="K10" s="20">
        <v>46411</v>
      </c>
      <c r="L10" s="272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1159</v>
      </c>
      <c r="AA10" s="93">
        <v>7500000</v>
      </c>
      <c r="AB10" s="276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764</v>
      </c>
    </row>
    <row r="11" spans="1:45" ht="36" x14ac:dyDescent="0.3">
      <c r="A11" s="4">
        <v>8</v>
      </c>
      <c r="B11" s="2" t="s">
        <v>254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353</v>
      </c>
      <c r="H11" s="25" t="s">
        <v>893</v>
      </c>
      <c r="I11" s="31" t="s">
        <v>1228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1160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764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353</v>
      </c>
      <c r="H12" s="25" t="s">
        <v>893</v>
      </c>
      <c r="I12" s="25" t="s">
        <v>893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239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765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353</v>
      </c>
      <c r="H13" s="25" t="s">
        <v>893</v>
      </c>
      <c r="I13" s="25" t="s">
        <v>893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238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765</v>
      </c>
    </row>
    <row r="14" spans="1:45" ht="41.4" x14ac:dyDescent="0.3">
      <c r="A14" s="4">
        <v>11</v>
      </c>
      <c r="B14" s="2" t="s">
        <v>257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354</v>
      </c>
      <c r="H14" s="35" t="s">
        <v>1213</v>
      </c>
      <c r="I14" s="25" t="s">
        <v>893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390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699</v>
      </c>
      <c r="AK14" s="98" t="s">
        <v>169</v>
      </c>
      <c r="AL14" s="98" t="s">
        <v>700</v>
      </c>
      <c r="AM14" s="98" t="s">
        <v>171</v>
      </c>
      <c r="AN14" s="2">
        <v>12.8</v>
      </c>
      <c r="AO14" s="2">
        <v>12</v>
      </c>
      <c r="AP14" s="48"/>
      <c r="AQ14" t="s">
        <v>765</v>
      </c>
    </row>
    <row r="15" spans="1:45" ht="36" x14ac:dyDescent="0.3">
      <c r="A15" s="4">
        <v>12</v>
      </c>
      <c r="B15" s="2" t="s">
        <v>415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353</v>
      </c>
      <c r="H15" s="35" t="s">
        <v>1221</v>
      </c>
      <c r="I15" s="35" t="s">
        <v>1234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405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765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404</v>
      </c>
      <c r="G16" s="2" t="s">
        <v>353</v>
      </c>
      <c r="H16" s="25" t="s">
        <v>893</v>
      </c>
      <c r="I16" s="25" t="s">
        <v>893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405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316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304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765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353</v>
      </c>
      <c r="H17" s="35" t="s">
        <v>1212</v>
      </c>
      <c r="I17" s="25" t="s">
        <v>893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765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353</v>
      </c>
      <c r="H18" s="25" t="s">
        <v>893</v>
      </c>
      <c r="I18" s="25" t="s">
        <v>893</v>
      </c>
      <c r="J18" s="20">
        <v>44645</v>
      </c>
      <c r="K18" s="20">
        <v>46174</v>
      </c>
      <c r="L18" s="272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236</v>
      </c>
      <c r="AA18" s="93">
        <v>7000000</v>
      </c>
      <c r="AB18" s="276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1245</v>
      </c>
      <c r="AK18" s="18" t="s">
        <v>1246</v>
      </c>
      <c r="AL18" s="18" t="s">
        <v>1247</v>
      </c>
      <c r="AM18" s="18" t="s">
        <v>231</v>
      </c>
      <c r="AN18" s="2">
        <v>25</v>
      </c>
      <c r="AO18" s="2">
        <v>5</v>
      </c>
      <c r="AP18" s="48"/>
      <c r="AQ18" t="s">
        <v>765</v>
      </c>
    </row>
    <row r="19" spans="1:43" ht="24" x14ac:dyDescent="0.3">
      <c r="A19" s="4">
        <v>16</v>
      </c>
      <c r="B19" s="2" t="s">
        <v>287</v>
      </c>
      <c r="C19" s="2" t="s">
        <v>288</v>
      </c>
      <c r="D19" s="2">
        <v>106.621573</v>
      </c>
      <c r="E19" s="2">
        <v>10.838825999999999</v>
      </c>
      <c r="F19" s="2" t="s">
        <v>292</v>
      </c>
      <c r="G19" s="2" t="s">
        <v>353</v>
      </c>
      <c r="H19" s="25" t="s">
        <v>893</v>
      </c>
      <c r="I19" s="25" t="s">
        <v>893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328</v>
      </c>
      <c r="AA19" s="93">
        <v>5300000</v>
      </c>
      <c r="AB19" s="93"/>
      <c r="AC19" s="2" t="s">
        <v>305</v>
      </c>
      <c r="AD19" s="93">
        <v>8800000</v>
      </c>
      <c r="AE19" s="101">
        <v>0</v>
      </c>
      <c r="AF19" s="154">
        <v>0</v>
      </c>
      <c r="AG19" s="20" t="s">
        <v>409</v>
      </c>
      <c r="AH19" s="18" t="s">
        <v>79</v>
      </c>
      <c r="AI19" s="20"/>
      <c r="AJ19" s="18" t="s">
        <v>299</v>
      </c>
      <c r="AK19" s="18" t="s">
        <v>298</v>
      </c>
      <c r="AL19" s="18" t="s">
        <v>300</v>
      </c>
      <c r="AM19" s="18" t="s">
        <v>295</v>
      </c>
      <c r="AN19" s="8">
        <v>13</v>
      </c>
      <c r="AO19" s="2">
        <v>9</v>
      </c>
      <c r="AP19" s="48"/>
      <c r="AQ19" t="s">
        <v>765</v>
      </c>
    </row>
    <row r="20" spans="1:43" ht="24" x14ac:dyDescent="0.3">
      <c r="A20" s="4">
        <v>17</v>
      </c>
      <c r="B20" s="2" t="s">
        <v>313</v>
      </c>
      <c r="C20" s="2" t="s">
        <v>15</v>
      </c>
      <c r="D20" s="2">
        <v>106.59965699999999</v>
      </c>
      <c r="E20" s="2">
        <v>10.858247</v>
      </c>
      <c r="F20" s="2" t="s">
        <v>314</v>
      </c>
      <c r="G20" s="2" t="s">
        <v>353</v>
      </c>
      <c r="H20" s="34" t="s">
        <v>1218</v>
      </c>
      <c r="I20" s="25" t="s">
        <v>893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405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315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438</v>
      </c>
      <c r="AH20" s="18" t="s">
        <v>77</v>
      </c>
      <c r="AI20" s="20"/>
      <c r="AJ20" s="18" t="s">
        <v>329</v>
      </c>
      <c r="AK20" s="18" t="s">
        <v>330</v>
      </c>
      <c r="AL20" s="18" t="s">
        <v>331</v>
      </c>
      <c r="AM20" s="18" t="s">
        <v>332</v>
      </c>
      <c r="AN20" s="8">
        <v>12</v>
      </c>
      <c r="AO20" s="2">
        <v>12</v>
      </c>
      <c r="AP20" s="48"/>
      <c r="AQ20" t="s">
        <v>765</v>
      </c>
    </row>
    <row r="21" spans="1:43" ht="24" x14ac:dyDescent="0.3">
      <c r="A21" s="4">
        <v>18</v>
      </c>
      <c r="B21" s="153" t="s">
        <v>419</v>
      </c>
      <c r="C21" s="2" t="s">
        <v>15</v>
      </c>
      <c r="D21" s="2">
        <v>106.590795</v>
      </c>
      <c r="E21" s="2">
        <v>10.832939</v>
      </c>
      <c r="F21" s="2" t="s">
        <v>333</v>
      </c>
      <c r="G21" s="25" t="s">
        <v>353</v>
      </c>
      <c r="H21" s="34" t="s">
        <v>1217</v>
      </c>
      <c r="I21" s="25" t="s">
        <v>893</v>
      </c>
      <c r="J21" s="20">
        <v>44672</v>
      </c>
      <c r="K21" s="20">
        <v>46497</v>
      </c>
      <c r="L21" s="20"/>
      <c r="M21" s="34" t="s">
        <v>174</v>
      </c>
      <c r="N21" s="18" t="s">
        <v>366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335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336</v>
      </c>
      <c r="AK21" s="18" t="s">
        <v>337</v>
      </c>
      <c r="AL21" s="18" t="s">
        <v>338</v>
      </c>
      <c r="AM21" s="18" t="s">
        <v>339</v>
      </c>
      <c r="AN21" s="8">
        <v>11.5</v>
      </c>
      <c r="AO21" s="2">
        <v>12</v>
      </c>
      <c r="AP21" s="48"/>
      <c r="AQ21" t="s">
        <v>765</v>
      </c>
    </row>
    <row r="22" spans="1:43" ht="24" x14ac:dyDescent="0.3">
      <c r="A22" s="4">
        <v>19</v>
      </c>
      <c r="B22" s="2" t="s">
        <v>344</v>
      </c>
      <c r="C22" s="2" t="s">
        <v>66</v>
      </c>
      <c r="D22" s="2">
        <v>106.63957000000001</v>
      </c>
      <c r="E22" s="2">
        <v>10.834324000000001</v>
      </c>
      <c r="F22" s="2" t="s">
        <v>364</v>
      </c>
      <c r="G22" s="2" t="s">
        <v>354</v>
      </c>
      <c r="H22" s="25" t="s">
        <v>893</v>
      </c>
      <c r="I22" s="25" t="s">
        <v>893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405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365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368</v>
      </c>
      <c r="AK22" s="18" t="s">
        <v>367</v>
      </c>
      <c r="AL22" s="18" t="s">
        <v>369</v>
      </c>
      <c r="AM22" s="18" t="s">
        <v>346</v>
      </c>
      <c r="AN22" s="8">
        <v>18</v>
      </c>
      <c r="AO22" s="2">
        <v>5</v>
      </c>
      <c r="AP22" s="48"/>
      <c r="AQ22" t="s">
        <v>765</v>
      </c>
    </row>
    <row r="23" spans="1:43" ht="48" x14ac:dyDescent="0.3">
      <c r="A23" s="4">
        <v>20</v>
      </c>
      <c r="B23" s="8" t="s">
        <v>641</v>
      </c>
      <c r="C23" s="2" t="s">
        <v>66</v>
      </c>
      <c r="D23" s="2">
        <v>106.68020300000001</v>
      </c>
      <c r="E23" s="2">
        <v>10.821994999999999</v>
      </c>
      <c r="F23" s="2" t="s">
        <v>347</v>
      </c>
      <c r="G23" s="2" t="s">
        <v>354</v>
      </c>
      <c r="H23" s="34" t="s">
        <v>1214</v>
      </c>
      <c r="I23" s="25" t="s">
        <v>893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348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599</v>
      </c>
      <c r="AK23" s="2" t="s">
        <v>593</v>
      </c>
      <c r="AL23" s="18" t="s">
        <v>398</v>
      </c>
      <c r="AM23" s="18" t="s">
        <v>350</v>
      </c>
      <c r="AN23" s="8">
        <v>35</v>
      </c>
      <c r="AO23" s="2">
        <v>5</v>
      </c>
      <c r="AP23" s="48"/>
      <c r="AQ23" t="s">
        <v>765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289</v>
      </c>
      <c r="G24" s="2" t="s">
        <v>353</v>
      </c>
      <c r="H24" s="34" t="s">
        <v>1225</v>
      </c>
      <c r="I24" s="25" t="s">
        <v>893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405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301</v>
      </c>
      <c r="AA24" s="18" t="s">
        <v>411</v>
      </c>
      <c r="AB24" s="18"/>
      <c r="AC24" s="18" t="s">
        <v>342</v>
      </c>
      <c r="AD24" s="95">
        <v>10300000</v>
      </c>
      <c r="AE24" s="101">
        <v>0</v>
      </c>
      <c r="AF24" s="154">
        <v>5577000</v>
      </c>
      <c r="AG24" s="110" t="s">
        <v>391</v>
      </c>
      <c r="AH24" s="110" t="s">
        <v>79</v>
      </c>
      <c r="AI24" s="111"/>
      <c r="AJ24" s="110">
        <v>60195282024</v>
      </c>
      <c r="AK24" s="110" t="s">
        <v>290</v>
      </c>
      <c r="AL24" s="110" t="s">
        <v>302</v>
      </c>
      <c r="AM24" s="18" t="s">
        <v>291</v>
      </c>
      <c r="AN24" s="8">
        <v>14</v>
      </c>
      <c r="AO24" s="2">
        <v>12</v>
      </c>
      <c r="AP24" s="48"/>
      <c r="AQ24" t="s">
        <v>765</v>
      </c>
    </row>
    <row r="25" spans="1:43" ht="24" x14ac:dyDescent="0.3">
      <c r="A25" s="4">
        <v>22</v>
      </c>
      <c r="B25" s="2" t="s">
        <v>527</v>
      </c>
      <c r="C25" s="2" t="s">
        <v>15</v>
      </c>
      <c r="D25" s="2">
        <v>106.650854</v>
      </c>
      <c r="E25" s="2">
        <v>10.898777000000001</v>
      </c>
      <c r="F25" s="2" t="s">
        <v>370</v>
      </c>
      <c r="G25" s="2" t="s">
        <v>353</v>
      </c>
      <c r="H25" s="34" t="s">
        <v>1222</v>
      </c>
      <c r="I25" s="35" t="s">
        <v>1233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1161</v>
      </c>
      <c r="AA25" s="93">
        <v>5000000</v>
      </c>
      <c r="AB25" s="93"/>
      <c r="AC25" s="18" t="s">
        <v>389</v>
      </c>
      <c r="AD25" s="95">
        <v>12600000</v>
      </c>
      <c r="AE25" s="101">
        <v>7400000</v>
      </c>
      <c r="AF25" s="154">
        <v>7700000.0000000009</v>
      </c>
      <c r="AG25" s="110" t="s">
        <v>371</v>
      </c>
      <c r="AH25" s="111" t="s">
        <v>77</v>
      </c>
      <c r="AI25" s="111"/>
      <c r="AJ25" s="112" t="s">
        <v>372</v>
      </c>
      <c r="AK25" s="110" t="s">
        <v>373</v>
      </c>
      <c r="AL25" s="110" t="s">
        <v>374</v>
      </c>
      <c r="AM25" s="18" t="s">
        <v>375</v>
      </c>
      <c r="AN25" s="8">
        <v>0</v>
      </c>
      <c r="AO25" s="2">
        <v>33</v>
      </c>
      <c r="AP25" s="48"/>
      <c r="AQ25" t="s">
        <v>765</v>
      </c>
    </row>
    <row r="26" spans="1:43" ht="60" x14ac:dyDescent="0.3">
      <c r="A26" s="4">
        <v>23</v>
      </c>
      <c r="B26" s="2" t="s">
        <v>106</v>
      </c>
      <c r="C26" s="2" t="s">
        <v>376</v>
      </c>
      <c r="D26" s="2">
        <v>106.76311</v>
      </c>
      <c r="E26" s="2">
        <v>10.832050000000001</v>
      </c>
      <c r="F26" s="2" t="s">
        <v>377</v>
      </c>
      <c r="G26" s="2" t="s">
        <v>353</v>
      </c>
      <c r="H26" s="27" t="s">
        <v>893</v>
      </c>
      <c r="I26" s="25" t="s">
        <v>893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405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1162</v>
      </c>
      <c r="AA26" s="18" t="s">
        <v>412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378</v>
      </c>
      <c r="AH26" s="111" t="s">
        <v>77</v>
      </c>
      <c r="AI26" s="111"/>
      <c r="AJ26" s="112" t="s">
        <v>632</v>
      </c>
      <c r="AK26" s="110" t="s">
        <v>631</v>
      </c>
      <c r="AL26" s="110" t="s">
        <v>630</v>
      </c>
      <c r="AM26" s="18" t="s">
        <v>379</v>
      </c>
      <c r="AN26" s="8">
        <v>14.5</v>
      </c>
      <c r="AO26" s="2">
        <v>9</v>
      </c>
      <c r="AP26" s="48"/>
      <c r="AQ26" t="s">
        <v>765</v>
      </c>
    </row>
    <row r="27" spans="1:43" ht="24" x14ac:dyDescent="0.3">
      <c r="A27" s="4">
        <v>24</v>
      </c>
      <c r="B27" s="8" t="s">
        <v>380</v>
      </c>
      <c r="C27" s="2" t="s">
        <v>156</v>
      </c>
      <c r="D27" s="2">
        <v>106.6554</v>
      </c>
      <c r="E27" s="2">
        <v>10.798572</v>
      </c>
      <c r="F27" s="2" t="s">
        <v>382</v>
      </c>
      <c r="G27" s="27" t="s">
        <v>893</v>
      </c>
      <c r="H27" s="34" t="s">
        <v>1215</v>
      </c>
      <c r="I27" s="25" t="s">
        <v>893</v>
      </c>
      <c r="J27" s="20" t="s">
        <v>897</v>
      </c>
      <c r="K27" s="20" t="s">
        <v>897</v>
      </c>
      <c r="L27" s="20"/>
      <c r="M27" s="34" t="s">
        <v>174</v>
      </c>
      <c r="N27" s="27" t="s">
        <v>410</v>
      </c>
      <c r="O27" s="27" t="s">
        <v>410</v>
      </c>
      <c r="P27" s="27" t="s">
        <v>410</v>
      </c>
      <c r="Q27" s="27" t="s">
        <v>410</v>
      </c>
      <c r="R27" s="18"/>
      <c r="S27" s="27" t="s">
        <v>405</v>
      </c>
      <c r="T27" s="48"/>
      <c r="U27" s="48"/>
      <c r="V27" s="48"/>
      <c r="W27" s="48"/>
      <c r="X27" s="48"/>
      <c r="Y27" s="48"/>
      <c r="Z27" s="2" t="s">
        <v>1163</v>
      </c>
      <c r="AA27" s="18" t="s">
        <v>411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378</v>
      </c>
      <c r="AH27" s="110" t="s">
        <v>79</v>
      </c>
      <c r="AI27" s="111"/>
      <c r="AJ27" s="110" t="s">
        <v>349</v>
      </c>
      <c r="AK27" s="110" t="s">
        <v>383</v>
      </c>
      <c r="AL27" s="110" t="s">
        <v>349</v>
      </c>
      <c r="AM27" s="18" t="s">
        <v>384</v>
      </c>
      <c r="AN27" s="8" t="s">
        <v>334</v>
      </c>
      <c r="AO27" s="2" t="s">
        <v>334</v>
      </c>
      <c r="AP27" s="48"/>
      <c r="AQ27" t="s">
        <v>765</v>
      </c>
    </row>
    <row r="28" spans="1:43" ht="36" x14ac:dyDescent="0.3">
      <c r="A28" s="4">
        <v>25</v>
      </c>
      <c r="B28" s="8" t="s">
        <v>381</v>
      </c>
      <c r="C28" s="2" t="s">
        <v>66</v>
      </c>
      <c r="D28" s="2">
        <v>106.68662999999999</v>
      </c>
      <c r="E28" s="2">
        <v>10.821289999999999</v>
      </c>
      <c r="F28" s="2" t="s">
        <v>386</v>
      </c>
      <c r="G28" s="27" t="s">
        <v>893</v>
      </c>
      <c r="H28" s="34" t="s">
        <v>1216</v>
      </c>
      <c r="I28" s="25" t="s">
        <v>893</v>
      </c>
      <c r="J28" s="20">
        <v>44697</v>
      </c>
      <c r="K28" s="20">
        <v>46522</v>
      </c>
      <c r="L28" s="20"/>
      <c r="M28" s="34" t="s">
        <v>174</v>
      </c>
      <c r="N28" s="27" t="s">
        <v>410</v>
      </c>
      <c r="O28" s="27" t="s">
        <v>410</v>
      </c>
      <c r="P28" s="27" t="s">
        <v>410</v>
      </c>
      <c r="Q28" s="27" t="s">
        <v>410</v>
      </c>
      <c r="R28" s="18"/>
      <c r="S28" s="27" t="s">
        <v>405</v>
      </c>
      <c r="T28" s="48"/>
      <c r="U28" s="48"/>
      <c r="V28" s="48"/>
      <c r="W28" s="48"/>
      <c r="X28" s="48"/>
      <c r="Y28" s="48"/>
      <c r="Z28" s="2" t="s">
        <v>1164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378</v>
      </c>
      <c r="AH28" s="111" t="s">
        <v>77</v>
      </c>
      <c r="AI28" s="111"/>
      <c r="AJ28" s="112" t="s">
        <v>1158</v>
      </c>
      <c r="AK28" s="110" t="s">
        <v>387</v>
      </c>
      <c r="AL28" s="110" t="s">
        <v>388</v>
      </c>
      <c r="AM28" s="18" t="s">
        <v>385</v>
      </c>
      <c r="AN28" s="8" t="s">
        <v>334</v>
      </c>
      <c r="AO28" s="2">
        <v>12</v>
      </c>
      <c r="AP28" s="48"/>
      <c r="AQ28" t="s">
        <v>765</v>
      </c>
    </row>
    <row r="29" spans="1:43" ht="24" x14ac:dyDescent="0.3">
      <c r="A29" s="4">
        <v>26</v>
      </c>
      <c r="B29" s="153" t="s">
        <v>392</v>
      </c>
      <c r="C29" s="2" t="s">
        <v>394</v>
      </c>
      <c r="D29" s="2">
        <v>106.46045119999999</v>
      </c>
      <c r="E29" s="2">
        <v>10.9983042</v>
      </c>
      <c r="F29" s="2" t="s">
        <v>395</v>
      </c>
      <c r="G29" s="34" t="s">
        <v>353</v>
      </c>
      <c r="H29" s="34" t="s">
        <v>1220</v>
      </c>
      <c r="I29" s="25" t="s">
        <v>893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1165</v>
      </c>
      <c r="AA29" s="18" t="s">
        <v>413</v>
      </c>
      <c r="AB29" s="18"/>
      <c r="AC29" s="18" t="s">
        <v>62</v>
      </c>
      <c r="AD29" s="95">
        <v>12600000</v>
      </c>
      <c r="AE29" s="101">
        <v>0</v>
      </c>
      <c r="AF29" s="101" t="s">
        <v>897</v>
      </c>
      <c r="AG29" s="110" t="s">
        <v>378</v>
      </c>
      <c r="AH29" s="111" t="s">
        <v>77</v>
      </c>
      <c r="AI29" s="111"/>
      <c r="AJ29" s="112" t="s">
        <v>397</v>
      </c>
      <c r="AK29" s="110" t="s">
        <v>396</v>
      </c>
      <c r="AL29" s="110" t="s">
        <v>398</v>
      </c>
      <c r="AM29" s="18" t="s">
        <v>399</v>
      </c>
      <c r="AN29" s="8">
        <v>0</v>
      </c>
      <c r="AO29" s="2">
        <v>33</v>
      </c>
      <c r="AP29" s="48"/>
      <c r="AQ29" t="s">
        <v>765</v>
      </c>
    </row>
    <row r="30" spans="1:43" ht="24" x14ac:dyDescent="0.3">
      <c r="A30" s="4">
        <v>27</v>
      </c>
      <c r="B30" s="2" t="s">
        <v>400</v>
      </c>
      <c r="C30" s="2" t="s">
        <v>401</v>
      </c>
      <c r="D30" s="2">
        <v>106.704082</v>
      </c>
      <c r="E30" s="2">
        <v>10.758376</v>
      </c>
      <c r="F30" s="2" t="s">
        <v>402</v>
      </c>
      <c r="G30" s="34" t="s">
        <v>353</v>
      </c>
      <c r="H30" s="27" t="s">
        <v>893</v>
      </c>
      <c r="I30" s="25" t="s">
        <v>893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405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416</v>
      </c>
      <c r="AA30" s="18" t="s">
        <v>414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458</v>
      </c>
      <c r="AH30" s="111" t="s">
        <v>79</v>
      </c>
      <c r="AI30" s="111"/>
      <c r="AJ30" s="112" t="s">
        <v>407</v>
      </c>
      <c r="AK30" s="110" t="s">
        <v>406</v>
      </c>
      <c r="AL30" s="110" t="s">
        <v>408</v>
      </c>
      <c r="AM30" s="18" t="s">
        <v>403</v>
      </c>
      <c r="AN30" s="8">
        <v>12.5</v>
      </c>
      <c r="AO30" s="2">
        <v>12</v>
      </c>
      <c r="AP30" s="48"/>
      <c r="AQ30" t="s">
        <v>765</v>
      </c>
    </row>
    <row r="31" spans="1:43" ht="24" x14ac:dyDescent="0.3">
      <c r="A31" s="4">
        <v>28</v>
      </c>
      <c r="B31" s="102" t="s">
        <v>420</v>
      </c>
      <c r="C31" s="102" t="s">
        <v>117</v>
      </c>
      <c r="D31" s="102">
        <v>106.5466876</v>
      </c>
      <c r="E31" s="102">
        <v>10.7735138</v>
      </c>
      <c r="F31" s="102" t="s">
        <v>421</v>
      </c>
      <c r="G31" s="103" t="s">
        <v>353</v>
      </c>
      <c r="H31" s="34" t="s">
        <v>1223</v>
      </c>
      <c r="I31" s="25" t="s">
        <v>893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1166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423</v>
      </c>
      <c r="AH31" s="114" t="s">
        <v>79</v>
      </c>
      <c r="AI31" s="115"/>
      <c r="AJ31" s="116" t="s">
        <v>424</v>
      </c>
      <c r="AK31" s="114" t="s">
        <v>422</v>
      </c>
      <c r="AL31" s="114" t="s">
        <v>170</v>
      </c>
      <c r="AM31" s="106" t="s">
        <v>425</v>
      </c>
      <c r="AN31" s="109">
        <v>12</v>
      </c>
      <c r="AO31" s="102">
        <v>12</v>
      </c>
      <c r="AP31" s="105"/>
      <c r="AQ31" t="s">
        <v>765</v>
      </c>
    </row>
    <row r="32" spans="1:43" ht="24" x14ac:dyDescent="0.3">
      <c r="A32" s="4">
        <v>29</v>
      </c>
      <c r="B32" s="2" t="s">
        <v>426</v>
      </c>
      <c r="C32" s="2" t="s">
        <v>15</v>
      </c>
      <c r="D32" s="2">
        <v>106.5781636</v>
      </c>
      <c r="E32" s="2">
        <v>10.854782500000001</v>
      </c>
      <c r="F32" s="2" t="s">
        <v>427</v>
      </c>
      <c r="G32" s="34" t="s">
        <v>354</v>
      </c>
      <c r="H32" s="27" t="s">
        <v>893</v>
      </c>
      <c r="I32" s="25" t="s">
        <v>893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910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378</v>
      </c>
      <c r="AH32" s="111" t="s">
        <v>77</v>
      </c>
      <c r="AI32" s="111"/>
      <c r="AJ32" s="112" t="s">
        <v>436</v>
      </c>
      <c r="AK32" s="110" t="s">
        <v>435</v>
      </c>
      <c r="AL32" s="110" t="s">
        <v>433</v>
      </c>
      <c r="AM32" s="18" t="s">
        <v>437</v>
      </c>
      <c r="AN32" s="8">
        <v>12</v>
      </c>
      <c r="AO32" s="2">
        <v>6</v>
      </c>
      <c r="AP32" s="48"/>
      <c r="AQ32" t="s">
        <v>765</v>
      </c>
    </row>
    <row r="33" spans="1:44" s="121" customFormat="1" ht="24" x14ac:dyDescent="0.3">
      <c r="A33" s="4">
        <v>30</v>
      </c>
      <c r="B33" s="2" t="s">
        <v>428</v>
      </c>
      <c r="C33" s="2" t="s">
        <v>107</v>
      </c>
      <c r="D33" s="2">
        <v>106.73014000000001</v>
      </c>
      <c r="E33" s="2">
        <v>10.886240000000001</v>
      </c>
      <c r="F33" s="2" t="s">
        <v>429</v>
      </c>
      <c r="G33" s="34" t="s">
        <v>353</v>
      </c>
      <c r="H33" s="27" t="s">
        <v>893</v>
      </c>
      <c r="I33" s="34" t="s">
        <v>1230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1167</v>
      </c>
      <c r="AA33" s="101" t="s">
        <v>431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378</v>
      </c>
      <c r="AH33" s="110" t="s">
        <v>79</v>
      </c>
      <c r="AI33" s="118"/>
      <c r="AJ33" s="119" t="s">
        <v>432</v>
      </c>
      <c r="AK33" s="117" t="s">
        <v>430</v>
      </c>
      <c r="AL33" s="110" t="s">
        <v>433</v>
      </c>
      <c r="AM33" s="2" t="s">
        <v>434</v>
      </c>
      <c r="AN33" s="8">
        <v>13</v>
      </c>
      <c r="AO33" s="2">
        <v>12</v>
      </c>
      <c r="AP33" s="48"/>
      <c r="AQ33" t="s">
        <v>765</v>
      </c>
      <c r="AR33" s="120"/>
    </row>
    <row r="34" spans="1:44" s="121" customFormat="1" ht="36" x14ac:dyDescent="0.3">
      <c r="A34" s="4">
        <v>31</v>
      </c>
      <c r="B34" s="2" t="s">
        <v>340</v>
      </c>
      <c r="C34" s="2" t="s">
        <v>15</v>
      </c>
      <c r="D34" s="2">
        <v>106.58684599999999</v>
      </c>
      <c r="E34" s="2">
        <v>10.848431</v>
      </c>
      <c r="F34" s="2" t="s">
        <v>447</v>
      </c>
      <c r="G34" s="34" t="s">
        <v>353</v>
      </c>
      <c r="H34" s="27" t="s">
        <v>893</v>
      </c>
      <c r="I34" s="25" t="s">
        <v>893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911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448</v>
      </c>
      <c r="AH34" s="111" t="s">
        <v>77</v>
      </c>
      <c r="AI34" s="118"/>
      <c r="AJ34" s="119" t="s">
        <v>485</v>
      </c>
      <c r="AK34" s="117" t="s">
        <v>486</v>
      </c>
      <c r="AL34" s="110" t="s">
        <v>408</v>
      </c>
      <c r="AM34" s="2" t="s">
        <v>345</v>
      </c>
      <c r="AN34" s="2">
        <v>12</v>
      </c>
      <c r="AO34" s="2">
        <v>12</v>
      </c>
      <c r="AP34" s="48"/>
      <c r="AQ34" t="s">
        <v>765</v>
      </c>
      <c r="AR34" s="120"/>
    </row>
    <row r="35" spans="1:44" s="121" customFormat="1" ht="24" x14ac:dyDescent="0.3">
      <c r="A35" s="4">
        <v>32</v>
      </c>
      <c r="B35" s="2" t="s">
        <v>449</v>
      </c>
      <c r="C35" s="2" t="s">
        <v>32</v>
      </c>
      <c r="D35" s="2">
        <v>106.720461</v>
      </c>
      <c r="E35" s="2">
        <v>10.801625</v>
      </c>
      <c r="F35" s="2" t="s">
        <v>450</v>
      </c>
      <c r="G35" s="34" t="s">
        <v>353</v>
      </c>
      <c r="H35" s="27" t="s">
        <v>893</v>
      </c>
      <c r="I35" s="25" t="s">
        <v>893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1168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378</v>
      </c>
      <c r="AH35" s="111" t="s">
        <v>77</v>
      </c>
      <c r="AI35" s="118"/>
      <c r="AJ35" s="119" t="s">
        <v>452</v>
      </c>
      <c r="AK35" s="117" t="s">
        <v>451</v>
      </c>
      <c r="AL35" s="110" t="s">
        <v>453</v>
      </c>
      <c r="AM35" s="2" t="s">
        <v>454</v>
      </c>
      <c r="AN35" s="2">
        <v>12</v>
      </c>
      <c r="AO35" s="2">
        <v>12</v>
      </c>
      <c r="AP35" s="48"/>
      <c r="AQ35" t="s">
        <v>765</v>
      </c>
      <c r="AR35" s="120"/>
    </row>
    <row r="36" spans="1:44" s="121" customFormat="1" ht="24" x14ac:dyDescent="0.3">
      <c r="A36" s="4">
        <v>33</v>
      </c>
      <c r="B36" s="2" t="s">
        <v>455</v>
      </c>
      <c r="C36" s="2" t="s">
        <v>394</v>
      </c>
      <c r="D36" s="2">
        <v>106.5579609</v>
      </c>
      <c r="E36" s="2">
        <v>10.9276526</v>
      </c>
      <c r="F36" s="2" t="s">
        <v>456</v>
      </c>
      <c r="G36" s="34" t="s">
        <v>354</v>
      </c>
      <c r="H36" s="27" t="s">
        <v>893</v>
      </c>
      <c r="I36" s="34" t="s">
        <v>1231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457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378</v>
      </c>
      <c r="AH36" s="111" t="s">
        <v>77</v>
      </c>
      <c r="AI36" s="118"/>
      <c r="AJ36" s="119" t="s">
        <v>510</v>
      </c>
      <c r="AK36" s="117" t="s">
        <v>511</v>
      </c>
      <c r="AL36" s="110" t="s">
        <v>512</v>
      </c>
      <c r="AM36" s="2" t="s">
        <v>513</v>
      </c>
      <c r="AN36" s="2">
        <v>25</v>
      </c>
      <c r="AO36" s="2">
        <v>4</v>
      </c>
      <c r="AP36" s="48"/>
      <c r="AQ36" t="s">
        <v>765</v>
      </c>
      <c r="AR36" s="120"/>
    </row>
    <row r="37" spans="1:44" s="121" customFormat="1" ht="24" x14ac:dyDescent="0.3">
      <c r="A37" s="4">
        <v>34</v>
      </c>
      <c r="B37" s="2" t="s">
        <v>461</v>
      </c>
      <c r="C37" s="2" t="s">
        <v>288</v>
      </c>
      <c r="D37" s="2">
        <v>106.64084200000001</v>
      </c>
      <c r="E37" s="2">
        <v>10.874141</v>
      </c>
      <c r="F37" s="2" t="s">
        <v>462</v>
      </c>
      <c r="G37" s="34" t="s">
        <v>353</v>
      </c>
      <c r="H37" s="27" t="s">
        <v>893</v>
      </c>
      <c r="I37" s="25" t="s">
        <v>893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899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463</v>
      </c>
      <c r="AK37" s="117" t="s">
        <v>464</v>
      </c>
      <c r="AL37" s="110" t="s">
        <v>465</v>
      </c>
      <c r="AM37" s="2" t="s">
        <v>466</v>
      </c>
      <c r="AN37" s="2">
        <v>13</v>
      </c>
      <c r="AO37" s="2">
        <v>12</v>
      </c>
      <c r="AP37" s="48"/>
      <c r="AQ37" t="s">
        <v>765</v>
      </c>
      <c r="AR37" s="120"/>
    </row>
    <row r="38" spans="1:44" s="121" customFormat="1" ht="24" x14ac:dyDescent="0.3">
      <c r="A38" s="4">
        <v>35</v>
      </c>
      <c r="B38" s="2" t="s">
        <v>467</v>
      </c>
      <c r="C38" s="2" t="s">
        <v>468</v>
      </c>
      <c r="D38" s="2">
        <v>106.619451</v>
      </c>
      <c r="E38" s="2">
        <v>10.787967</v>
      </c>
      <c r="F38" s="2" t="s">
        <v>469</v>
      </c>
      <c r="G38" s="34" t="s">
        <v>353</v>
      </c>
      <c r="H38" s="27" t="s">
        <v>893</v>
      </c>
      <c r="I38" s="25" t="s">
        <v>893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1169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470</v>
      </c>
      <c r="AK38" s="117" t="s">
        <v>471</v>
      </c>
      <c r="AL38" s="110" t="s">
        <v>114</v>
      </c>
      <c r="AM38" s="2" t="s">
        <v>472</v>
      </c>
      <c r="AN38" s="2">
        <v>15</v>
      </c>
      <c r="AO38" s="2">
        <v>12</v>
      </c>
      <c r="AP38" s="48"/>
      <c r="AQ38" t="s">
        <v>765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473</v>
      </c>
      <c r="G39" s="34" t="s">
        <v>353</v>
      </c>
      <c r="H39" s="27" t="s">
        <v>893</v>
      </c>
      <c r="I39" s="25" t="s">
        <v>893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1170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474</v>
      </c>
      <c r="AK39" s="117" t="s">
        <v>475</v>
      </c>
      <c r="AL39" s="110" t="s">
        <v>476</v>
      </c>
      <c r="AM39" s="2" t="s">
        <v>477</v>
      </c>
      <c r="AN39" s="2">
        <v>13.5</v>
      </c>
      <c r="AO39" s="2">
        <v>6</v>
      </c>
      <c r="AP39" s="48"/>
      <c r="AQ39" t="s">
        <v>765</v>
      </c>
      <c r="AR39" s="120"/>
    </row>
    <row r="40" spans="1:44" s="121" customFormat="1" ht="24" x14ac:dyDescent="0.3">
      <c r="A40" s="4">
        <v>37</v>
      </c>
      <c r="B40" s="2" t="s">
        <v>478</v>
      </c>
      <c r="C40" s="2" t="s">
        <v>229</v>
      </c>
      <c r="D40" s="2">
        <v>106.59792899999999</v>
      </c>
      <c r="E40" s="2">
        <v>10.821275999999999</v>
      </c>
      <c r="F40" s="2" t="s">
        <v>479</v>
      </c>
      <c r="G40" s="34" t="s">
        <v>353</v>
      </c>
      <c r="H40" s="27" t="s">
        <v>893</v>
      </c>
      <c r="I40" s="25" t="s">
        <v>893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900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480</v>
      </c>
      <c r="AK40" s="117" t="s">
        <v>482</v>
      </c>
      <c r="AL40" s="110" t="s">
        <v>481</v>
      </c>
      <c r="AM40" s="2" t="s">
        <v>483</v>
      </c>
      <c r="AN40" s="2">
        <v>12.5</v>
      </c>
      <c r="AO40" s="2">
        <v>12</v>
      </c>
      <c r="AP40" s="48"/>
      <c r="AQ40" t="s">
        <v>765</v>
      </c>
      <c r="AR40" s="120"/>
    </row>
    <row r="41" spans="1:44" s="121" customFormat="1" ht="24" x14ac:dyDescent="0.3">
      <c r="A41" s="4">
        <v>38</v>
      </c>
      <c r="B41" s="2" t="s">
        <v>493</v>
      </c>
      <c r="C41" s="2" t="s">
        <v>32</v>
      </c>
      <c r="D41" s="2">
        <v>106.687494</v>
      </c>
      <c r="E41" s="2">
        <v>10.810822</v>
      </c>
      <c r="F41" s="2" t="s">
        <v>494</v>
      </c>
      <c r="G41" s="34" t="s">
        <v>353</v>
      </c>
      <c r="H41" s="27" t="s">
        <v>893</v>
      </c>
      <c r="I41" s="25" t="s">
        <v>893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1171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495</v>
      </c>
      <c r="AK41" s="117" t="s">
        <v>497</v>
      </c>
      <c r="AL41" s="110" t="s">
        <v>496</v>
      </c>
      <c r="AM41" s="2" t="s">
        <v>498</v>
      </c>
      <c r="AN41" s="2">
        <v>17</v>
      </c>
      <c r="AO41" s="2">
        <v>6</v>
      </c>
      <c r="AP41" s="48"/>
      <c r="AQ41" t="s">
        <v>765</v>
      </c>
      <c r="AR41" s="120"/>
    </row>
    <row r="42" spans="1:44" s="121" customFormat="1" ht="36" x14ac:dyDescent="0.3">
      <c r="A42" s="4">
        <v>39</v>
      </c>
      <c r="B42" s="2" t="s">
        <v>492</v>
      </c>
      <c r="C42" s="2" t="s">
        <v>32</v>
      </c>
      <c r="D42" s="2">
        <v>106.719729</v>
      </c>
      <c r="E42" s="2">
        <v>10.806206</v>
      </c>
      <c r="F42" s="2" t="s">
        <v>499</v>
      </c>
      <c r="G42" s="34" t="s">
        <v>353</v>
      </c>
      <c r="H42" s="27" t="s">
        <v>893</v>
      </c>
      <c r="I42" s="25" t="s">
        <v>893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1172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508</v>
      </c>
      <c r="AK42" s="117" t="s">
        <v>500</v>
      </c>
      <c r="AL42" s="110" t="s">
        <v>501</v>
      </c>
      <c r="AM42" s="2" t="s">
        <v>502</v>
      </c>
      <c r="AN42" s="2">
        <v>35.799999999999997</v>
      </c>
      <c r="AO42" s="2">
        <v>6</v>
      </c>
      <c r="AP42" s="48"/>
      <c r="AQ42" t="s">
        <v>765</v>
      </c>
      <c r="AR42" s="120"/>
    </row>
    <row r="43" spans="1:44" s="121" customFormat="1" ht="24" x14ac:dyDescent="0.3">
      <c r="A43" s="4">
        <v>40</v>
      </c>
      <c r="B43" s="2" t="s">
        <v>484</v>
      </c>
      <c r="C43" s="2" t="s">
        <v>66</v>
      </c>
      <c r="D43" s="2">
        <v>106.697784</v>
      </c>
      <c r="E43" s="2">
        <v>10.826632999999999</v>
      </c>
      <c r="F43" s="2" t="s">
        <v>503</v>
      </c>
      <c r="G43" s="34" t="s">
        <v>354</v>
      </c>
      <c r="H43" s="27" t="s">
        <v>893</v>
      </c>
      <c r="I43" s="34" t="s">
        <v>1235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1173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505</v>
      </c>
      <c r="AK43" s="117" t="s">
        <v>504</v>
      </c>
      <c r="AL43" s="110" t="s">
        <v>506</v>
      </c>
      <c r="AM43" s="2" t="s">
        <v>507</v>
      </c>
      <c r="AN43" s="2">
        <v>23</v>
      </c>
      <c r="AO43" s="2">
        <v>6</v>
      </c>
      <c r="AP43" s="48"/>
      <c r="AQ43" t="s">
        <v>765</v>
      </c>
      <c r="AR43" s="120"/>
    </row>
    <row r="44" spans="1:44" s="121" customFormat="1" ht="36" x14ac:dyDescent="0.3">
      <c r="A44" s="4">
        <v>41</v>
      </c>
      <c r="B44" s="2" t="s">
        <v>541</v>
      </c>
      <c r="C44" s="2" t="s">
        <v>376</v>
      </c>
      <c r="D44" s="2">
        <v>106.80708300000001</v>
      </c>
      <c r="E44" s="2">
        <v>10.852672999999999</v>
      </c>
      <c r="F44" s="2" t="s">
        <v>542</v>
      </c>
      <c r="G44" s="34" t="s">
        <v>353</v>
      </c>
      <c r="H44" s="27" t="s">
        <v>893</v>
      </c>
      <c r="I44" s="25" t="s">
        <v>893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1174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543</v>
      </c>
      <c r="AK44" s="117" t="s">
        <v>544</v>
      </c>
      <c r="AL44" s="110" t="s">
        <v>194</v>
      </c>
      <c r="AM44" s="2" t="s">
        <v>545</v>
      </c>
      <c r="AN44" s="2">
        <v>14</v>
      </c>
      <c r="AO44" s="2">
        <v>9</v>
      </c>
      <c r="AP44" s="48"/>
      <c r="AQ44" t="s">
        <v>766</v>
      </c>
      <c r="AR44" s="120"/>
    </row>
    <row r="45" spans="1:44" s="121" customFormat="1" ht="24" x14ac:dyDescent="0.3">
      <c r="A45" s="4">
        <v>42</v>
      </c>
      <c r="B45" s="2" t="s">
        <v>550</v>
      </c>
      <c r="C45" s="2" t="s">
        <v>229</v>
      </c>
      <c r="D45" s="2">
        <v>106.58574299999999</v>
      </c>
      <c r="E45" s="2">
        <v>10.793623999999999</v>
      </c>
      <c r="F45" s="2" t="s">
        <v>551</v>
      </c>
      <c r="G45" s="34" t="s">
        <v>353</v>
      </c>
      <c r="H45" s="27" t="s">
        <v>893</v>
      </c>
      <c r="I45" s="25" t="s">
        <v>893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1175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552</v>
      </c>
      <c r="AK45" s="117" t="s">
        <v>553</v>
      </c>
      <c r="AL45" s="110" t="s">
        <v>170</v>
      </c>
      <c r="AM45" s="2" t="s">
        <v>554</v>
      </c>
      <c r="AN45" s="2">
        <v>12.5</v>
      </c>
      <c r="AO45" s="2">
        <v>12</v>
      </c>
      <c r="AP45" s="48"/>
      <c r="AQ45" t="s">
        <v>766</v>
      </c>
      <c r="AR45" s="120"/>
    </row>
    <row r="46" spans="1:44" s="121" customFormat="1" ht="24" x14ac:dyDescent="0.3">
      <c r="A46" s="4">
        <v>43</v>
      </c>
      <c r="B46" s="153" t="s">
        <v>557</v>
      </c>
      <c r="C46" s="2" t="s">
        <v>556</v>
      </c>
      <c r="D46" s="2">
        <v>106.67829</v>
      </c>
      <c r="E46" s="2">
        <v>10.7887</v>
      </c>
      <c r="F46" s="2" t="s">
        <v>555</v>
      </c>
      <c r="G46" s="34" t="s">
        <v>354</v>
      </c>
      <c r="H46" s="27" t="s">
        <v>893</v>
      </c>
      <c r="I46" s="25" t="s">
        <v>893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1165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560</v>
      </c>
      <c r="AK46" s="117" t="s">
        <v>559</v>
      </c>
      <c r="AL46" s="110" t="s">
        <v>398</v>
      </c>
      <c r="AM46" s="2" t="s">
        <v>558</v>
      </c>
      <c r="AN46" s="2">
        <v>14</v>
      </c>
      <c r="AO46" s="2">
        <v>6</v>
      </c>
      <c r="AP46" s="48"/>
      <c r="AQ46" t="s">
        <v>766</v>
      </c>
      <c r="AR46" s="120"/>
    </row>
    <row r="47" spans="1:44" s="121" customFormat="1" ht="24" x14ac:dyDescent="0.3">
      <c r="A47" s="4">
        <v>44</v>
      </c>
      <c r="B47" s="153" t="s">
        <v>1137</v>
      </c>
      <c r="C47" s="2" t="s">
        <v>32</v>
      </c>
      <c r="D47" s="2">
        <v>106.71091</v>
      </c>
      <c r="E47" s="2">
        <v>10.79884</v>
      </c>
      <c r="F47" s="2" t="s">
        <v>561</v>
      </c>
      <c r="G47" s="110" t="s">
        <v>353</v>
      </c>
      <c r="H47" s="27" t="s">
        <v>893</v>
      </c>
      <c r="I47" s="25" t="s">
        <v>893</v>
      </c>
      <c r="J47" s="20" t="s">
        <v>897</v>
      </c>
      <c r="K47" s="20" t="s">
        <v>897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954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633</v>
      </c>
      <c r="AK47" s="117" t="s">
        <v>634</v>
      </c>
      <c r="AL47" s="110" t="s">
        <v>635</v>
      </c>
      <c r="AM47" s="2" t="s">
        <v>640</v>
      </c>
      <c r="AN47" s="2"/>
      <c r="AO47" s="2"/>
      <c r="AP47" s="48"/>
      <c r="AQ47" t="s">
        <v>767</v>
      </c>
      <c r="AR47" s="120"/>
    </row>
    <row r="48" spans="1:44" s="121" customFormat="1" ht="24" x14ac:dyDescent="0.3">
      <c r="A48" s="4">
        <v>45</v>
      </c>
      <c r="B48" s="2" t="s">
        <v>568</v>
      </c>
      <c r="C48" s="2" t="s">
        <v>468</v>
      </c>
      <c r="D48" s="2">
        <v>106.627933</v>
      </c>
      <c r="E48" s="2">
        <v>10.788978999999999</v>
      </c>
      <c r="F48" s="2" t="s">
        <v>594</v>
      </c>
      <c r="G48" s="34" t="s">
        <v>354</v>
      </c>
      <c r="H48" s="27" t="s">
        <v>893</v>
      </c>
      <c r="I48" s="25" t="s">
        <v>893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901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595</v>
      </c>
      <c r="AK48" s="117" t="s">
        <v>597</v>
      </c>
      <c r="AL48" s="110" t="s">
        <v>596</v>
      </c>
      <c r="AM48" s="2" t="s">
        <v>598</v>
      </c>
      <c r="AN48" s="2">
        <v>15.5</v>
      </c>
      <c r="AO48" s="2">
        <v>6</v>
      </c>
      <c r="AP48" s="48"/>
      <c r="AQ48" t="s">
        <v>766</v>
      </c>
      <c r="AR48" s="120"/>
    </row>
    <row r="49" spans="1:44" s="121" customFormat="1" ht="24" x14ac:dyDescent="0.3">
      <c r="A49" s="4">
        <v>46</v>
      </c>
      <c r="B49" s="2" t="s">
        <v>569</v>
      </c>
      <c r="C49" s="2" t="s">
        <v>573</v>
      </c>
      <c r="D49" s="2">
        <v>106.7666253</v>
      </c>
      <c r="E49" s="2">
        <v>10.8351422</v>
      </c>
      <c r="F49" s="2" t="s">
        <v>574</v>
      </c>
      <c r="G49" s="34" t="s">
        <v>353</v>
      </c>
      <c r="H49" s="27" t="s">
        <v>893</v>
      </c>
      <c r="I49" s="25" t="s">
        <v>893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1176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1157</v>
      </c>
      <c r="AI49" s="118"/>
      <c r="AJ49" s="119" t="s">
        <v>575</v>
      </c>
      <c r="AK49" s="117" t="s">
        <v>576</v>
      </c>
      <c r="AL49" s="110" t="s">
        <v>398</v>
      </c>
      <c r="AM49" s="2" t="s">
        <v>577</v>
      </c>
      <c r="AN49" s="2">
        <v>11</v>
      </c>
      <c r="AO49" s="2">
        <v>12</v>
      </c>
      <c r="AP49" s="48"/>
      <c r="AQ49" t="s">
        <v>766</v>
      </c>
      <c r="AR49" s="120"/>
    </row>
    <row r="50" spans="1:44" s="121" customFormat="1" ht="24" x14ac:dyDescent="0.3">
      <c r="A50" s="4">
        <v>47</v>
      </c>
      <c r="B50" s="2" t="s">
        <v>570</v>
      </c>
      <c r="C50" s="2" t="s">
        <v>579</v>
      </c>
      <c r="D50" s="2">
        <v>106.663482</v>
      </c>
      <c r="E50" s="2">
        <v>10.76826</v>
      </c>
      <c r="F50" s="2" t="s">
        <v>578</v>
      </c>
      <c r="G50" s="34" t="s">
        <v>354</v>
      </c>
      <c r="H50" s="27" t="s">
        <v>893</v>
      </c>
      <c r="I50" s="25" t="s">
        <v>893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1177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580</v>
      </c>
      <c r="AK50" s="117" t="s">
        <v>581</v>
      </c>
      <c r="AL50" s="117" t="s">
        <v>170</v>
      </c>
      <c r="AM50" s="2" t="s">
        <v>582</v>
      </c>
      <c r="AN50" s="2">
        <v>17</v>
      </c>
      <c r="AO50" s="2">
        <v>6</v>
      </c>
      <c r="AP50" s="48"/>
      <c r="AQ50" t="s">
        <v>766</v>
      </c>
      <c r="AR50" s="120"/>
    </row>
    <row r="51" spans="1:44" s="121" customFormat="1" ht="24" x14ac:dyDescent="0.3">
      <c r="A51" s="4">
        <v>48</v>
      </c>
      <c r="B51" s="2" t="s">
        <v>571</v>
      </c>
      <c r="C51" s="2" t="s">
        <v>579</v>
      </c>
      <c r="D51" s="2">
        <v>106.66824699999999</v>
      </c>
      <c r="E51" s="2">
        <v>10.784117</v>
      </c>
      <c r="F51" s="2" t="s">
        <v>583</v>
      </c>
      <c r="G51" s="34" t="s">
        <v>354</v>
      </c>
      <c r="H51" s="27" t="s">
        <v>893</v>
      </c>
      <c r="I51" s="25" t="s">
        <v>893</v>
      </c>
      <c r="J51" s="20">
        <v>45078</v>
      </c>
      <c r="K51" s="20">
        <v>46904</v>
      </c>
      <c r="L51" s="20"/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902</v>
      </c>
      <c r="AA51" s="101">
        <v>4000000</v>
      </c>
      <c r="AB51" s="101"/>
      <c r="AC51" s="101">
        <v>5000000</v>
      </c>
      <c r="AD51" s="95">
        <v>7000000</v>
      </c>
      <c r="AE51" s="101">
        <v>0</v>
      </c>
      <c r="AF51" s="154">
        <v>0</v>
      </c>
      <c r="AG51" s="87"/>
      <c r="AH51" s="111" t="s">
        <v>79</v>
      </c>
      <c r="AI51" s="118"/>
      <c r="AJ51" s="119" t="s">
        <v>585</v>
      </c>
      <c r="AK51" s="117" t="s">
        <v>584</v>
      </c>
      <c r="AL51" s="110" t="s">
        <v>586</v>
      </c>
      <c r="AM51" s="2" t="s">
        <v>587</v>
      </c>
      <c r="AN51" s="2">
        <v>14.5</v>
      </c>
      <c r="AO51" s="2">
        <v>6</v>
      </c>
      <c r="AP51" s="48"/>
      <c r="AQ51" t="s">
        <v>766</v>
      </c>
      <c r="AR51" s="120"/>
    </row>
    <row r="52" spans="1:44" s="121" customFormat="1" ht="24" x14ac:dyDescent="0.3">
      <c r="A52" s="4">
        <v>49</v>
      </c>
      <c r="B52" s="2" t="s">
        <v>572</v>
      </c>
      <c r="C52" s="2" t="s">
        <v>468</v>
      </c>
      <c r="D52" s="2">
        <v>106.636156</v>
      </c>
      <c r="E52" s="2">
        <v>10.783979</v>
      </c>
      <c r="F52" s="2" t="s">
        <v>588</v>
      </c>
      <c r="G52" s="34" t="s">
        <v>353</v>
      </c>
      <c r="H52" s="27" t="s">
        <v>893</v>
      </c>
      <c r="I52" s="25" t="s">
        <v>893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1178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590</v>
      </c>
      <c r="AK52" s="117" t="s">
        <v>589</v>
      </c>
      <c r="AL52" s="110" t="s">
        <v>591</v>
      </c>
      <c r="AM52" s="2" t="s">
        <v>592</v>
      </c>
      <c r="AN52" s="2">
        <v>24</v>
      </c>
      <c r="AO52" s="2">
        <v>6</v>
      </c>
      <c r="AP52" s="48"/>
      <c r="AQ52" t="s">
        <v>766</v>
      </c>
      <c r="AR52" s="120"/>
    </row>
    <row r="53" spans="1:44" s="121" customFormat="1" ht="24" x14ac:dyDescent="0.3">
      <c r="A53" s="4">
        <v>50</v>
      </c>
      <c r="B53" s="2" t="s">
        <v>614</v>
      </c>
      <c r="C53" s="2" t="s">
        <v>573</v>
      </c>
      <c r="D53" s="2">
        <v>106.732218</v>
      </c>
      <c r="E53" s="2">
        <v>10.863514</v>
      </c>
      <c r="F53" s="2" t="s">
        <v>615</v>
      </c>
      <c r="G53" s="34" t="s">
        <v>353</v>
      </c>
      <c r="H53" s="27" t="s">
        <v>893</v>
      </c>
      <c r="I53" s="25" t="s">
        <v>893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1179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617</v>
      </c>
      <c r="AK53" s="117" t="s">
        <v>616</v>
      </c>
      <c r="AL53" s="110" t="s">
        <v>586</v>
      </c>
      <c r="AM53" s="2" t="s">
        <v>618</v>
      </c>
      <c r="AN53" s="2">
        <v>16</v>
      </c>
      <c r="AO53" s="2">
        <v>9</v>
      </c>
      <c r="AP53" s="48"/>
      <c r="AQ53" t="s">
        <v>766</v>
      </c>
      <c r="AR53" s="120"/>
    </row>
    <row r="54" spans="1:44" s="121" customFormat="1" ht="24" x14ac:dyDescent="0.3">
      <c r="A54" s="4">
        <v>51</v>
      </c>
      <c r="B54" s="2" t="s">
        <v>619</v>
      </c>
      <c r="C54" s="2" t="s">
        <v>573</v>
      </c>
      <c r="D54" s="2">
        <v>106.755152</v>
      </c>
      <c r="E54" s="2">
        <v>10.838282</v>
      </c>
      <c r="F54" s="2" t="s">
        <v>620</v>
      </c>
      <c r="G54" s="34" t="s">
        <v>353</v>
      </c>
      <c r="H54" s="27" t="s">
        <v>893</v>
      </c>
      <c r="I54" s="25" t="s">
        <v>893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1180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622</v>
      </c>
      <c r="AK54" s="117" t="s">
        <v>621</v>
      </c>
      <c r="AL54" s="110" t="s">
        <v>623</v>
      </c>
      <c r="AM54" s="2" t="s">
        <v>624</v>
      </c>
      <c r="AN54" s="2">
        <v>15</v>
      </c>
      <c r="AO54" s="2">
        <v>12</v>
      </c>
      <c r="AP54" s="48"/>
      <c r="AQ54" t="s">
        <v>766</v>
      </c>
      <c r="AR54" s="120"/>
    </row>
    <row r="55" spans="1:44" s="121" customFormat="1" ht="36" x14ac:dyDescent="0.3">
      <c r="A55" s="4">
        <v>52</v>
      </c>
      <c r="B55" s="2" t="s">
        <v>608</v>
      </c>
      <c r="C55" s="2" t="s">
        <v>573</v>
      </c>
      <c r="D55" s="2">
        <v>106.832753</v>
      </c>
      <c r="E55" s="2">
        <v>10.887543000000001</v>
      </c>
      <c r="F55" s="2" t="s">
        <v>625</v>
      </c>
      <c r="G55" s="34" t="s">
        <v>353</v>
      </c>
      <c r="H55" s="27" t="s">
        <v>893</v>
      </c>
      <c r="I55" s="25" t="s">
        <v>893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1181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626</v>
      </c>
      <c r="AK55" s="117" t="s">
        <v>627</v>
      </c>
      <c r="AL55" s="110" t="s">
        <v>628</v>
      </c>
      <c r="AM55" s="2" t="s">
        <v>629</v>
      </c>
      <c r="AN55" s="2">
        <v>17</v>
      </c>
      <c r="AO55" s="2">
        <v>9</v>
      </c>
      <c r="AP55" s="48"/>
      <c r="AQ55" t="s">
        <v>766</v>
      </c>
      <c r="AR55" s="120"/>
    </row>
    <row r="56" spans="1:44" s="121" customFormat="1" ht="24" x14ac:dyDescent="0.3">
      <c r="A56" s="4">
        <v>53</v>
      </c>
      <c r="B56" s="2" t="s">
        <v>636</v>
      </c>
      <c r="C56" s="2" t="s">
        <v>556</v>
      </c>
      <c r="D56" s="2">
        <v>106.67816500000001</v>
      </c>
      <c r="E56" s="2">
        <v>10.767367</v>
      </c>
      <c r="F56" s="2" t="s">
        <v>638</v>
      </c>
      <c r="G56" s="34" t="s">
        <v>354</v>
      </c>
      <c r="H56" s="27" t="s">
        <v>893</v>
      </c>
      <c r="I56" s="25" t="s">
        <v>893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1182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650</v>
      </c>
      <c r="AK56" s="117" t="s">
        <v>649</v>
      </c>
      <c r="AL56" s="110" t="s">
        <v>153</v>
      </c>
      <c r="AM56" s="2" t="s">
        <v>651</v>
      </c>
      <c r="AN56" s="2">
        <v>24</v>
      </c>
      <c r="AO56" s="2">
        <v>6</v>
      </c>
      <c r="AP56" s="48"/>
      <c r="AQ56" t="s">
        <v>766</v>
      </c>
      <c r="AR56" s="120"/>
    </row>
    <row r="57" spans="1:44" s="121" customFormat="1" ht="24" x14ac:dyDescent="0.3">
      <c r="A57" s="4">
        <v>54</v>
      </c>
      <c r="B57" s="2" t="s">
        <v>637</v>
      </c>
      <c r="C57" s="2" t="s">
        <v>579</v>
      </c>
      <c r="D57" s="2">
        <v>106.662549</v>
      </c>
      <c r="E57" s="2">
        <v>10.771064000000001</v>
      </c>
      <c r="F57" s="2" t="s">
        <v>639</v>
      </c>
      <c r="G57" s="34" t="s">
        <v>354</v>
      </c>
      <c r="H57" s="27" t="s">
        <v>893</v>
      </c>
      <c r="I57" s="25" t="s">
        <v>893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1183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653</v>
      </c>
      <c r="AK57" s="117" t="s">
        <v>654</v>
      </c>
      <c r="AL57" s="110" t="s">
        <v>586</v>
      </c>
      <c r="AM57" s="2" t="s">
        <v>652</v>
      </c>
      <c r="AN57" s="2">
        <v>24</v>
      </c>
      <c r="AO57" s="2">
        <v>6</v>
      </c>
      <c r="AP57" s="48"/>
      <c r="AQ57" t="s">
        <v>766</v>
      </c>
      <c r="AR57" s="120"/>
    </row>
    <row r="58" spans="1:44" s="121" customFormat="1" ht="24" x14ac:dyDescent="0.3">
      <c r="A58" s="4">
        <v>55</v>
      </c>
      <c r="B58" s="2" t="s">
        <v>668</v>
      </c>
      <c r="C58" s="2" t="s">
        <v>66</v>
      </c>
      <c r="D58" s="2">
        <v>106.68352400000001</v>
      </c>
      <c r="E58" s="2">
        <v>10.845613</v>
      </c>
      <c r="F58" s="2" t="s">
        <v>673</v>
      </c>
      <c r="G58" s="34" t="s">
        <v>354</v>
      </c>
      <c r="H58" s="27" t="s">
        <v>893</v>
      </c>
      <c r="I58" s="25" t="s">
        <v>893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1184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678</v>
      </c>
      <c r="AK58" s="117" t="s">
        <v>679</v>
      </c>
      <c r="AL58" s="110" t="s">
        <v>398</v>
      </c>
      <c r="AM58" s="2" t="s">
        <v>680</v>
      </c>
      <c r="AN58" s="2">
        <v>15.5</v>
      </c>
      <c r="AO58" s="2">
        <v>6</v>
      </c>
      <c r="AP58" s="48"/>
      <c r="AQ58" t="s">
        <v>768</v>
      </c>
      <c r="AR58" s="120"/>
    </row>
    <row r="59" spans="1:44" s="121" customFormat="1" ht="24" x14ac:dyDescent="0.3">
      <c r="A59" s="4">
        <v>56</v>
      </c>
      <c r="B59" s="2" t="s">
        <v>669</v>
      </c>
      <c r="C59" s="2" t="s">
        <v>32</v>
      </c>
      <c r="D59" s="2">
        <v>106.68946819999999</v>
      </c>
      <c r="E59" s="2">
        <v>10.8050829</v>
      </c>
      <c r="F59" s="2" t="s">
        <v>674</v>
      </c>
      <c r="G59" s="34" t="s">
        <v>354</v>
      </c>
      <c r="H59" s="27" t="s">
        <v>893</v>
      </c>
      <c r="I59" s="25" t="s">
        <v>893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1185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682</v>
      </c>
      <c r="AK59" s="117" t="s">
        <v>683</v>
      </c>
      <c r="AL59" s="110" t="s">
        <v>408</v>
      </c>
      <c r="AM59" s="2" t="s">
        <v>681</v>
      </c>
      <c r="AN59" s="2">
        <v>15</v>
      </c>
      <c r="AO59" s="2">
        <v>6</v>
      </c>
      <c r="AP59" s="48"/>
      <c r="AQ59" t="s">
        <v>768</v>
      </c>
      <c r="AR59" s="120"/>
    </row>
    <row r="60" spans="1:44" s="121" customFormat="1" ht="24" x14ac:dyDescent="0.3">
      <c r="A60" s="4">
        <v>57</v>
      </c>
      <c r="B60" s="2" t="s">
        <v>670</v>
      </c>
      <c r="C60" s="2" t="s">
        <v>579</v>
      </c>
      <c r="D60" s="2">
        <v>106.67948699999999</v>
      </c>
      <c r="E60" s="2">
        <v>10.778354</v>
      </c>
      <c r="F60" s="2" t="s">
        <v>675</v>
      </c>
      <c r="G60" s="34" t="s">
        <v>354</v>
      </c>
      <c r="H60" s="27" t="s">
        <v>893</v>
      </c>
      <c r="I60" s="25" t="s">
        <v>893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1186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685</v>
      </c>
      <c r="AK60" s="117" t="s">
        <v>686</v>
      </c>
      <c r="AL60" s="110" t="s">
        <v>687</v>
      </c>
      <c r="AM60" s="2" t="s">
        <v>684</v>
      </c>
      <c r="AN60" s="2">
        <v>17.5</v>
      </c>
      <c r="AO60" s="2">
        <v>6</v>
      </c>
      <c r="AP60" s="48"/>
      <c r="AQ60" t="s">
        <v>768</v>
      </c>
      <c r="AR60" s="120"/>
    </row>
    <row r="61" spans="1:44" s="121" customFormat="1" ht="24" x14ac:dyDescent="0.3">
      <c r="A61" s="4">
        <v>58</v>
      </c>
      <c r="B61" s="2" t="s">
        <v>671</v>
      </c>
      <c r="C61" s="2" t="s">
        <v>156</v>
      </c>
      <c r="D61" s="2">
        <v>106.64586</v>
      </c>
      <c r="E61" s="2">
        <v>10.80012</v>
      </c>
      <c r="F61" s="2" t="s">
        <v>676</v>
      </c>
      <c r="G61" s="34" t="s">
        <v>354</v>
      </c>
      <c r="H61" s="27" t="s">
        <v>893</v>
      </c>
      <c r="I61" s="25" t="s">
        <v>893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1187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694</v>
      </c>
      <c r="AK61" s="117" t="s">
        <v>693</v>
      </c>
      <c r="AL61" s="110" t="s">
        <v>408</v>
      </c>
      <c r="AM61" s="2" t="s">
        <v>692</v>
      </c>
      <c r="AN61" s="2"/>
      <c r="AO61" s="2"/>
      <c r="AP61" s="48"/>
      <c r="AQ61" t="s">
        <v>768</v>
      </c>
      <c r="AR61" s="120"/>
    </row>
    <row r="62" spans="1:44" s="121" customFormat="1" ht="24" x14ac:dyDescent="0.3">
      <c r="A62" s="4">
        <v>59</v>
      </c>
      <c r="B62" s="2" t="s">
        <v>672</v>
      </c>
      <c r="C62" s="2" t="s">
        <v>156</v>
      </c>
      <c r="D62" s="2">
        <v>106.64458</v>
      </c>
      <c r="E62" s="2">
        <v>10.80631</v>
      </c>
      <c r="F62" s="2" t="s">
        <v>677</v>
      </c>
      <c r="G62" s="34" t="s">
        <v>354</v>
      </c>
      <c r="H62" s="27" t="s">
        <v>893</v>
      </c>
      <c r="I62" s="25" t="s">
        <v>893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903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689</v>
      </c>
      <c r="AK62" s="117" t="s">
        <v>690</v>
      </c>
      <c r="AL62" s="110" t="s">
        <v>691</v>
      </c>
      <c r="AM62" s="2" t="s">
        <v>688</v>
      </c>
      <c r="AN62" s="2"/>
      <c r="AO62" s="2"/>
      <c r="AP62" s="48"/>
      <c r="AQ62" t="s">
        <v>768</v>
      </c>
      <c r="AR62" s="120"/>
    </row>
    <row r="63" spans="1:44" s="121" customFormat="1" ht="24" x14ac:dyDescent="0.3">
      <c r="A63" s="4">
        <v>60</v>
      </c>
      <c r="B63" s="2" t="s">
        <v>702</v>
      </c>
      <c r="C63" s="2" t="s">
        <v>288</v>
      </c>
      <c r="D63" s="2">
        <v>106.6938191</v>
      </c>
      <c r="E63" s="2">
        <v>10.8678408</v>
      </c>
      <c r="F63" s="2" t="s">
        <v>703</v>
      </c>
      <c r="G63" s="34" t="s">
        <v>353</v>
      </c>
      <c r="H63" s="27" t="s">
        <v>893</v>
      </c>
      <c r="I63" s="25" t="s">
        <v>893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904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719</v>
      </c>
      <c r="AH63" s="111" t="s">
        <v>79</v>
      </c>
      <c r="AI63" s="118"/>
      <c r="AJ63" s="119" t="s">
        <v>721</v>
      </c>
      <c r="AK63" s="117" t="s">
        <v>720</v>
      </c>
      <c r="AL63" s="110" t="s">
        <v>153</v>
      </c>
      <c r="AM63" s="2" t="s">
        <v>704</v>
      </c>
      <c r="AN63" s="2">
        <v>12.5</v>
      </c>
      <c r="AO63" s="2">
        <v>9</v>
      </c>
      <c r="AP63" s="48"/>
      <c r="AQ63" t="s">
        <v>768</v>
      </c>
      <c r="AR63" s="120"/>
    </row>
    <row r="64" spans="1:44" s="121" customFormat="1" ht="24" x14ac:dyDescent="0.3">
      <c r="A64" s="4">
        <v>61</v>
      </c>
      <c r="B64" s="2" t="s">
        <v>705</v>
      </c>
      <c r="C64" s="2" t="s">
        <v>288</v>
      </c>
      <c r="D64" s="2">
        <v>106.643762</v>
      </c>
      <c r="E64" s="2">
        <v>10.889957000000001</v>
      </c>
      <c r="F64" s="2" t="s">
        <v>706</v>
      </c>
      <c r="G64" s="34" t="s">
        <v>353</v>
      </c>
      <c r="H64" s="27" t="s">
        <v>893</v>
      </c>
      <c r="I64" s="34" t="s">
        <v>1232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905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718</v>
      </c>
      <c r="AH64" s="111" t="s">
        <v>79</v>
      </c>
      <c r="AI64" s="118"/>
      <c r="AJ64" s="119" t="s">
        <v>717</v>
      </c>
      <c r="AK64" s="117" t="s">
        <v>716</v>
      </c>
      <c r="AL64" s="110" t="s">
        <v>408</v>
      </c>
      <c r="AM64" s="2" t="s">
        <v>707</v>
      </c>
      <c r="AN64" s="2">
        <v>13.5</v>
      </c>
      <c r="AO64" s="2">
        <v>12</v>
      </c>
      <c r="AP64" s="48"/>
      <c r="AQ64" t="s">
        <v>768</v>
      </c>
      <c r="AR64" s="120"/>
    </row>
    <row r="65" spans="1:44" s="121" customFormat="1" ht="36" x14ac:dyDescent="0.3">
      <c r="A65" s="4">
        <v>62</v>
      </c>
      <c r="B65" s="2" t="s">
        <v>708</v>
      </c>
      <c r="C65" s="2" t="s">
        <v>32</v>
      </c>
      <c r="D65" s="2">
        <v>106.722944</v>
      </c>
      <c r="E65" s="2">
        <v>10.80025</v>
      </c>
      <c r="F65" s="2" t="s">
        <v>709</v>
      </c>
      <c r="G65" s="34" t="s">
        <v>353</v>
      </c>
      <c r="H65" s="27" t="s">
        <v>893</v>
      </c>
      <c r="I65" s="25" t="s">
        <v>893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1188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739</v>
      </c>
      <c r="AH65" s="111" t="s">
        <v>79</v>
      </c>
      <c r="AI65" s="118"/>
      <c r="AJ65" s="148" t="s">
        <v>729</v>
      </c>
      <c r="AK65" s="149" t="s">
        <v>728</v>
      </c>
      <c r="AL65" s="36" t="s">
        <v>803</v>
      </c>
      <c r="AM65" s="8" t="s">
        <v>710</v>
      </c>
      <c r="AN65" s="8">
        <v>25</v>
      </c>
      <c r="AO65" s="8">
        <v>12</v>
      </c>
      <c r="AP65" s="99"/>
      <c r="AQ65" t="s">
        <v>768</v>
      </c>
      <c r="AR65" s="120"/>
    </row>
    <row r="66" spans="1:44" s="121" customFormat="1" ht="24" x14ac:dyDescent="0.3">
      <c r="A66" s="4">
        <v>63</v>
      </c>
      <c r="B66" s="2" t="s">
        <v>711</v>
      </c>
      <c r="C66" s="2" t="s">
        <v>229</v>
      </c>
      <c r="D66" s="2">
        <v>106.577326</v>
      </c>
      <c r="E66" s="2">
        <v>10.760555999999999</v>
      </c>
      <c r="F66" s="2" t="s">
        <v>712</v>
      </c>
      <c r="G66" s="34" t="s">
        <v>353</v>
      </c>
      <c r="H66" s="27" t="s">
        <v>893</v>
      </c>
      <c r="I66" s="25" t="s">
        <v>893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906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722</v>
      </c>
      <c r="AH66" s="111" t="s">
        <v>79</v>
      </c>
      <c r="AI66" s="118"/>
      <c r="AJ66" s="119" t="s">
        <v>714</v>
      </c>
      <c r="AK66" s="117" t="s">
        <v>715</v>
      </c>
      <c r="AL66" s="110" t="s">
        <v>170</v>
      </c>
      <c r="AM66" s="2" t="s">
        <v>713</v>
      </c>
      <c r="AN66" s="2">
        <v>14</v>
      </c>
      <c r="AO66" s="2"/>
      <c r="AP66" s="48"/>
      <c r="AQ66" t="s">
        <v>768</v>
      </c>
      <c r="AR66" s="120"/>
    </row>
    <row r="67" spans="1:44" s="121" customFormat="1" ht="24" x14ac:dyDescent="0.3">
      <c r="A67" s="4">
        <v>64</v>
      </c>
      <c r="B67" s="2" t="s">
        <v>723</v>
      </c>
      <c r="C67" s="2" t="s">
        <v>15</v>
      </c>
      <c r="D67" s="2">
        <v>106.610331</v>
      </c>
      <c r="E67" s="2">
        <v>10.845826000000001</v>
      </c>
      <c r="F67" s="2" t="s">
        <v>724</v>
      </c>
      <c r="G67" s="34" t="s">
        <v>353</v>
      </c>
      <c r="H67" s="27" t="s">
        <v>893</v>
      </c>
      <c r="I67" s="34" t="s">
        <v>1237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907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737</v>
      </c>
      <c r="AH67" s="111" t="s">
        <v>79</v>
      </c>
      <c r="AI67" s="118"/>
      <c r="AJ67" s="119" t="s">
        <v>725</v>
      </c>
      <c r="AK67" s="117" t="s">
        <v>726</v>
      </c>
      <c r="AL67" s="110" t="s">
        <v>393</v>
      </c>
      <c r="AM67" s="2" t="s">
        <v>727</v>
      </c>
      <c r="AN67" s="2">
        <v>22</v>
      </c>
      <c r="AO67" s="2">
        <v>6</v>
      </c>
      <c r="AP67" s="48"/>
      <c r="AQ67" t="s">
        <v>768</v>
      </c>
      <c r="AR67" s="120"/>
    </row>
    <row r="68" spans="1:44" s="121" customFormat="1" ht="36" x14ac:dyDescent="0.3">
      <c r="A68" s="4">
        <v>65</v>
      </c>
      <c r="B68" s="2" t="s">
        <v>730</v>
      </c>
      <c r="C68" s="2" t="s">
        <v>288</v>
      </c>
      <c r="D68" s="2">
        <v>106.695172</v>
      </c>
      <c r="E68" s="2">
        <v>10.842267</v>
      </c>
      <c r="F68" s="2" t="s">
        <v>731</v>
      </c>
      <c r="G68" s="34" t="s">
        <v>354</v>
      </c>
      <c r="H68" s="27" t="s">
        <v>893</v>
      </c>
      <c r="I68" s="25" t="s">
        <v>893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1189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734</v>
      </c>
      <c r="AH68" s="111" t="s">
        <v>79</v>
      </c>
      <c r="AI68" s="118"/>
      <c r="AJ68" s="119" t="s">
        <v>733</v>
      </c>
      <c r="AK68" s="117" t="s">
        <v>732</v>
      </c>
      <c r="AL68" s="110" t="s">
        <v>735</v>
      </c>
      <c r="AM68" s="2" t="s">
        <v>736</v>
      </c>
      <c r="AN68" s="2">
        <v>13</v>
      </c>
      <c r="AO68" s="2">
        <v>6</v>
      </c>
      <c r="AP68" s="48"/>
      <c r="AQ68" t="s">
        <v>768</v>
      </c>
      <c r="AR68" s="120"/>
    </row>
    <row r="69" spans="1:44" s="121" customFormat="1" ht="24" x14ac:dyDescent="0.3">
      <c r="A69" s="4">
        <v>66</v>
      </c>
      <c r="B69" s="2" t="s">
        <v>740</v>
      </c>
      <c r="C69" s="2" t="s">
        <v>15</v>
      </c>
      <c r="D69" s="2">
        <v>106.608891</v>
      </c>
      <c r="E69" s="2">
        <v>10.858193999999999</v>
      </c>
      <c r="F69" s="2" t="s">
        <v>753</v>
      </c>
      <c r="G69" s="34" t="s">
        <v>353</v>
      </c>
      <c r="H69" s="27" t="s">
        <v>893</v>
      </c>
      <c r="I69" s="25" t="s">
        <v>893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908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759</v>
      </c>
      <c r="AH69" s="111" t="s">
        <v>79</v>
      </c>
      <c r="AI69" s="118"/>
      <c r="AJ69" s="119" t="s">
        <v>754</v>
      </c>
      <c r="AK69" s="117" t="s">
        <v>755</v>
      </c>
      <c r="AL69" s="110" t="s">
        <v>701</v>
      </c>
      <c r="AM69" s="2" t="s">
        <v>752</v>
      </c>
      <c r="AN69" s="2"/>
      <c r="AO69" s="2"/>
      <c r="AP69" s="48"/>
      <c r="AQ69" t="s">
        <v>768</v>
      </c>
      <c r="AR69" s="120"/>
    </row>
    <row r="70" spans="1:44" s="121" customFormat="1" ht="24" x14ac:dyDescent="0.3">
      <c r="A70" s="4">
        <v>67</v>
      </c>
      <c r="B70" s="2" t="s">
        <v>741</v>
      </c>
      <c r="C70" s="2" t="s">
        <v>117</v>
      </c>
      <c r="D70" s="2">
        <v>106.58026</v>
      </c>
      <c r="E70" s="2">
        <v>10.693832</v>
      </c>
      <c r="F70" s="2" t="s">
        <v>748</v>
      </c>
      <c r="G70" s="34" t="s">
        <v>354</v>
      </c>
      <c r="H70" s="27" t="s">
        <v>893</v>
      </c>
      <c r="I70" s="25" t="s">
        <v>893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1190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750</v>
      </c>
      <c r="AK70" s="117" t="s">
        <v>749</v>
      </c>
      <c r="AL70" s="110" t="s">
        <v>701</v>
      </c>
      <c r="AM70" s="2" t="s">
        <v>751</v>
      </c>
      <c r="AN70" s="2"/>
      <c r="AO70" s="2"/>
      <c r="AP70" s="48"/>
      <c r="AQ70" t="s">
        <v>768</v>
      </c>
      <c r="AR70" s="120"/>
    </row>
    <row r="71" spans="1:44" s="121" customFormat="1" ht="24" x14ac:dyDescent="0.3">
      <c r="A71" s="4">
        <v>68</v>
      </c>
      <c r="B71" s="2" t="s">
        <v>742</v>
      </c>
      <c r="C71" s="2" t="s">
        <v>15</v>
      </c>
      <c r="D71" s="2">
        <v>106.648195</v>
      </c>
      <c r="E71" s="2">
        <v>10.901745</v>
      </c>
      <c r="F71" s="2" t="s">
        <v>744</v>
      </c>
      <c r="G71" s="34" t="s">
        <v>353</v>
      </c>
      <c r="H71" s="27" t="s">
        <v>893</v>
      </c>
      <c r="I71" s="25" t="s">
        <v>893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1191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757</v>
      </c>
      <c r="AK71" s="117" t="s">
        <v>756</v>
      </c>
      <c r="AL71" s="110" t="s">
        <v>758</v>
      </c>
      <c r="AM71" s="2" t="s">
        <v>745</v>
      </c>
      <c r="AN71" s="2">
        <v>12</v>
      </c>
      <c r="AO71" s="2">
        <v>12</v>
      </c>
      <c r="AP71" s="48"/>
      <c r="AQ71" t="s">
        <v>768</v>
      </c>
      <c r="AR71" s="120"/>
    </row>
    <row r="72" spans="1:44" s="121" customFormat="1" ht="24" x14ac:dyDescent="0.3">
      <c r="A72" s="4">
        <v>69</v>
      </c>
      <c r="B72" s="40" t="s">
        <v>743</v>
      </c>
      <c r="C72" s="2" t="s">
        <v>229</v>
      </c>
      <c r="D72" s="2">
        <v>106.599693</v>
      </c>
      <c r="E72" s="2">
        <v>10.779717</v>
      </c>
      <c r="F72" s="2" t="s">
        <v>746</v>
      </c>
      <c r="G72" s="34" t="s">
        <v>353</v>
      </c>
      <c r="H72" s="27" t="s">
        <v>893</v>
      </c>
      <c r="I72" s="25" t="s">
        <v>893</v>
      </c>
      <c r="J72" s="20">
        <v>45483</v>
      </c>
      <c r="K72" s="20">
        <v>47308</v>
      </c>
      <c r="L72" s="272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1192</v>
      </c>
      <c r="AA72" s="101">
        <v>5000000</v>
      </c>
      <c r="AB72" s="277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769</v>
      </c>
      <c r="AK72" s="117" t="s">
        <v>770</v>
      </c>
      <c r="AL72" s="110" t="s">
        <v>771</v>
      </c>
      <c r="AM72" s="2" t="s">
        <v>747</v>
      </c>
      <c r="AN72" s="2">
        <v>11</v>
      </c>
      <c r="AO72" s="2">
        <v>12</v>
      </c>
      <c r="AP72" s="48"/>
      <c r="AQ72" t="s">
        <v>768</v>
      </c>
      <c r="AR72" s="120"/>
    </row>
    <row r="73" spans="1:44" s="121" customFormat="1" ht="24" x14ac:dyDescent="0.3">
      <c r="A73" s="4">
        <v>70</v>
      </c>
      <c r="B73" s="2" t="s">
        <v>738</v>
      </c>
      <c r="C73" s="2" t="s">
        <v>32</v>
      </c>
      <c r="D73" s="2">
        <v>106.699208</v>
      </c>
      <c r="E73" s="2">
        <v>10.805695099999999</v>
      </c>
      <c r="F73" s="2" t="s">
        <v>761</v>
      </c>
      <c r="G73" s="34" t="s">
        <v>354</v>
      </c>
      <c r="H73" s="27" t="s">
        <v>893</v>
      </c>
      <c r="I73" s="25" t="s">
        <v>893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1193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695</v>
      </c>
      <c r="AK73" s="117" t="s">
        <v>696</v>
      </c>
      <c r="AL73" s="110" t="s">
        <v>697</v>
      </c>
      <c r="AM73" s="2" t="s">
        <v>698</v>
      </c>
      <c r="AN73" s="2"/>
      <c r="AO73" s="2"/>
      <c r="AP73" s="48"/>
      <c r="AQ73" t="s">
        <v>768</v>
      </c>
      <c r="AR73" s="120"/>
    </row>
    <row r="74" spans="1:44" s="121" customFormat="1" ht="24" x14ac:dyDescent="0.3">
      <c r="A74" s="4">
        <v>71</v>
      </c>
      <c r="B74" s="2" t="s">
        <v>607</v>
      </c>
      <c r="C74" s="2" t="s">
        <v>762</v>
      </c>
      <c r="D74" s="2">
        <v>106.69146499999999</v>
      </c>
      <c r="E74" s="2">
        <v>10.760405</v>
      </c>
      <c r="F74" s="2" t="s">
        <v>763</v>
      </c>
      <c r="G74" s="34" t="s">
        <v>354</v>
      </c>
      <c r="H74" s="27" t="s">
        <v>893</v>
      </c>
      <c r="I74" s="25" t="s">
        <v>893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1194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664</v>
      </c>
      <c r="AK74" s="117" t="s">
        <v>665</v>
      </c>
      <c r="AL74" s="110" t="s">
        <v>666</v>
      </c>
      <c r="AM74" s="2" t="s">
        <v>667</v>
      </c>
      <c r="AN74" s="2"/>
      <c r="AO74" s="2"/>
      <c r="AP74" s="48"/>
      <c r="AQ74" t="s">
        <v>766</v>
      </c>
      <c r="AR74" s="120"/>
    </row>
    <row r="75" spans="1:44" s="121" customFormat="1" ht="24" x14ac:dyDescent="0.3">
      <c r="A75" s="4">
        <v>72</v>
      </c>
      <c r="B75" s="2" t="s">
        <v>772</v>
      </c>
      <c r="C75" s="2" t="s">
        <v>32</v>
      </c>
      <c r="D75" s="2">
        <v>106.70027</v>
      </c>
      <c r="E75" s="2">
        <v>10.828835</v>
      </c>
      <c r="F75" s="2" t="s">
        <v>773</v>
      </c>
      <c r="G75" s="34" t="s">
        <v>353</v>
      </c>
      <c r="H75" s="27" t="s">
        <v>893</v>
      </c>
      <c r="I75" s="25" t="s">
        <v>893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1195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774</v>
      </c>
      <c r="AH75" s="111" t="s">
        <v>79</v>
      </c>
      <c r="AI75" s="118"/>
      <c r="AJ75" s="119" t="s">
        <v>775</v>
      </c>
      <c r="AK75" s="117" t="s">
        <v>776</v>
      </c>
      <c r="AL75" s="110" t="s">
        <v>771</v>
      </c>
      <c r="AM75" s="2" t="s">
        <v>777</v>
      </c>
      <c r="AN75" s="2" t="s">
        <v>778</v>
      </c>
      <c r="AO75" s="2">
        <v>9</v>
      </c>
      <c r="AP75" s="48"/>
      <c r="AQ75" t="s">
        <v>768</v>
      </c>
      <c r="AR75" s="120"/>
    </row>
    <row r="76" spans="1:44" s="121" customFormat="1" ht="24" x14ac:dyDescent="0.3">
      <c r="A76" s="4">
        <v>73</v>
      </c>
      <c r="B76" s="2" t="s">
        <v>779</v>
      </c>
      <c r="C76" s="2" t="s">
        <v>156</v>
      </c>
      <c r="D76" s="2">
        <v>106.66424809999999</v>
      </c>
      <c r="E76" s="2">
        <v>10.790502399999999</v>
      </c>
      <c r="F76" s="2" t="s">
        <v>780</v>
      </c>
      <c r="G76" s="34" t="s">
        <v>354</v>
      </c>
      <c r="H76" s="27" t="s">
        <v>893</v>
      </c>
      <c r="I76" s="25" t="s">
        <v>893</v>
      </c>
      <c r="J76" s="20" t="s">
        <v>897</v>
      </c>
      <c r="K76" s="20" t="s">
        <v>897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1196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774</v>
      </c>
      <c r="AH76" s="111" t="s">
        <v>79</v>
      </c>
      <c r="AI76" s="118"/>
      <c r="AJ76" s="119" t="s">
        <v>781</v>
      </c>
      <c r="AK76" s="117" t="s">
        <v>782</v>
      </c>
      <c r="AL76" s="110" t="s">
        <v>783</v>
      </c>
      <c r="AM76" s="2" t="s">
        <v>784</v>
      </c>
      <c r="AN76" s="2" t="s">
        <v>785</v>
      </c>
      <c r="AO76" s="2">
        <v>6</v>
      </c>
      <c r="AP76" s="48"/>
      <c r="AQ76" t="s">
        <v>768</v>
      </c>
      <c r="AR76" s="120"/>
    </row>
    <row r="77" spans="1:44" s="121" customFormat="1" ht="24" x14ac:dyDescent="0.3">
      <c r="A77" s="4">
        <v>74</v>
      </c>
      <c r="B77" s="2" t="s">
        <v>788</v>
      </c>
      <c r="C77" s="2" t="s">
        <v>573</v>
      </c>
      <c r="D77" s="2">
        <v>106.787966</v>
      </c>
      <c r="E77" s="2">
        <v>10.769964999999999</v>
      </c>
      <c r="F77" s="2" t="s">
        <v>787</v>
      </c>
      <c r="G77" s="34" t="s">
        <v>353</v>
      </c>
      <c r="H77" s="27" t="s">
        <v>893</v>
      </c>
      <c r="I77" s="25" t="s">
        <v>893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1197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774</v>
      </c>
      <c r="AH77" s="111" t="s">
        <v>79</v>
      </c>
      <c r="AI77" s="118"/>
      <c r="AJ77" s="119" t="s">
        <v>790</v>
      </c>
      <c r="AK77" s="117" t="s">
        <v>789</v>
      </c>
      <c r="AL77" s="110" t="s">
        <v>791</v>
      </c>
      <c r="AM77" s="2" t="s">
        <v>786</v>
      </c>
      <c r="AN77" s="2" t="s">
        <v>785</v>
      </c>
      <c r="AO77" s="2">
        <v>9</v>
      </c>
      <c r="AP77" s="48"/>
      <c r="AQ77" t="s">
        <v>768</v>
      </c>
      <c r="AR77" s="120"/>
    </row>
    <row r="78" spans="1:44" s="121" customFormat="1" ht="24" x14ac:dyDescent="0.3">
      <c r="A78" s="4">
        <v>75</v>
      </c>
      <c r="B78" s="2" t="s">
        <v>792</v>
      </c>
      <c r="C78" s="2" t="s">
        <v>32</v>
      </c>
      <c r="D78" s="2">
        <v>106.715318</v>
      </c>
      <c r="E78" s="2">
        <v>10.795153000000001</v>
      </c>
      <c r="F78" s="2" t="s">
        <v>802</v>
      </c>
      <c r="G78" s="34" t="s">
        <v>354</v>
      </c>
      <c r="H78" s="27" t="s">
        <v>893</v>
      </c>
      <c r="I78" s="25" t="s">
        <v>893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1198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800</v>
      </c>
      <c r="AH78" s="111" t="s">
        <v>79</v>
      </c>
      <c r="AI78" s="118"/>
      <c r="AJ78" s="119" t="s">
        <v>799</v>
      </c>
      <c r="AK78" s="117" t="s">
        <v>859</v>
      </c>
      <c r="AL78" s="110" t="s">
        <v>697</v>
      </c>
      <c r="AM78" s="2" t="s">
        <v>798</v>
      </c>
      <c r="AN78" s="2"/>
      <c r="AO78" s="2">
        <v>6</v>
      </c>
      <c r="AP78" s="48"/>
      <c r="AQ78" t="s">
        <v>768</v>
      </c>
      <c r="AR78" s="120"/>
    </row>
    <row r="79" spans="1:44" s="121" customFormat="1" ht="24" x14ac:dyDescent="0.3">
      <c r="A79" s="4">
        <v>76</v>
      </c>
      <c r="B79" s="2" t="s">
        <v>793</v>
      </c>
      <c r="C79" s="2" t="s">
        <v>156</v>
      </c>
      <c r="D79" s="2">
        <v>106.6566996</v>
      </c>
      <c r="E79" s="2">
        <v>10.793421199999999</v>
      </c>
      <c r="F79" s="2" t="s">
        <v>794</v>
      </c>
      <c r="G79" s="34" t="s">
        <v>354</v>
      </c>
      <c r="H79" s="27" t="s">
        <v>893</v>
      </c>
      <c r="I79" s="25" t="s">
        <v>893</v>
      </c>
      <c r="J79" s="20" t="s">
        <v>897</v>
      </c>
      <c r="K79" s="20" t="s">
        <v>897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1199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801</v>
      </c>
      <c r="AH79" s="111" t="s">
        <v>79</v>
      </c>
      <c r="AI79" s="118"/>
      <c r="AJ79" s="119" t="s">
        <v>795</v>
      </c>
      <c r="AK79" s="117" t="s">
        <v>796</v>
      </c>
      <c r="AL79" s="110" t="s">
        <v>170</v>
      </c>
      <c r="AM79" s="2" t="s">
        <v>797</v>
      </c>
      <c r="AN79" s="2"/>
      <c r="AO79" s="2">
        <v>6</v>
      </c>
      <c r="AP79" s="48"/>
      <c r="AQ79" t="s">
        <v>768</v>
      </c>
      <c r="AR79" s="120"/>
    </row>
    <row r="80" spans="1:44" s="121" customFormat="1" ht="24" x14ac:dyDescent="0.3">
      <c r="A80" s="4">
        <v>77</v>
      </c>
      <c r="B80" s="2" t="s">
        <v>804</v>
      </c>
      <c r="C80" s="2" t="s">
        <v>117</v>
      </c>
      <c r="D80" s="2">
        <v>106.652019</v>
      </c>
      <c r="E80" s="2">
        <v>10.706345000000001</v>
      </c>
      <c r="F80" s="2" t="s">
        <v>805</v>
      </c>
      <c r="G80" s="34" t="s">
        <v>353</v>
      </c>
      <c r="H80" s="27" t="s">
        <v>893</v>
      </c>
      <c r="I80" s="25" t="s">
        <v>893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1200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801</v>
      </c>
      <c r="AH80" s="111" t="s">
        <v>79</v>
      </c>
      <c r="AI80" s="118"/>
      <c r="AJ80" s="119" t="s">
        <v>806</v>
      </c>
      <c r="AK80" s="117" t="s">
        <v>807</v>
      </c>
      <c r="AL80" s="110" t="s">
        <v>153</v>
      </c>
      <c r="AM80" s="2" t="s">
        <v>808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815</v>
      </c>
      <c r="C81" s="2" t="s">
        <v>66</v>
      </c>
      <c r="D81" s="2" t="s">
        <v>860</v>
      </c>
      <c r="E81" s="2" t="s">
        <v>861</v>
      </c>
      <c r="F81" s="2" t="s">
        <v>473</v>
      </c>
      <c r="G81" s="34" t="s">
        <v>894</v>
      </c>
      <c r="H81" s="27" t="s">
        <v>893</v>
      </c>
      <c r="I81" s="25" t="s">
        <v>893</v>
      </c>
      <c r="J81" s="20" t="s">
        <v>897</v>
      </c>
      <c r="K81" s="20" t="s">
        <v>897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1201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898</v>
      </c>
      <c r="AI81" s="118"/>
      <c r="AJ81" s="119" t="s">
        <v>898</v>
      </c>
      <c r="AK81" s="119" t="s">
        <v>898</v>
      </c>
      <c r="AL81" s="119" t="s">
        <v>898</v>
      </c>
      <c r="AM81" s="119" t="s">
        <v>898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816</v>
      </c>
      <c r="C82" s="2" t="s">
        <v>66</v>
      </c>
      <c r="D82" s="2" t="s">
        <v>862</v>
      </c>
      <c r="E82" s="2" t="s">
        <v>861</v>
      </c>
      <c r="F82" s="2" t="s">
        <v>473</v>
      </c>
      <c r="G82" s="34" t="s">
        <v>894</v>
      </c>
      <c r="H82" s="27" t="s">
        <v>893</v>
      </c>
      <c r="I82" s="25" t="s">
        <v>893</v>
      </c>
      <c r="J82" s="20" t="s">
        <v>897</v>
      </c>
      <c r="K82" s="20" t="s">
        <v>897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1201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898</v>
      </c>
      <c r="AI82" s="118"/>
      <c r="AJ82" s="119" t="s">
        <v>898</v>
      </c>
      <c r="AK82" s="119" t="s">
        <v>898</v>
      </c>
      <c r="AL82" s="119" t="s">
        <v>898</v>
      </c>
      <c r="AM82" s="119" t="s">
        <v>898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817</v>
      </c>
      <c r="C83" s="2" t="s">
        <v>66</v>
      </c>
      <c r="D83" s="2" t="s">
        <v>863</v>
      </c>
      <c r="E83" s="2" t="s">
        <v>864</v>
      </c>
      <c r="F83" s="2" t="s">
        <v>473</v>
      </c>
      <c r="G83" s="34" t="s">
        <v>894</v>
      </c>
      <c r="H83" s="27" t="s">
        <v>893</v>
      </c>
      <c r="I83" s="25" t="s">
        <v>893</v>
      </c>
      <c r="J83" s="20" t="s">
        <v>897</v>
      </c>
      <c r="K83" s="20" t="s">
        <v>897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1201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898</v>
      </c>
      <c r="AI83" s="118"/>
      <c r="AJ83" s="119" t="s">
        <v>898</v>
      </c>
      <c r="AK83" s="119" t="s">
        <v>898</v>
      </c>
      <c r="AL83" s="119" t="s">
        <v>898</v>
      </c>
      <c r="AM83" s="119" t="s">
        <v>898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818</v>
      </c>
      <c r="C84" s="2" t="s">
        <v>66</v>
      </c>
      <c r="D84" s="2" t="s">
        <v>865</v>
      </c>
      <c r="E84" s="2" t="s">
        <v>866</v>
      </c>
      <c r="F84" s="2" t="s">
        <v>473</v>
      </c>
      <c r="G84" s="34" t="s">
        <v>894</v>
      </c>
      <c r="H84" s="27" t="s">
        <v>893</v>
      </c>
      <c r="I84" s="25" t="s">
        <v>893</v>
      </c>
      <c r="J84" s="20" t="s">
        <v>897</v>
      </c>
      <c r="K84" s="20" t="s">
        <v>897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1201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898</v>
      </c>
      <c r="AI84" s="118"/>
      <c r="AJ84" s="119" t="s">
        <v>898</v>
      </c>
      <c r="AK84" s="119" t="s">
        <v>898</v>
      </c>
      <c r="AL84" s="119" t="s">
        <v>898</v>
      </c>
      <c r="AM84" s="119" t="s">
        <v>898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819</v>
      </c>
      <c r="C85" s="2" t="s">
        <v>66</v>
      </c>
      <c r="D85" s="2" t="s">
        <v>867</v>
      </c>
      <c r="E85" s="2" t="s">
        <v>868</v>
      </c>
      <c r="F85" s="2" t="s">
        <v>473</v>
      </c>
      <c r="G85" s="34" t="s">
        <v>894</v>
      </c>
      <c r="H85" s="27" t="s">
        <v>893</v>
      </c>
      <c r="I85" s="25" t="s">
        <v>893</v>
      </c>
      <c r="J85" s="20" t="s">
        <v>897</v>
      </c>
      <c r="K85" s="20" t="s">
        <v>897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1201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898</v>
      </c>
      <c r="AI85" s="118"/>
      <c r="AJ85" s="119" t="s">
        <v>898</v>
      </c>
      <c r="AK85" s="119" t="s">
        <v>898</v>
      </c>
      <c r="AL85" s="119" t="s">
        <v>898</v>
      </c>
      <c r="AM85" s="119" t="s">
        <v>898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820</v>
      </c>
      <c r="C86" s="2" t="s">
        <v>66</v>
      </c>
      <c r="D86" s="2" t="s">
        <v>869</v>
      </c>
      <c r="E86" s="2" t="s">
        <v>870</v>
      </c>
      <c r="F86" s="2" t="s">
        <v>473</v>
      </c>
      <c r="G86" s="34" t="s">
        <v>894</v>
      </c>
      <c r="H86" s="27" t="s">
        <v>893</v>
      </c>
      <c r="I86" s="25" t="s">
        <v>893</v>
      </c>
      <c r="J86" s="20" t="s">
        <v>897</v>
      </c>
      <c r="K86" s="20" t="s">
        <v>897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1201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898</v>
      </c>
      <c r="AI86" s="118"/>
      <c r="AJ86" s="119" t="s">
        <v>898</v>
      </c>
      <c r="AK86" s="119" t="s">
        <v>898</v>
      </c>
      <c r="AL86" s="119" t="s">
        <v>898</v>
      </c>
      <c r="AM86" s="119" t="s">
        <v>898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821</v>
      </c>
      <c r="C87" s="2" t="s">
        <v>66</v>
      </c>
      <c r="D87" s="2" t="s">
        <v>871</v>
      </c>
      <c r="E87" s="2" t="s">
        <v>872</v>
      </c>
      <c r="F87" s="2" t="s">
        <v>473</v>
      </c>
      <c r="G87" s="34" t="s">
        <v>894</v>
      </c>
      <c r="H87" s="27" t="s">
        <v>893</v>
      </c>
      <c r="I87" s="25" t="s">
        <v>893</v>
      </c>
      <c r="J87" s="20" t="s">
        <v>897</v>
      </c>
      <c r="K87" s="20" t="s">
        <v>897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1201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898</v>
      </c>
      <c r="AI87" s="118"/>
      <c r="AJ87" s="119" t="s">
        <v>898</v>
      </c>
      <c r="AK87" s="119" t="s">
        <v>898</v>
      </c>
      <c r="AL87" s="119" t="s">
        <v>898</v>
      </c>
      <c r="AM87" s="119" t="s">
        <v>898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822</v>
      </c>
      <c r="C88" s="2" t="s">
        <v>66</v>
      </c>
      <c r="D88" s="2" t="s">
        <v>873</v>
      </c>
      <c r="E88" s="2" t="s">
        <v>874</v>
      </c>
      <c r="F88" s="2" t="s">
        <v>473</v>
      </c>
      <c r="G88" s="34" t="s">
        <v>894</v>
      </c>
      <c r="H88" s="27" t="s">
        <v>893</v>
      </c>
      <c r="I88" s="25" t="s">
        <v>893</v>
      </c>
      <c r="J88" s="20" t="s">
        <v>897</v>
      </c>
      <c r="K88" s="20" t="s">
        <v>897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1201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898</v>
      </c>
      <c r="AI88" s="118"/>
      <c r="AJ88" s="119" t="s">
        <v>898</v>
      </c>
      <c r="AK88" s="119" t="s">
        <v>898</v>
      </c>
      <c r="AL88" s="119" t="s">
        <v>898</v>
      </c>
      <c r="AM88" s="119" t="s">
        <v>898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823</v>
      </c>
      <c r="C89" s="2" t="s">
        <v>66</v>
      </c>
      <c r="D89" s="2" t="s">
        <v>875</v>
      </c>
      <c r="E89" s="2" t="s">
        <v>876</v>
      </c>
      <c r="F89" s="2" t="s">
        <v>827</v>
      </c>
      <c r="G89" s="34" t="s">
        <v>894</v>
      </c>
      <c r="H89" s="27" t="s">
        <v>893</v>
      </c>
      <c r="I89" s="25" t="s">
        <v>893</v>
      </c>
      <c r="J89" s="20" t="s">
        <v>897</v>
      </c>
      <c r="K89" s="20" t="s">
        <v>897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1202</v>
      </c>
      <c r="AA89" s="101" t="s">
        <v>831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913</v>
      </c>
      <c r="AI89" s="118"/>
      <c r="AJ89" s="119" t="s">
        <v>898</v>
      </c>
      <c r="AK89" s="119" t="s">
        <v>898</v>
      </c>
      <c r="AL89" s="119" t="s">
        <v>898</v>
      </c>
      <c r="AM89" s="119" t="s">
        <v>898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824</v>
      </c>
      <c r="C90" s="2" t="s">
        <v>66</v>
      </c>
      <c r="D90" s="2" t="s">
        <v>877</v>
      </c>
      <c r="E90" s="2" t="s">
        <v>878</v>
      </c>
      <c r="F90" s="2" t="s">
        <v>828</v>
      </c>
      <c r="G90" s="34" t="s">
        <v>894</v>
      </c>
      <c r="H90" s="27" t="s">
        <v>893</v>
      </c>
      <c r="I90" s="25" t="s">
        <v>893</v>
      </c>
      <c r="J90" s="20" t="s">
        <v>897</v>
      </c>
      <c r="K90" s="20" t="s">
        <v>897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1202</v>
      </c>
      <c r="AA90" s="101" t="s">
        <v>831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913</v>
      </c>
      <c r="AI90" s="118"/>
      <c r="AJ90" s="119" t="s">
        <v>898</v>
      </c>
      <c r="AK90" s="119" t="s">
        <v>898</v>
      </c>
      <c r="AL90" s="119" t="s">
        <v>898</v>
      </c>
      <c r="AM90" s="119" t="s">
        <v>898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825</v>
      </c>
      <c r="C91" s="2" t="s">
        <v>66</v>
      </c>
      <c r="D91" s="2" t="s">
        <v>879</v>
      </c>
      <c r="E91" s="2" t="s">
        <v>880</v>
      </c>
      <c r="F91" s="2" t="s">
        <v>829</v>
      </c>
      <c r="G91" s="34" t="s">
        <v>894</v>
      </c>
      <c r="H91" s="27" t="s">
        <v>893</v>
      </c>
      <c r="I91" s="25" t="s">
        <v>893</v>
      </c>
      <c r="J91" s="20" t="s">
        <v>897</v>
      </c>
      <c r="K91" s="20" t="s">
        <v>897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1202</v>
      </c>
      <c r="AA91" s="101" t="s">
        <v>831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913</v>
      </c>
      <c r="AI91" s="118"/>
      <c r="AJ91" s="119" t="s">
        <v>898</v>
      </c>
      <c r="AK91" s="119" t="s">
        <v>898</v>
      </c>
      <c r="AL91" s="119" t="s">
        <v>898</v>
      </c>
      <c r="AM91" s="119" t="s">
        <v>898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826</v>
      </c>
      <c r="C92" s="2" t="s">
        <v>66</v>
      </c>
      <c r="D92" s="2" t="s">
        <v>881</v>
      </c>
      <c r="E92" s="2" t="s">
        <v>882</v>
      </c>
      <c r="F92" s="2" t="s">
        <v>830</v>
      </c>
      <c r="G92" s="34" t="s">
        <v>894</v>
      </c>
      <c r="H92" s="27" t="s">
        <v>893</v>
      </c>
      <c r="I92" s="25" t="s">
        <v>893</v>
      </c>
      <c r="J92" s="20" t="s">
        <v>897</v>
      </c>
      <c r="K92" s="20" t="s">
        <v>897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1202</v>
      </c>
      <c r="AA92" s="101" t="s">
        <v>831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913</v>
      </c>
      <c r="AI92" s="118"/>
      <c r="AJ92" s="119" t="s">
        <v>898</v>
      </c>
      <c r="AK92" s="119" t="s">
        <v>898</v>
      </c>
      <c r="AL92" s="119" t="s">
        <v>898</v>
      </c>
      <c r="AM92" s="119" t="s">
        <v>898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832</v>
      </c>
      <c r="C93" s="2" t="s">
        <v>15</v>
      </c>
      <c r="D93" s="2">
        <v>106.597342</v>
      </c>
      <c r="E93" s="2">
        <v>10.860189999999999</v>
      </c>
      <c r="F93" s="2" t="s">
        <v>833</v>
      </c>
      <c r="G93" s="34" t="s">
        <v>353</v>
      </c>
      <c r="H93" s="27" t="s">
        <v>893</v>
      </c>
      <c r="I93" s="25" t="s">
        <v>893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909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840</v>
      </c>
      <c r="AK93" s="117" t="s">
        <v>839</v>
      </c>
      <c r="AL93" s="110" t="s">
        <v>153</v>
      </c>
      <c r="AM93" s="2" t="s">
        <v>841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834</v>
      </c>
      <c r="C94" s="2" t="s">
        <v>229</v>
      </c>
      <c r="D94" s="2">
        <v>106.608164</v>
      </c>
      <c r="E94" s="2">
        <v>10.803616</v>
      </c>
      <c r="F94" s="2" t="s">
        <v>848</v>
      </c>
      <c r="G94" s="34" t="s">
        <v>353</v>
      </c>
      <c r="H94" s="27" t="s">
        <v>893</v>
      </c>
      <c r="I94" s="25" t="s">
        <v>893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1203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850</v>
      </c>
      <c r="AK94" s="117" t="s">
        <v>849</v>
      </c>
      <c r="AL94" s="110" t="s">
        <v>851</v>
      </c>
      <c r="AM94" s="2" t="s">
        <v>847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836</v>
      </c>
      <c r="C95" s="2" t="s">
        <v>288</v>
      </c>
      <c r="D95" s="2">
        <v>106.6436025</v>
      </c>
      <c r="E95" s="2">
        <v>10.869358</v>
      </c>
      <c r="F95" s="2" t="s">
        <v>843</v>
      </c>
      <c r="G95" s="34" t="s">
        <v>354</v>
      </c>
      <c r="H95" s="27" t="s">
        <v>893</v>
      </c>
      <c r="I95" s="25" t="s">
        <v>893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1204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845</v>
      </c>
      <c r="AK95" s="119" t="s">
        <v>844</v>
      </c>
      <c r="AL95" s="110" t="s">
        <v>846</v>
      </c>
      <c r="AM95" s="2" t="s">
        <v>842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973</v>
      </c>
      <c r="C96" s="2" t="s">
        <v>66</v>
      </c>
      <c r="D96" s="2">
        <v>106.683274</v>
      </c>
      <c r="E96" s="2">
        <v>10.837393199999999</v>
      </c>
      <c r="F96" s="2" t="s">
        <v>837</v>
      </c>
      <c r="G96" s="34" t="s">
        <v>354</v>
      </c>
      <c r="H96" s="27" t="s">
        <v>893</v>
      </c>
      <c r="I96" s="25" t="s">
        <v>893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1205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813</v>
      </c>
      <c r="AK96" s="119" t="s">
        <v>812</v>
      </c>
      <c r="AL96" s="110" t="s">
        <v>838</v>
      </c>
      <c r="AM96" s="2" t="s">
        <v>814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809</v>
      </c>
      <c r="C97" s="2" t="s">
        <v>117</v>
      </c>
      <c r="D97" s="2">
        <v>106.518545</v>
      </c>
      <c r="E97" s="2">
        <v>10.738443</v>
      </c>
      <c r="F97" s="2" t="s">
        <v>852</v>
      </c>
      <c r="G97" s="34" t="s">
        <v>353</v>
      </c>
      <c r="H97" s="34" t="s">
        <v>1227</v>
      </c>
      <c r="I97" s="25" t="s">
        <v>893</v>
      </c>
      <c r="J97" s="20">
        <v>45738</v>
      </c>
      <c r="K97" s="20">
        <v>47563</v>
      </c>
      <c r="L97" s="272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1206</v>
      </c>
      <c r="AA97" s="101">
        <v>3000000</v>
      </c>
      <c r="AB97" s="277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810</v>
      </c>
      <c r="AK97" s="119" t="s">
        <v>811</v>
      </c>
      <c r="AL97" s="110" t="s">
        <v>170</v>
      </c>
      <c r="AM97" s="2" t="s">
        <v>853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835</v>
      </c>
      <c r="C98" s="2" t="s">
        <v>579</v>
      </c>
      <c r="D98" s="2">
        <v>106.6705798</v>
      </c>
      <c r="E98" s="2">
        <v>10.763659000000001</v>
      </c>
      <c r="F98" s="2" t="s">
        <v>854</v>
      </c>
      <c r="G98" s="34" t="s">
        <v>354</v>
      </c>
      <c r="H98" s="27" t="s">
        <v>893</v>
      </c>
      <c r="I98" s="25" t="s">
        <v>893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1207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857</v>
      </c>
      <c r="AK98" s="117" t="s">
        <v>855</v>
      </c>
      <c r="AL98" s="110" t="s">
        <v>856</v>
      </c>
      <c r="AM98" s="2" t="s">
        <v>858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883</v>
      </c>
      <c r="C99" s="2" t="s">
        <v>66</v>
      </c>
      <c r="D99" s="2">
        <v>106.6493112</v>
      </c>
      <c r="E99" s="2">
        <v>10.8455811</v>
      </c>
      <c r="F99" s="2" t="s">
        <v>887</v>
      </c>
      <c r="G99" s="34" t="s">
        <v>354</v>
      </c>
      <c r="H99" s="27" t="s">
        <v>893</v>
      </c>
      <c r="I99" s="25" t="s">
        <v>893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1208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885</v>
      </c>
      <c r="AK99" s="152" t="s">
        <v>884</v>
      </c>
      <c r="AL99" s="41" t="s">
        <v>691</v>
      </c>
      <c r="AM99" s="2" t="s">
        <v>886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890</v>
      </c>
      <c r="C100" s="2" t="s">
        <v>66</v>
      </c>
      <c r="D100" s="2">
        <v>106.688222</v>
      </c>
      <c r="E100" s="2">
        <v>10.824833</v>
      </c>
      <c r="F100" s="2" t="s">
        <v>888</v>
      </c>
      <c r="G100" s="34" t="s">
        <v>353</v>
      </c>
      <c r="H100" s="27" t="s">
        <v>893</v>
      </c>
      <c r="I100" s="25" t="s">
        <v>893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1209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891</v>
      </c>
      <c r="AK100" s="152" t="s">
        <v>889</v>
      </c>
      <c r="AL100" s="41" t="s">
        <v>102</v>
      </c>
      <c r="AM100" s="2" t="s">
        <v>892</v>
      </c>
      <c r="AN100" s="2"/>
      <c r="AO100" s="2"/>
      <c r="AP100" s="48"/>
      <c r="AQ100">
        <v>2025</v>
      </c>
      <c r="AR100" s="120"/>
    </row>
    <row r="101" spans="1:44" x14ac:dyDescent="0.3">
      <c r="A101" s="4">
        <v>98</v>
      </c>
      <c r="B101" s="2" t="s">
        <v>1031</v>
      </c>
      <c r="C101" s="2" t="s">
        <v>394</v>
      </c>
      <c r="D101" s="2">
        <v>106.60477</v>
      </c>
      <c r="E101" s="2">
        <v>10.977980000000001</v>
      </c>
      <c r="F101" s="2" t="s">
        <v>1126</v>
      </c>
      <c r="G101" s="34" t="s">
        <v>353</v>
      </c>
      <c r="H101" s="27" t="s">
        <v>893</v>
      </c>
      <c r="I101" s="25" t="s">
        <v>893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954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1128</v>
      </c>
      <c r="AK101" s="2" t="s">
        <v>1127</v>
      </c>
      <c r="AL101" s="2" t="s">
        <v>398</v>
      </c>
      <c r="AM101" s="2" t="s">
        <v>1129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1130</v>
      </c>
      <c r="C102" s="2" t="s">
        <v>15</v>
      </c>
      <c r="D102" s="2">
        <v>106.63862</v>
      </c>
      <c r="E102" s="2">
        <v>10.901565</v>
      </c>
      <c r="F102" s="2" t="s">
        <v>1131</v>
      </c>
      <c r="G102" s="34" t="s">
        <v>353</v>
      </c>
      <c r="H102" s="27" t="s">
        <v>893</v>
      </c>
      <c r="I102" s="25" t="s">
        <v>893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1210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1133</v>
      </c>
      <c r="AK102" s="2" t="s">
        <v>1132</v>
      </c>
      <c r="AL102" s="41" t="s">
        <v>1134</v>
      </c>
      <c r="AM102" s="2" t="s">
        <v>1135</v>
      </c>
      <c r="AN102" s="2">
        <v>14</v>
      </c>
      <c r="AO102" s="2">
        <v>12</v>
      </c>
      <c r="AP102" s="48"/>
      <c r="AQ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tabSelected="1" workbookViewId="0">
      <selection activeCell="AJ69" sqref="AJ69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363</v>
      </c>
      <c r="C1" s="155" t="s">
        <v>915</v>
      </c>
      <c r="D1" s="155" t="s">
        <v>916</v>
      </c>
      <c r="E1" s="155" t="s">
        <v>1240</v>
      </c>
      <c r="F1" s="155" t="s">
        <v>1241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917</v>
      </c>
      <c r="L1" s="155" t="s">
        <v>979</v>
      </c>
      <c r="M1" s="155" t="s">
        <v>918</v>
      </c>
      <c r="N1" s="155" t="s">
        <v>919</v>
      </c>
      <c r="O1" s="155" t="s">
        <v>920</v>
      </c>
      <c r="P1" s="155" t="s">
        <v>921</v>
      </c>
      <c r="Q1" s="155" t="s">
        <v>922</v>
      </c>
      <c r="R1" s="155" t="s">
        <v>923</v>
      </c>
      <c r="S1" s="155" t="s">
        <v>924</v>
      </c>
      <c r="T1" s="155" t="s">
        <v>925</v>
      </c>
      <c r="U1" s="155" t="s">
        <v>926</v>
      </c>
      <c r="V1" s="157" t="s">
        <v>927</v>
      </c>
      <c r="W1" s="157" t="s">
        <v>928</v>
      </c>
      <c r="X1" s="157" t="s">
        <v>929</v>
      </c>
      <c r="Y1" s="157" t="s">
        <v>930</v>
      </c>
      <c r="Z1" s="157" t="s">
        <v>931</v>
      </c>
      <c r="AA1" s="157" t="s">
        <v>932</v>
      </c>
      <c r="AB1" s="157" t="s">
        <v>933</v>
      </c>
      <c r="AC1" s="157" t="s">
        <v>934</v>
      </c>
      <c r="AD1" s="157" t="s">
        <v>934</v>
      </c>
      <c r="AE1" s="157" t="s">
        <v>974</v>
      </c>
      <c r="AF1" s="157" t="s">
        <v>975</v>
      </c>
      <c r="AG1" s="157" t="s">
        <v>976</v>
      </c>
      <c r="AH1" s="157" t="s">
        <v>977</v>
      </c>
      <c r="AI1" s="157" t="s">
        <v>978</v>
      </c>
      <c r="AJ1" s="158" t="s">
        <v>935</v>
      </c>
      <c r="AK1" s="155" t="s">
        <v>936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4</v>
      </c>
      <c r="F2" s="155">
        <f t="shared" si="1"/>
        <v>4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67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-125</v>
      </c>
      <c r="AK4" s="170">
        <f>3*D4</f>
        <v>19500000</v>
      </c>
      <c r="AL4" s="162" t="s">
        <v>937</v>
      </c>
    </row>
    <row r="5" spans="1:38" x14ac:dyDescent="0.2">
      <c r="A5" s="171">
        <v>2</v>
      </c>
      <c r="B5" s="268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-90</v>
      </c>
      <c r="AK5" s="173">
        <f>3*D5</f>
        <v>21000000</v>
      </c>
      <c r="AL5" s="171" t="s">
        <v>938</v>
      </c>
    </row>
    <row r="6" spans="1:38" x14ac:dyDescent="0.2">
      <c r="A6" s="162">
        <v>3</v>
      </c>
      <c r="B6" s="267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-126</v>
      </c>
      <c r="AK6" s="170">
        <f>3*D6</f>
        <v>17625000</v>
      </c>
      <c r="AL6" s="162" t="s">
        <v>939</v>
      </c>
    </row>
    <row r="7" spans="1:38" x14ac:dyDescent="0.2">
      <c r="A7" s="171">
        <v>4</v>
      </c>
      <c r="B7" s="171" t="s">
        <v>972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-155</v>
      </c>
      <c r="AK7" s="173">
        <f>6*D7</f>
        <v>24000000</v>
      </c>
      <c r="AL7" s="171" t="s">
        <v>940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-95</v>
      </c>
      <c r="AK8" s="164">
        <f>3*D8</f>
        <v>14250000</v>
      </c>
      <c r="AL8" s="162" t="s">
        <v>939</v>
      </c>
    </row>
    <row r="9" spans="1:38" x14ac:dyDescent="0.2">
      <c r="A9" s="171">
        <v>6</v>
      </c>
      <c r="B9" s="269" t="s">
        <v>251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-111</v>
      </c>
      <c r="AK9" s="164">
        <f>3*D9</f>
        <v>24900000</v>
      </c>
      <c r="AL9" s="162" t="s">
        <v>941</v>
      </c>
    </row>
    <row r="10" spans="1:38" x14ac:dyDescent="0.2">
      <c r="A10" s="162">
        <v>7</v>
      </c>
      <c r="B10" s="162" t="s">
        <v>254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-155</v>
      </c>
      <c r="AK10" s="164">
        <f>D10*3</f>
        <v>18000000</v>
      </c>
      <c r="AL10" s="162" t="s">
        <v>939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-162</v>
      </c>
      <c r="AK11" s="187">
        <f>D11*3</f>
        <v>21000000</v>
      </c>
      <c r="AL11" s="163" t="s">
        <v>939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-155</v>
      </c>
      <c r="AK12" s="164">
        <f>3*D12</f>
        <v>19500000</v>
      </c>
      <c r="AL12" s="162" t="s">
        <v>942</v>
      </c>
    </row>
    <row r="13" spans="1:38" x14ac:dyDescent="0.2">
      <c r="A13" s="171">
        <v>10</v>
      </c>
      <c r="B13" s="162" t="s">
        <v>257</v>
      </c>
      <c r="C13" s="163" t="s">
        <v>66</v>
      </c>
      <c r="D13" s="164">
        <v>7000000</v>
      </c>
      <c r="E13" s="164"/>
      <c r="F13" s="166"/>
      <c r="G13" s="188" t="s">
        <v>943</v>
      </c>
      <c r="H13" s="164" t="s">
        <v>169</v>
      </c>
      <c r="I13" s="189" t="s">
        <v>701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-154</v>
      </c>
      <c r="AK13" s="164">
        <f>3*7000000</f>
        <v>21000000</v>
      </c>
      <c r="AL13" s="162" t="s">
        <v>939</v>
      </c>
    </row>
    <row r="14" spans="1:38" x14ac:dyDescent="0.2">
      <c r="A14" s="162">
        <v>11</v>
      </c>
      <c r="B14" s="162" t="s">
        <v>415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-145</v>
      </c>
      <c r="AK14" s="164">
        <f>3*D14</f>
        <v>18000000</v>
      </c>
      <c r="AL14" s="162" t="s">
        <v>942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304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-14</v>
      </c>
      <c r="AK15" s="164">
        <f>6*D15</f>
        <v>42000000</v>
      </c>
      <c r="AL15" s="162" t="s">
        <v>940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-101</v>
      </c>
      <c r="AK16" s="164">
        <f>6*D16</f>
        <v>39600000</v>
      </c>
      <c r="AL16" s="162" t="s">
        <v>940</v>
      </c>
    </row>
    <row r="17" spans="1:38" ht="41.4" x14ac:dyDescent="0.2">
      <c r="A17" s="171">
        <v>14</v>
      </c>
      <c r="B17" s="267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1242</v>
      </c>
      <c r="H17" s="98" t="s">
        <v>1243</v>
      </c>
      <c r="I17" s="98" t="s">
        <v>1244</v>
      </c>
      <c r="J17" s="164" t="s">
        <v>231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-94</v>
      </c>
      <c r="AK17" s="164">
        <f>3*D17</f>
        <v>21000000</v>
      </c>
      <c r="AL17" s="162" t="s">
        <v>939</v>
      </c>
    </row>
    <row r="18" spans="1:38" x14ac:dyDescent="0.2">
      <c r="A18" s="162">
        <v>15</v>
      </c>
      <c r="B18" s="162" t="s">
        <v>287</v>
      </c>
      <c r="C18" s="163" t="s">
        <v>288</v>
      </c>
      <c r="D18" s="164">
        <v>5300000</v>
      </c>
      <c r="E18" s="164"/>
      <c r="F18" s="166"/>
      <c r="G18" s="164" t="s">
        <v>299</v>
      </c>
      <c r="H18" s="164" t="s">
        <v>298</v>
      </c>
      <c r="I18" s="164" t="s">
        <v>300</v>
      </c>
      <c r="J18" s="164" t="s">
        <v>295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-80</v>
      </c>
      <c r="AK18" s="164">
        <f>6*D18</f>
        <v>31800000</v>
      </c>
      <c r="AL18" s="162" t="s">
        <v>940</v>
      </c>
    </row>
    <row r="19" spans="1:38" x14ac:dyDescent="0.2">
      <c r="A19" s="171">
        <v>16</v>
      </c>
      <c r="B19" s="162" t="s">
        <v>313</v>
      </c>
      <c r="C19" s="163" t="s">
        <v>15</v>
      </c>
      <c r="D19" s="164">
        <v>6000000</v>
      </c>
      <c r="E19" s="164"/>
      <c r="F19" s="166"/>
      <c r="G19" s="164" t="s">
        <v>329</v>
      </c>
      <c r="H19" s="164" t="s">
        <v>330</v>
      </c>
      <c r="I19" s="164" t="s">
        <v>331</v>
      </c>
      <c r="J19" s="164" t="s">
        <v>332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-114</v>
      </c>
      <c r="AK19" s="164">
        <f>3*D19</f>
        <v>18000000</v>
      </c>
      <c r="AL19" s="162" t="s">
        <v>942</v>
      </c>
    </row>
    <row r="20" spans="1:38" x14ac:dyDescent="0.2">
      <c r="A20" s="162" t="s">
        <v>1138</v>
      </c>
      <c r="B20" s="172" t="s">
        <v>419</v>
      </c>
      <c r="C20" s="163" t="s">
        <v>15</v>
      </c>
      <c r="D20" s="173">
        <v>5000000</v>
      </c>
      <c r="E20" s="164"/>
      <c r="F20" s="166"/>
      <c r="G20" s="173" t="s">
        <v>336</v>
      </c>
      <c r="H20" s="173" t="s">
        <v>337</v>
      </c>
      <c r="I20" s="173" t="s">
        <v>338</v>
      </c>
      <c r="J20" s="173" t="s">
        <v>339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-2</v>
      </c>
      <c r="AK20" s="173">
        <f>6*D20</f>
        <v>30000000</v>
      </c>
      <c r="AL20" s="171" t="s">
        <v>940</v>
      </c>
    </row>
    <row r="21" spans="1:38" x14ac:dyDescent="0.2">
      <c r="A21" s="171">
        <v>18</v>
      </c>
      <c r="B21" s="193" t="s">
        <v>641</v>
      </c>
      <c r="C21" s="163" t="s">
        <v>66</v>
      </c>
      <c r="D21" s="164">
        <v>6500000</v>
      </c>
      <c r="E21" s="164"/>
      <c r="F21" s="166"/>
      <c r="G21" s="164" t="s">
        <v>599</v>
      </c>
      <c r="H21" s="164" t="s">
        <v>593</v>
      </c>
      <c r="I21" s="164" t="s">
        <v>398</v>
      </c>
      <c r="J21" s="164" t="s">
        <v>350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-90</v>
      </c>
      <c r="AK21" s="164">
        <f>3*D21</f>
        <v>19500000</v>
      </c>
      <c r="AL21" s="162" t="s">
        <v>939</v>
      </c>
    </row>
    <row r="22" spans="1:38" x14ac:dyDescent="0.2">
      <c r="A22" s="162">
        <v>19</v>
      </c>
      <c r="B22" s="162" t="s">
        <v>344</v>
      </c>
      <c r="C22" s="163" t="s">
        <v>66</v>
      </c>
      <c r="D22" s="164">
        <v>4000000</v>
      </c>
      <c r="E22" s="164"/>
      <c r="F22" s="166"/>
      <c r="G22" s="164" t="s">
        <v>368</v>
      </c>
      <c r="H22" s="164" t="s">
        <v>367</v>
      </c>
      <c r="I22" s="164" t="s">
        <v>369</v>
      </c>
      <c r="J22" s="164" t="s">
        <v>346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-26</v>
      </c>
      <c r="AK22" s="164">
        <f>6*D22</f>
        <v>24000000</v>
      </c>
      <c r="AL22" s="162" t="s">
        <v>940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944</v>
      </c>
      <c r="H23" s="164" t="s">
        <v>290</v>
      </c>
      <c r="I23" s="164" t="s">
        <v>302</v>
      </c>
      <c r="J23" s="164" t="s">
        <v>291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-26</v>
      </c>
      <c r="AK23" s="164">
        <f>D23*6</f>
        <v>36000000</v>
      </c>
      <c r="AL23" s="162" t="s">
        <v>940</v>
      </c>
    </row>
    <row r="24" spans="1:38" x14ac:dyDescent="0.2">
      <c r="A24" s="162">
        <v>21</v>
      </c>
      <c r="B24" s="163" t="s">
        <v>527</v>
      </c>
      <c r="C24" s="163" t="s">
        <v>15</v>
      </c>
      <c r="D24" s="164">
        <v>5000000</v>
      </c>
      <c r="E24" s="164"/>
      <c r="F24" s="166"/>
      <c r="G24" s="164" t="s">
        <v>372</v>
      </c>
      <c r="H24" s="164" t="s">
        <v>373</v>
      </c>
      <c r="I24" s="164" t="s">
        <v>374</v>
      </c>
      <c r="J24" s="164" t="s">
        <v>375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-73</v>
      </c>
      <c r="AK24" s="187">
        <f>3*D24</f>
        <v>15000000</v>
      </c>
      <c r="AL24" s="162" t="s">
        <v>945</v>
      </c>
    </row>
    <row r="25" spans="1:38" x14ac:dyDescent="0.2">
      <c r="A25" s="171">
        <v>22</v>
      </c>
      <c r="B25" s="171" t="s">
        <v>106</v>
      </c>
      <c r="C25" s="163" t="s">
        <v>376</v>
      </c>
      <c r="D25" s="194">
        <v>6500000</v>
      </c>
      <c r="E25" s="164"/>
      <c r="F25" s="166"/>
      <c r="G25" s="196" t="s">
        <v>946</v>
      </c>
      <c r="H25" s="173" t="s">
        <v>947</v>
      </c>
      <c r="I25" s="173" t="s">
        <v>398</v>
      </c>
      <c r="J25" s="173" t="s">
        <v>379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-111</v>
      </c>
      <c r="AK25" s="173">
        <f>3*D25</f>
        <v>19500000</v>
      </c>
      <c r="AL25" s="171" t="s">
        <v>942</v>
      </c>
    </row>
    <row r="26" spans="1:38" x14ac:dyDescent="0.2">
      <c r="A26" s="162">
        <v>23</v>
      </c>
      <c r="B26" s="162" t="s">
        <v>380</v>
      </c>
      <c r="C26" s="163" t="s">
        <v>156</v>
      </c>
      <c r="D26" s="164" t="s">
        <v>411</v>
      </c>
      <c r="E26" s="164"/>
      <c r="F26" s="166"/>
      <c r="G26" s="164" t="s">
        <v>349</v>
      </c>
      <c r="H26" s="164" t="s">
        <v>383</v>
      </c>
      <c r="I26" s="164" t="s">
        <v>349</v>
      </c>
      <c r="J26" s="164" t="s">
        <v>384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-155</v>
      </c>
      <c r="AK26" s="164">
        <f>6*D26</f>
        <v>36000000</v>
      </c>
      <c r="AL26" s="162" t="s">
        <v>948</v>
      </c>
    </row>
    <row r="27" spans="1:38" x14ac:dyDescent="0.2">
      <c r="A27" s="171">
        <v>24</v>
      </c>
      <c r="B27" s="162" t="s">
        <v>381</v>
      </c>
      <c r="C27" s="163" t="s">
        <v>66</v>
      </c>
      <c r="D27" s="164">
        <v>5000000</v>
      </c>
      <c r="E27" s="164"/>
      <c r="F27" s="166"/>
      <c r="G27" s="195" t="s">
        <v>949</v>
      </c>
      <c r="H27" s="164" t="s">
        <v>387</v>
      </c>
      <c r="I27" s="164" t="s">
        <v>388</v>
      </c>
      <c r="J27" s="164" t="s">
        <v>385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-125</v>
      </c>
      <c r="AK27" s="164">
        <f>3*D27</f>
        <v>15000000</v>
      </c>
      <c r="AL27" s="162" t="s">
        <v>942</v>
      </c>
    </row>
    <row r="28" spans="1:38" x14ac:dyDescent="0.2">
      <c r="A28" s="162">
        <v>25</v>
      </c>
      <c r="B28" s="171" t="s">
        <v>400</v>
      </c>
      <c r="C28" s="163" t="s">
        <v>401</v>
      </c>
      <c r="D28" s="173">
        <v>5750000</v>
      </c>
      <c r="E28" s="164"/>
      <c r="F28" s="166"/>
      <c r="G28" s="173" t="s">
        <v>407</v>
      </c>
      <c r="H28" s="173" t="s">
        <v>406</v>
      </c>
      <c r="I28" s="173" t="s">
        <v>408</v>
      </c>
      <c r="J28" s="173" t="s">
        <v>403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-79</v>
      </c>
      <c r="AK28" s="173">
        <f>6*D28</f>
        <v>34500000</v>
      </c>
      <c r="AL28" s="171" t="s">
        <v>940</v>
      </c>
    </row>
    <row r="29" spans="1:38" x14ac:dyDescent="0.2">
      <c r="A29" s="171">
        <v>26</v>
      </c>
      <c r="B29" s="162" t="s">
        <v>420</v>
      </c>
      <c r="C29" s="163" t="s">
        <v>117</v>
      </c>
      <c r="D29" s="164">
        <v>7000000</v>
      </c>
      <c r="E29" s="164"/>
      <c r="F29" s="166"/>
      <c r="G29" s="164" t="s">
        <v>424</v>
      </c>
      <c r="H29" s="164" t="s">
        <v>422</v>
      </c>
      <c r="I29" s="164" t="s">
        <v>170</v>
      </c>
      <c r="J29" s="164" t="s">
        <v>425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1136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-64</v>
      </c>
      <c r="AK29" s="201">
        <f>D29*6</f>
        <v>42000000</v>
      </c>
      <c r="AL29" s="162" t="s">
        <v>950</v>
      </c>
    </row>
    <row r="30" spans="1:38" x14ac:dyDescent="0.2">
      <c r="A30" s="162">
        <v>27</v>
      </c>
      <c r="B30" s="162" t="s">
        <v>426</v>
      </c>
      <c r="C30" s="163" t="s">
        <v>15</v>
      </c>
      <c r="D30" s="201">
        <v>3000000</v>
      </c>
      <c r="E30" s="164"/>
      <c r="F30" s="166"/>
      <c r="G30" s="164" t="s">
        <v>436</v>
      </c>
      <c r="H30" s="164" t="s">
        <v>435</v>
      </c>
      <c r="I30" s="164" t="s">
        <v>433</v>
      </c>
      <c r="J30" s="164" t="s">
        <v>437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-121</v>
      </c>
      <c r="AK30" s="201">
        <f>D30*3</f>
        <v>9000000</v>
      </c>
      <c r="AL30" s="162" t="s">
        <v>945</v>
      </c>
    </row>
    <row r="31" spans="1:38" x14ac:dyDescent="0.2">
      <c r="A31" s="171">
        <v>28</v>
      </c>
      <c r="B31" s="171" t="s">
        <v>428</v>
      </c>
      <c r="C31" s="163" t="s">
        <v>107</v>
      </c>
      <c r="D31" s="194">
        <v>8500000</v>
      </c>
      <c r="E31" s="164"/>
      <c r="F31" s="166"/>
      <c r="G31" s="173" t="s">
        <v>432</v>
      </c>
      <c r="H31" s="173" t="s">
        <v>430</v>
      </c>
      <c r="I31" s="173" t="s">
        <v>433</v>
      </c>
      <c r="J31" s="173" t="s">
        <v>434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7</v>
      </c>
      <c r="AK31" s="194">
        <f>D31*6</f>
        <v>51000000</v>
      </c>
      <c r="AL31" s="171" t="s">
        <v>940</v>
      </c>
    </row>
    <row r="32" spans="1:38" x14ac:dyDescent="0.2">
      <c r="A32" s="162">
        <v>29</v>
      </c>
      <c r="B32" s="193" t="s">
        <v>340</v>
      </c>
      <c r="C32" s="163" t="s">
        <v>15</v>
      </c>
      <c r="D32" s="201">
        <v>5000000</v>
      </c>
      <c r="E32" s="164"/>
      <c r="F32" s="166"/>
      <c r="G32" s="164" t="s">
        <v>485</v>
      </c>
      <c r="H32" s="164" t="s">
        <v>486</v>
      </c>
      <c r="I32" s="164" t="s">
        <v>408</v>
      </c>
      <c r="J32" s="164" t="s">
        <v>345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-85</v>
      </c>
      <c r="AK32" s="201">
        <f t="shared" ref="AK32:AK36" si="41">D32*3</f>
        <v>15000000</v>
      </c>
      <c r="AL32" s="162" t="s">
        <v>945</v>
      </c>
    </row>
    <row r="33" spans="1:38" x14ac:dyDescent="0.2">
      <c r="A33" s="171">
        <v>30</v>
      </c>
      <c r="B33" s="163" t="s">
        <v>449</v>
      </c>
      <c r="C33" s="163" t="s">
        <v>32</v>
      </c>
      <c r="D33" s="201">
        <v>7000000</v>
      </c>
      <c r="E33" s="164"/>
      <c r="F33" s="166"/>
      <c r="G33" s="164" t="s">
        <v>452</v>
      </c>
      <c r="H33" s="164" t="s">
        <v>451</v>
      </c>
      <c r="I33" s="164" t="s">
        <v>453</v>
      </c>
      <c r="J33" s="164" t="s">
        <v>454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-128</v>
      </c>
      <c r="AK33" s="205">
        <f t="shared" si="41"/>
        <v>21000000</v>
      </c>
      <c r="AL33" s="162" t="s">
        <v>945</v>
      </c>
    </row>
    <row r="34" spans="1:38" x14ac:dyDescent="0.2">
      <c r="A34" s="162">
        <v>31</v>
      </c>
      <c r="B34" s="171" t="s">
        <v>455</v>
      </c>
      <c r="C34" s="163" t="s">
        <v>394</v>
      </c>
      <c r="D34" s="194">
        <v>5000000</v>
      </c>
      <c r="E34" s="164"/>
      <c r="F34" s="166"/>
      <c r="G34" s="206" t="s">
        <v>510</v>
      </c>
      <c r="H34" s="206" t="s">
        <v>511</v>
      </c>
      <c r="I34" s="206" t="s">
        <v>512</v>
      </c>
      <c r="J34" s="206" t="s">
        <v>513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-101</v>
      </c>
      <c r="AK34" s="194">
        <f t="shared" si="41"/>
        <v>15000000</v>
      </c>
      <c r="AL34" s="171" t="s">
        <v>945</v>
      </c>
    </row>
    <row r="35" spans="1:38" x14ac:dyDescent="0.2">
      <c r="A35" s="171">
        <v>32</v>
      </c>
      <c r="B35" s="184" t="s">
        <v>461</v>
      </c>
      <c r="C35" s="163" t="s">
        <v>288</v>
      </c>
      <c r="D35" s="201">
        <v>5000000</v>
      </c>
      <c r="E35" s="164"/>
      <c r="F35" s="166"/>
      <c r="G35" s="164" t="s">
        <v>463</v>
      </c>
      <c r="H35" s="164" t="s">
        <v>464</v>
      </c>
      <c r="I35" s="164" t="s">
        <v>465</v>
      </c>
      <c r="J35" s="164" t="s">
        <v>466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-95</v>
      </c>
      <c r="AK35" s="201">
        <f t="shared" si="41"/>
        <v>15000000</v>
      </c>
      <c r="AL35" s="162" t="s">
        <v>945</v>
      </c>
    </row>
    <row r="36" spans="1:38" x14ac:dyDescent="0.2">
      <c r="A36" s="162">
        <v>33</v>
      </c>
      <c r="B36" s="184" t="s">
        <v>467</v>
      </c>
      <c r="C36" s="163" t="s">
        <v>468</v>
      </c>
      <c r="D36" s="201">
        <v>5500000</v>
      </c>
      <c r="E36" s="164"/>
      <c r="F36" s="166"/>
      <c r="G36" s="164" t="s">
        <v>470</v>
      </c>
      <c r="H36" s="164" t="s">
        <v>471</v>
      </c>
      <c r="I36" s="164" t="s">
        <v>114</v>
      </c>
      <c r="J36" s="164" t="s">
        <v>472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-95</v>
      </c>
      <c r="AK36" s="201">
        <f t="shared" si="41"/>
        <v>16500000</v>
      </c>
      <c r="AL36" s="162" t="s">
        <v>945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474</v>
      </c>
      <c r="H37" s="187" t="s">
        <v>475</v>
      </c>
      <c r="I37" s="187" t="s">
        <v>476</v>
      </c>
      <c r="J37" s="164" t="s">
        <v>477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-94</v>
      </c>
      <c r="AK37" s="201">
        <f>D37*6</f>
        <v>46200000</v>
      </c>
      <c r="AL37" s="162" t="s">
        <v>948</v>
      </c>
    </row>
    <row r="38" spans="1:38" x14ac:dyDescent="0.2">
      <c r="A38" s="162">
        <v>35</v>
      </c>
      <c r="B38" s="162" t="s">
        <v>478</v>
      </c>
      <c r="C38" s="163" t="s">
        <v>229</v>
      </c>
      <c r="D38" s="201">
        <v>6000000</v>
      </c>
      <c r="E38" s="164"/>
      <c r="F38" s="166"/>
      <c r="G38" s="164" t="s">
        <v>480</v>
      </c>
      <c r="H38" s="164" t="s">
        <v>482</v>
      </c>
      <c r="I38" s="164" t="s">
        <v>481</v>
      </c>
      <c r="J38" s="164" t="s">
        <v>483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-94</v>
      </c>
      <c r="AK38" s="201">
        <f>D38*6</f>
        <v>36000000</v>
      </c>
      <c r="AL38" s="162" t="s">
        <v>948</v>
      </c>
    </row>
    <row r="39" spans="1:38" x14ac:dyDescent="0.2">
      <c r="A39" s="171">
        <v>36</v>
      </c>
      <c r="B39" s="162" t="s">
        <v>493</v>
      </c>
      <c r="C39" s="163" t="s">
        <v>32</v>
      </c>
      <c r="D39" s="201">
        <v>7000000</v>
      </c>
      <c r="E39" s="164"/>
      <c r="F39" s="166"/>
      <c r="G39" s="164" t="s">
        <v>495</v>
      </c>
      <c r="H39" s="164" t="s">
        <v>497</v>
      </c>
      <c r="I39" s="164" t="s">
        <v>496</v>
      </c>
      <c r="J39" s="164" t="s">
        <v>498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-80</v>
      </c>
      <c r="AK39" s="201">
        <f>D39*6</f>
        <v>42000000</v>
      </c>
      <c r="AL39" s="162" t="s">
        <v>948</v>
      </c>
    </row>
    <row r="40" spans="1:38" x14ac:dyDescent="0.2">
      <c r="A40" s="162">
        <v>37</v>
      </c>
      <c r="B40" s="162" t="s">
        <v>492</v>
      </c>
      <c r="C40" s="163" t="s">
        <v>32</v>
      </c>
      <c r="D40" s="201">
        <v>8000000</v>
      </c>
      <c r="E40" s="164"/>
      <c r="F40" s="166"/>
      <c r="G40" s="164" t="s">
        <v>508</v>
      </c>
      <c r="H40" s="164" t="s">
        <v>500</v>
      </c>
      <c r="I40" s="164" t="s">
        <v>501</v>
      </c>
      <c r="J40" s="164" t="s">
        <v>502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-80</v>
      </c>
      <c r="AK40" s="201">
        <f>D40*3</f>
        <v>24000000</v>
      </c>
      <c r="AL40" s="162" t="s">
        <v>945</v>
      </c>
    </row>
    <row r="41" spans="1:38" x14ac:dyDescent="0.2">
      <c r="A41" s="171">
        <v>38</v>
      </c>
      <c r="B41" s="162" t="s">
        <v>484</v>
      </c>
      <c r="C41" s="163" t="s">
        <v>66</v>
      </c>
      <c r="D41" s="201">
        <v>7000000</v>
      </c>
      <c r="E41" s="164"/>
      <c r="F41" s="166"/>
      <c r="G41" s="164" t="s">
        <v>505</v>
      </c>
      <c r="H41" s="164" t="s">
        <v>504</v>
      </c>
      <c r="I41" s="164" t="s">
        <v>506</v>
      </c>
      <c r="J41" s="164" t="s">
        <v>507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-162</v>
      </c>
      <c r="AK41" s="201">
        <f>D41*3</f>
        <v>21000000</v>
      </c>
      <c r="AL41" s="162" t="s">
        <v>951</v>
      </c>
    </row>
    <row r="42" spans="1:38" x14ac:dyDescent="0.2">
      <c r="A42" s="162">
        <v>39</v>
      </c>
      <c r="B42" s="162" t="s">
        <v>541</v>
      </c>
      <c r="C42" s="163" t="s">
        <v>376</v>
      </c>
      <c r="D42" s="201">
        <v>6500000</v>
      </c>
      <c r="E42" s="164"/>
      <c r="F42" s="166"/>
      <c r="G42" s="164" t="s">
        <v>543</v>
      </c>
      <c r="H42" s="164" t="s">
        <v>544</v>
      </c>
      <c r="I42" s="164" t="s">
        <v>194</v>
      </c>
      <c r="J42" s="164" t="s">
        <v>545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-125</v>
      </c>
      <c r="AK42" s="201">
        <f t="shared" ref="AK42:AK43" si="50">D42*3</f>
        <v>19500000</v>
      </c>
      <c r="AL42" s="162" t="s">
        <v>952</v>
      </c>
    </row>
    <row r="43" spans="1:38" x14ac:dyDescent="0.2">
      <c r="A43" s="171">
        <v>40</v>
      </c>
      <c r="B43" s="171" t="s">
        <v>550</v>
      </c>
      <c r="C43" s="163" t="s">
        <v>229</v>
      </c>
      <c r="D43" s="194">
        <v>6000000</v>
      </c>
      <c r="E43" s="164"/>
      <c r="F43" s="166"/>
      <c r="G43" s="173" t="s">
        <v>552</v>
      </c>
      <c r="H43" s="173" t="s">
        <v>553</v>
      </c>
      <c r="I43" s="173" t="s">
        <v>170</v>
      </c>
      <c r="J43" s="173" t="s">
        <v>554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-111</v>
      </c>
      <c r="AK43" s="194">
        <f t="shared" si="50"/>
        <v>18000000</v>
      </c>
      <c r="AL43" s="171" t="s">
        <v>952</v>
      </c>
    </row>
    <row r="44" spans="1:38" x14ac:dyDescent="0.2">
      <c r="A44" s="162" t="s">
        <v>1138</v>
      </c>
      <c r="B44" s="162" t="s">
        <v>1137</v>
      </c>
      <c r="C44" s="163" t="s">
        <v>32</v>
      </c>
      <c r="D44" s="201">
        <v>6000000</v>
      </c>
      <c r="E44" s="164"/>
      <c r="F44" s="166"/>
      <c r="G44" s="164" t="s">
        <v>633</v>
      </c>
      <c r="H44" s="164" t="s">
        <v>634</v>
      </c>
      <c r="I44" s="164" t="s">
        <v>635</v>
      </c>
      <c r="J44" s="164" t="s">
        <v>640</v>
      </c>
      <c r="K44" s="162" t="s">
        <v>79</v>
      </c>
      <c r="L44" s="167" t="s">
        <v>953</v>
      </c>
      <c r="M44" s="167" t="s">
        <v>953</v>
      </c>
      <c r="N44" s="167" t="s">
        <v>953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-125</v>
      </c>
      <c r="AK44" s="201">
        <f>D44*6</f>
        <v>36000000</v>
      </c>
      <c r="AL44" s="162" t="s">
        <v>954</v>
      </c>
    </row>
    <row r="45" spans="1:38" x14ac:dyDescent="0.2">
      <c r="A45" s="171">
        <v>42</v>
      </c>
      <c r="B45" s="213" t="s">
        <v>568</v>
      </c>
      <c r="C45" s="163" t="s">
        <v>468</v>
      </c>
      <c r="D45" s="194">
        <v>4300000</v>
      </c>
      <c r="E45" s="164"/>
      <c r="F45" s="166"/>
      <c r="G45" s="173" t="s">
        <v>595</v>
      </c>
      <c r="H45" s="173" t="s">
        <v>597</v>
      </c>
      <c r="I45" s="173" t="s">
        <v>596</v>
      </c>
      <c r="J45" s="173" t="s">
        <v>598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7</v>
      </c>
      <c r="AK45" s="194">
        <f>D45*6</f>
        <v>25800000</v>
      </c>
      <c r="AL45" s="171" t="s">
        <v>955</v>
      </c>
    </row>
    <row r="46" spans="1:38" x14ac:dyDescent="0.2">
      <c r="A46" s="162">
        <v>43</v>
      </c>
      <c r="B46" s="162" t="s">
        <v>569</v>
      </c>
      <c r="C46" s="163" t="s">
        <v>573</v>
      </c>
      <c r="D46" s="201">
        <v>6000000</v>
      </c>
      <c r="E46" s="164"/>
      <c r="F46" s="166"/>
      <c r="G46" s="164" t="s">
        <v>575</v>
      </c>
      <c r="H46" s="164" t="s">
        <v>576</v>
      </c>
      <c r="I46" s="164" t="s">
        <v>398</v>
      </c>
      <c r="J46" s="164" t="s">
        <v>577</v>
      </c>
      <c r="K46" s="197" t="s">
        <v>1157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-141</v>
      </c>
      <c r="AK46" s="201">
        <f>D46*1</f>
        <v>6000000</v>
      </c>
      <c r="AL46" s="162" t="s">
        <v>956</v>
      </c>
    </row>
    <row r="47" spans="1:38" x14ac:dyDescent="0.2">
      <c r="A47" s="171">
        <v>44</v>
      </c>
      <c r="B47" s="162" t="s">
        <v>570</v>
      </c>
      <c r="C47" s="163" t="s">
        <v>579</v>
      </c>
      <c r="D47" s="201">
        <v>4000000</v>
      </c>
      <c r="E47" s="164"/>
      <c r="F47" s="166"/>
      <c r="G47" s="164" t="s">
        <v>580</v>
      </c>
      <c r="H47" s="164" t="s">
        <v>581</v>
      </c>
      <c r="I47" s="164" t="s">
        <v>170</v>
      </c>
      <c r="J47" s="164" t="s">
        <v>582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-19</v>
      </c>
      <c r="AK47" s="201">
        <v>24000000</v>
      </c>
      <c r="AL47" s="162" t="s">
        <v>955</v>
      </c>
    </row>
    <row r="48" spans="1:38" x14ac:dyDescent="0.2">
      <c r="A48" s="162">
        <v>45</v>
      </c>
      <c r="B48" s="162" t="s">
        <v>571</v>
      </c>
      <c r="C48" s="163" t="s">
        <v>579</v>
      </c>
      <c r="D48" s="201">
        <v>4000000</v>
      </c>
      <c r="E48" s="164"/>
      <c r="F48" s="166"/>
      <c r="G48" s="164" t="s">
        <v>585</v>
      </c>
      <c r="H48" s="164" t="s">
        <v>584</v>
      </c>
      <c r="I48" s="164" t="s">
        <v>586</v>
      </c>
      <c r="J48" s="164" t="s">
        <v>587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-19</v>
      </c>
      <c r="AK48" s="201">
        <v>24000000</v>
      </c>
      <c r="AL48" s="162" t="s">
        <v>955</v>
      </c>
    </row>
    <row r="49" spans="1:38" x14ac:dyDescent="0.2">
      <c r="A49" s="171">
        <v>46</v>
      </c>
      <c r="B49" s="209" t="s">
        <v>572</v>
      </c>
      <c r="C49" s="163" t="s">
        <v>468</v>
      </c>
      <c r="D49" s="201">
        <v>6500000</v>
      </c>
      <c r="E49" s="164"/>
      <c r="F49" s="166"/>
      <c r="G49" s="164" t="s">
        <v>590</v>
      </c>
      <c r="H49" s="164" t="s">
        <v>589</v>
      </c>
      <c r="I49" s="164" t="s">
        <v>591</v>
      </c>
      <c r="J49" s="164" t="s">
        <v>592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-3</v>
      </c>
      <c r="AK49" s="201">
        <f>D49*6</f>
        <v>39000000</v>
      </c>
      <c r="AL49" s="162" t="s">
        <v>955</v>
      </c>
    </row>
    <row r="50" spans="1:38" x14ac:dyDescent="0.2">
      <c r="A50" s="162">
        <v>47</v>
      </c>
      <c r="B50" s="162" t="s">
        <v>608</v>
      </c>
      <c r="C50" s="163" t="s">
        <v>573</v>
      </c>
      <c r="D50" s="201">
        <v>6000000</v>
      </c>
      <c r="E50" s="164"/>
      <c r="F50" s="166"/>
      <c r="G50" s="164" t="s">
        <v>626</v>
      </c>
      <c r="H50" s="164" t="s">
        <v>627</v>
      </c>
      <c r="I50" s="164" t="s">
        <v>628</v>
      </c>
      <c r="J50" s="164" t="s">
        <v>629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-125</v>
      </c>
      <c r="AK50" s="201">
        <f>D50*6</f>
        <v>36000000</v>
      </c>
      <c r="AL50" s="162" t="s">
        <v>957</v>
      </c>
    </row>
    <row r="51" spans="1:38" x14ac:dyDescent="0.2">
      <c r="A51" s="171">
        <v>48</v>
      </c>
      <c r="B51" s="215" t="s">
        <v>619</v>
      </c>
      <c r="C51" s="163" t="s">
        <v>573</v>
      </c>
      <c r="D51" s="194">
        <v>6000000</v>
      </c>
      <c r="E51" s="164"/>
      <c r="F51" s="166"/>
      <c r="G51" s="196" t="s">
        <v>958</v>
      </c>
      <c r="H51" s="173" t="s">
        <v>621</v>
      </c>
      <c r="I51" s="173" t="s">
        <v>959</v>
      </c>
      <c r="J51" s="173" t="s">
        <v>960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-43</v>
      </c>
      <c r="AK51" s="194">
        <f t="shared" ref="AK51:AK60" si="58">D51*6</f>
        <v>36000000</v>
      </c>
      <c r="AL51" s="171" t="s">
        <v>957</v>
      </c>
    </row>
    <row r="52" spans="1:38" x14ac:dyDescent="0.2">
      <c r="A52" s="162">
        <v>49</v>
      </c>
      <c r="B52" s="162" t="s">
        <v>614</v>
      </c>
      <c r="C52" s="163" t="s">
        <v>573</v>
      </c>
      <c r="D52" s="201">
        <v>6500000</v>
      </c>
      <c r="E52" s="164"/>
      <c r="F52" s="166"/>
      <c r="G52" s="195" t="s">
        <v>617</v>
      </c>
      <c r="H52" s="164" t="s">
        <v>616</v>
      </c>
      <c r="I52" s="164" t="s">
        <v>398</v>
      </c>
      <c r="J52" s="164" t="s">
        <v>961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-64</v>
      </c>
      <c r="AK52" s="201">
        <f>D52*6</f>
        <v>39000000</v>
      </c>
      <c r="AL52" s="162" t="s">
        <v>957</v>
      </c>
    </row>
    <row r="53" spans="1:38" x14ac:dyDescent="0.2">
      <c r="A53" s="171">
        <v>50</v>
      </c>
      <c r="B53" s="162" t="s">
        <v>637</v>
      </c>
      <c r="C53" s="163" t="s">
        <v>962</v>
      </c>
      <c r="D53" s="201">
        <v>4500000</v>
      </c>
      <c r="E53" s="164"/>
      <c r="F53" s="166"/>
      <c r="G53" s="164" t="s">
        <v>653</v>
      </c>
      <c r="H53" s="164" t="s">
        <v>654</v>
      </c>
      <c r="I53" s="164" t="s">
        <v>586</v>
      </c>
      <c r="J53" s="164" t="s">
        <v>652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-68</v>
      </c>
      <c r="AK53" s="201">
        <f t="shared" si="58"/>
        <v>27000000</v>
      </c>
      <c r="AL53" s="162" t="s">
        <v>957</v>
      </c>
    </row>
    <row r="54" spans="1:38" x14ac:dyDescent="0.2">
      <c r="A54" s="162">
        <v>51</v>
      </c>
      <c r="B54" s="162" t="s">
        <v>636</v>
      </c>
      <c r="C54" s="163" t="s">
        <v>556</v>
      </c>
      <c r="D54" s="201">
        <v>4000000</v>
      </c>
      <c r="E54" s="164"/>
      <c r="F54" s="166"/>
      <c r="G54" s="164" t="s">
        <v>650</v>
      </c>
      <c r="H54" s="164" t="s">
        <v>649</v>
      </c>
      <c r="I54" s="164" t="s">
        <v>153</v>
      </c>
      <c r="J54" s="164" t="s">
        <v>651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-69</v>
      </c>
      <c r="AK54" s="201">
        <f t="shared" si="58"/>
        <v>24000000</v>
      </c>
      <c r="AL54" s="162" t="s">
        <v>957</v>
      </c>
    </row>
    <row r="55" spans="1:38" x14ac:dyDescent="0.2">
      <c r="A55" s="171">
        <v>52</v>
      </c>
      <c r="B55" s="162" t="s">
        <v>607</v>
      </c>
      <c r="C55" s="163" t="s">
        <v>762</v>
      </c>
      <c r="D55" s="201">
        <v>5500000</v>
      </c>
      <c r="E55" s="164"/>
      <c r="F55" s="166"/>
      <c r="G55" s="195" t="s">
        <v>664</v>
      </c>
      <c r="H55" s="164" t="s">
        <v>665</v>
      </c>
      <c r="I55" s="164" t="s">
        <v>666</v>
      </c>
      <c r="J55" s="164" t="s">
        <v>667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-33</v>
      </c>
      <c r="AK55" s="201">
        <f t="shared" si="58"/>
        <v>33000000</v>
      </c>
      <c r="AL55" s="162" t="s">
        <v>955</v>
      </c>
    </row>
    <row r="56" spans="1:38" x14ac:dyDescent="0.2">
      <c r="A56" s="162">
        <v>53</v>
      </c>
      <c r="B56" s="162" t="s">
        <v>668</v>
      </c>
      <c r="C56" s="163" t="s">
        <v>66</v>
      </c>
      <c r="D56" s="201">
        <v>4000000</v>
      </c>
      <c r="E56" s="164"/>
      <c r="F56" s="166"/>
      <c r="G56" s="195" t="s">
        <v>678</v>
      </c>
      <c r="H56" s="164" t="s">
        <v>679</v>
      </c>
      <c r="I56" s="164" t="s">
        <v>398</v>
      </c>
      <c r="J56" s="164" t="s">
        <v>680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-159</v>
      </c>
      <c r="AK56" s="201">
        <f t="shared" si="58"/>
        <v>24000000</v>
      </c>
      <c r="AL56" s="162" t="s">
        <v>963</v>
      </c>
    </row>
    <row r="57" spans="1:38" x14ac:dyDescent="0.2">
      <c r="A57" s="171">
        <v>54</v>
      </c>
      <c r="B57" s="162" t="s">
        <v>669</v>
      </c>
      <c r="C57" s="163" t="s">
        <v>32</v>
      </c>
      <c r="D57" s="201">
        <v>4000000</v>
      </c>
      <c r="E57" s="164"/>
      <c r="F57" s="166"/>
      <c r="G57" s="195" t="s">
        <v>682</v>
      </c>
      <c r="H57" s="164" t="s">
        <v>683</v>
      </c>
      <c r="I57" s="164" t="s">
        <v>408</v>
      </c>
      <c r="J57" s="164" t="s">
        <v>681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-146</v>
      </c>
      <c r="AK57" s="201">
        <f t="shared" si="58"/>
        <v>24000000</v>
      </c>
      <c r="AL57" s="162" t="s">
        <v>964</v>
      </c>
    </row>
    <row r="58" spans="1:38" x14ac:dyDescent="0.2">
      <c r="A58" s="162">
        <v>55</v>
      </c>
      <c r="B58" s="193" t="s">
        <v>670</v>
      </c>
      <c r="C58" s="163" t="s">
        <v>579</v>
      </c>
      <c r="D58" s="201">
        <v>4000000</v>
      </c>
      <c r="E58" s="164"/>
      <c r="F58" s="166"/>
      <c r="G58" s="195" t="s">
        <v>685</v>
      </c>
      <c r="H58" s="164" t="s">
        <v>686</v>
      </c>
      <c r="I58" s="164" t="s">
        <v>687</v>
      </c>
      <c r="J58" s="164" t="s">
        <v>684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2</v>
      </c>
      <c r="AK58" s="201">
        <f t="shared" si="58"/>
        <v>24000000</v>
      </c>
      <c r="AL58" s="162" t="s">
        <v>957</v>
      </c>
    </row>
    <row r="59" spans="1:38" x14ac:dyDescent="0.2">
      <c r="A59" s="171">
        <v>56</v>
      </c>
      <c r="B59" s="162" t="s">
        <v>671</v>
      </c>
      <c r="C59" s="163" t="s">
        <v>156</v>
      </c>
      <c r="D59" s="201">
        <v>4000000</v>
      </c>
      <c r="E59" s="164"/>
      <c r="F59" s="166"/>
      <c r="G59" s="195" t="s">
        <v>694</v>
      </c>
      <c r="H59" s="164" t="s">
        <v>693</v>
      </c>
      <c r="I59" s="164" t="s">
        <v>408</v>
      </c>
      <c r="J59" s="164" t="s">
        <v>692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-125</v>
      </c>
      <c r="AK59" s="201">
        <f t="shared" si="58"/>
        <v>24000000</v>
      </c>
      <c r="AL59" s="162" t="s">
        <v>964</v>
      </c>
    </row>
    <row r="60" spans="1:38" x14ac:dyDescent="0.2">
      <c r="A60" s="162">
        <v>57</v>
      </c>
      <c r="B60" s="162" t="s">
        <v>672</v>
      </c>
      <c r="C60" s="163" t="s">
        <v>156</v>
      </c>
      <c r="D60" s="201">
        <v>4000000</v>
      </c>
      <c r="E60" s="164"/>
      <c r="F60" s="166"/>
      <c r="G60" s="195" t="s">
        <v>689</v>
      </c>
      <c r="H60" s="164" t="s">
        <v>690</v>
      </c>
      <c r="I60" s="164" t="s">
        <v>691</v>
      </c>
      <c r="J60" s="164" t="s">
        <v>688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-125</v>
      </c>
      <c r="AK60" s="201">
        <f t="shared" si="58"/>
        <v>24000000</v>
      </c>
      <c r="AL60" s="162" t="s">
        <v>964</v>
      </c>
    </row>
    <row r="61" spans="1:38" x14ac:dyDescent="0.2">
      <c r="A61" s="171">
        <v>58</v>
      </c>
      <c r="B61" s="162" t="s">
        <v>738</v>
      </c>
      <c r="C61" s="163" t="s">
        <v>32</v>
      </c>
      <c r="D61" s="164">
        <v>4000000</v>
      </c>
      <c r="E61" s="164"/>
      <c r="F61" s="166"/>
      <c r="G61" s="164" t="s">
        <v>695</v>
      </c>
      <c r="H61" s="164" t="s">
        <v>696</v>
      </c>
      <c r="I61" s="164" t="s">
        <v>697</v>
      </c>
      <c r="J61" s="164" t="s">
        <v>698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-134</v>
      </c>
      <c r="AK61" s="201">
        <f>D61*6</f>
        <v>24000000</v>
      </c>
      <c r="AL61" s="162" t="s">
        <v>964</v>
      </c>
    </row>
    <row r="62" spans="1:38" x14ac:dyDescent="0.2">
      <c r="A62" s="162">
        <v>59</v>
      </c>
      <c r="B62" s="162" t="s">
        <v>730</v>
      </c>
      <c r="C62" s="163" t="s">
        <v>288</v>
      </c>
      <c r="D62" s="164">
        <v>4000000</v>
      </c>
      <c r="E62" s="164"/>
      <c r="F62" s="166"/>
      <c r="G62" s="164" t="s">
        <v>733</v>
      </c>
      <c r="H62" s="164" t="s">
        <v>732</v>
      </c>
      <c r="I62" s="164" t="s">
        <v>965</v>
      </c>
      <c r="J62" s="164" t="s">
        <v>736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-89</v>
      </c>
      <c r="AK62" s="201">
        <f t="shared" ref="AK62:AK85" si="63">D62*6</f>
        <v>24000000</v>
      </c>
      <c r="AL62" s="162" t="s">
        <v>964</v>
      </c>
    </row>
    <row r="63" spans="1:38" x14ac:dyDescent="0.2">
      <c r="A63" s="171">
        <v>60</v>
      </c>
      <c r="B63" s="219" t="s">
        <v>723</v>
      </c>
      <c r="C63" s="163" t="s">
        <v>15</v>
      </c>
      <c r="D63" s="164">
        <v>5000000</v>
      </c>
      <c r="E63" s="164"/>
      <c r="F63" s="166"/>
      <c r="G63" s="164" t="s">
        <v>725</v>
      </c>
      <c r="H63" s="164" t="s">
        <v>726</v>
      </c>
      <c r="I63" s="164" t="s">
        <v>393</v>
      </c>
      <c r="J63" s="164" t="s">
        <v>727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-80</v>
      </c>
      <c r="AK63" s="201">
        <f t="shared" si="63"/>
        <v>30000000</v>
      </c>
      <c r="AL63" s="162" t="s">
        <v>964</v>
      </c>
    </row>
    <row r="64" spans="1:38" x14ac:dyDescent="0.2">
      <c r="A64" s="162">
        <v>61</v>
      </c>
      <c r="B64" s="162" t="s">
        <v>702</v>
      </c>
      <c r="C64" s="163" t="s">
        <v>288</v>
      </c>
      <c r="D64" s="164">
        <v>5500000</v>
      </c>
      <c r="E64" s="164"/>
      <c r="F64" s="166"/>
      <c r="G64" s="164" t="s">
        <v>721</v>
      </c>
      <c r="H64" s="164" t="s">
        <v>720</v>
      </c>
      <c r="I64" s="164" t="s">
        <v>153</v>
      </c>
      <c r="J64" s="164" t="s">
        <v>704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-85</v>
      </c>
      <c r="AK64" s="201">
        <f>D64*6</f>
        <v>33000000</v>
      </c>
      <c r="AL64" s="162" t="s">
        <v>964</v>
      </c>
    </row>
    <row r="65" spans="1:38" x14ac:dyDescent="0.2">
      <c r="A65" s="171">
        <v>62</v>
      </c>
      <c r="B65" s="163" t="s">
        <v>705</v>
      </c>
      <c r="C65" s="163" t="s">
        <v>288</v>
      </c>
      <c r="D65" s="164">
        <v>7000000</v>
      </c>
      <c r="E65" s="164"/>
      <c r="F65" s="166"/>
      <c r="G65" s="164" t="s">
        <v>717</v>
      </c>
      <c r="H65" s="164" t="s">
        <v>716</v>
      </c>
      <c r="I65" s="164" t="s">
        <v>408</v>
      </c>
      <c r="J65" s="164" t="s">
        <v>707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-75</v>
      </c>
      <c r="AK65" s="201">
        <f t="shared" si="63"/>
        <v>42000000</v>
      </c>
      <c r="AL65" s="162" t="s">
        <v>964</v>
      </c>
    </row>
    <row r="66" spans="1:38" x14ac:dyDescent="0.2">
      <c r="A66" s="162">
        <v>63</v>
      </c>
      <c r="B66" s="162" t="s">
        <v>708</v>
      </c>
      <c r="C66" s="163" t="s">
        <v>32</v>
      </c>
      <c r="D66" s="164">
        <v>7500000</v>
      </c>
      <c r="E66" s="164"/>
      <c r="F66" s="166"/>
      <c r="G66" s="164" t="s">
        <v>729</v>
      </c>
      <c r="H66" s="164" t="s">
        <v>728</v>
      </c>
      <c r="I66" s="164" t="s">
        <v>966</v>
      </c>
      <c r="J66" s="164" t="s">
        <v>710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-55</v>
      </c>
      <c r="AK66" s="201">
        <f>D66*6</f>
        <v>45000000</v>
      </c>
      <c r="AL66" s="171" t="s">
        <v>964</v>
      </c>
    </row>
    <row r="67" spans="1:38" x14ac:dyDescent="0.2">
      <c r="A67" s="171">
        <v>64</v>
      </c>
      <c r="B67" s="162" t="s">
        <v>711</v>
      </c>
      <c r="C67" s="163" t="s">
        <v>229</v>
      </c>
      <c r="D67" s="164">
        <v>5000000</v>
      </c>
      <c r="E67" s="164"/>
      <c r="F67" s="166"/>
      <c r="G67" s="164" t="s">
        <v>714</v>
      </c>
      <c r="H67" s="164" t="s">
        <v>715</v>
      </c>
      <c r="I67" s="164" t="s">
        <v>170</v>
      </c>
      <c r="J67" s="164" t="s">
        <v>713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-47</v>
      </c>
      <c r="AK67" s="201">
        <f t="shared" si="63"/>
        <v>30000000</v>
      </c>
      <c r="AL67" s="162" t="s">
        <v>964</v>
      </c>
    </row>
    <row r="68" spans="1:38" x14ac:dyDescent="0.2">
      <c r="A68" s="162">
        <v>65</v>
      </c>
      <c r="B68" s="219" t="s">
        <v>742</v>
      </c>
      <c r="C68" s="163" t="s">
        <v>15</v>
      </c>
      <c r="D68" s="164">
        <v>5500000</v>
      </c>
      <c r="E68" s="164"/>
      <c r="F68" s="166"/>
      <c r="G68" s="164" t="s">
        <v>757</v>
      </c>
      <c r="H68" s="164" t="s">
        <v>756</v>
      </c>
      <c r="I68" s="164" t="s">
        <v>758</v>
      </c>
      <c r="J68" s="164" t="s">
        <v>745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7</v>
      </c>
      <c r="AK68" s="201">
        <f t="shared" si="63"/>
        <v>33000000</v>
      </c>
      <c r="AL68" s="162" t="s">
        <v>964</v>
      </c>
    </row>
    <row r="69" spans="1:38" x14ac:dyDescent="0.2">
      <c r="A69" s="171">
        <v>66</v>
      </c>
      <c r="B69" s="269" t="s">
        <v>743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769</v>
      </c>
      <c r="H69" s="164" t="s">
        <v>770</v>
      </c>
      <c r="I69" s="164" t="s">
        <v>771</v>
      </c>
      <c r="J69" s="164" t="s">
        <v>747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v>46266</v>
      </c>
      <c r="Q69" s="182">
        <f>EDATE(P69,6)</f>
        <v>46447</v>
      </c>
      <c r="R69" s="182">
        <f t="shared" si="61"/>
        <v>46631</v>
      </c>
      <c r="S69" s="182">
        <f t="shared" si="61"/>
        <v>46813</v>
      </c>
      <c r="T69" s="182">
        <f t="shared" si="61"/>
        <v>46997</v>
      </c>
      <c r="U69" s="182">
        <f t="shared" si="61"/>
        <v>47178</v>
      </c>
      <c r="V69" s="182">
        <f t="shared" si="61"/>
        <v>47362</v>
      </c>
      <c r="W69" s="182">
        <f t="shared" si="61"/>
        <v>47543</v>
      </c>
      <c r="X69" s="182">
        <f t="shared" si="61"/>
        <v>47727</v>
      </c>
      <c r="Y69" s="182">
        <f t="shared" si="61"/>
        <v>47908</v>
      </c>
      <c r="Z69" s="182">
        <f t="shared" si="61"/>
        <v>48092</v>
      </c>
      <c r="AA69" s="182">
        <f t="shared" si="61"/>
        <v>48274</v>
      </c>
      <c r="AB69" s="182">
        <f t="shared" si="61"/>
        <v>48458</v>
      </c>
      <c r="AC69" s="182">
        <f t="shared" si="61"/>
        <v>48639</v>
      </c>
      <c r="AD69" s="182">
        <f t="shared" si="62"/>
        <v>48823</v>
      </c>
      <c r="AE69" s="182">
        <f t="shared" si="62"/>
        <v>49004</v>
      </c>
      <c r="AF69" s="182">
        <f t="shared" si="62"/>
        <v>49188</v>
      </c>
      <c r="AG69" s="182">
        <f t="shared" si="56"/>
        <v>49369</v>
      </c>
      <c r="AH69" s="182">
        <f t="shared" si="52"/>
        <v>49553</v>
      </c>
      <c r="AI69" s="182">
        <f t="shared" si="52"/>
        <v>49735</v>
      </c>
      <c r="AJ69" s="186">
        <f ca="1">P69-TODAY()</f>
        <v>-2</v>
      </c>
      <c r="AK69" s="201">
        <f t="shared" si="63"/>
        <v>30000000</v>
      </c>
      <c r="AL69" s="162" t="s">
        <v>964</v>
      </c>
    </row>
    <row r="70" spans="1:38" x14ac:dyDescent="0.2">
      <c r="A70" s="162">
        <v>67</v>
      </c>
      <c r="B70" s="162" t="s">
        <v>740</v>
      </c>
      <c r="C70" s="163" t="s">
        <v>15</v>
      </c>
      <c r="D70" s="164">
        <v>5000000</v>
      </c>
      <c r="E70" s="164"/>
      <c r="F70" s="166"/>
      <c r="G70" s="164" t="s">
        <v>754</v>
      </c>
      <c r="H70" s="164" t="s">
        <v>755</v>
      </c>
      <c r="I70" s="164" t="s">
        <v>701</v>
      </c>
      <c r="J70" s="164" t="s">
        <v>752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-138</v>
      </c>
      <c r="AK70" s="201">
        <f t="shared" si="63"/>
        <v>30000000</v>
      </c>
      <c r="AL70" s="162" t="s">
        <v>963</v>
      </c>
    </row>
    <row r="71" spans="1:38" x14ac:dyDescent="0.2">
      <c r="A71" s="171">
        <v>68</v>
      </c>
      <c r="B71" s="162" t="s">
        <v>741</v>
      </c>
      <c r="C71" s="163" t="s">
        <v>117</v>
      </c>
      <c r="D71" s="164">
        <v>4500000</v>
      </c>
      <c r="E71" s="164"/>
      <c r="F71" s="166"/>
      <c r="G71" s="164" t="s">
        <v>750</v>
      </c>
      <c r="H71" s="164" t="s">
        <v>749</v>
      </c>
      <c r="I71" s="164" t="s">
        <v>701</v>
      </c>
      <c r="J71" s="164" t="s">
        <v>751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-8</v>
      </c>
      <c r="AK71" s="201">
        <f t="shared" si="63"/>
        <v>27000000</v>
      </c>
      <c r="AL71" s="162" t="s">
        <v>964</v>
      </c>
    </row>
    <row r="72" spans="1:38" x14ac:dyDescent="0.2">
      <c r="A72" s="162">
        <v>69</v>
      </c>
      <c r="B72" s="162" t="s">
        <v>772</v>
      </c>
      <c r="C72" s="163" t="s">
        <v>32</v>
      </c>
      <c r="D72" s="164">
        <v>6000000</v>
      </c>
      <c r="E72" s="164"/>
      <c r="F72" s="166"/>
      <c r="G72" s="164" t="s">
        <v>775</v>
      </c>
      <c r="H72" s="164" t="s">
        <v>776</v>
      </c>
      <c r="I72" s="164" t="s">
        <v>771</v>
      </c>
      <c r="J72" s="164" t="s">
        <v>777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-100</v>
      </c>
      <c r="AK72" s="201">
        <f t="shared" si="63"/>
        <v>36000000</v>
      </c>
      <c r="AL72" s="162" t="s">
        <v>967</v>
      </c>
    </row>
    <row r="73" spans="1:38" x14ac:dyDescent="0.2">
      <c r="A73" s="162">
        <v>70</v>
      </c>
      <c r="B73" s="219" t="s">
        <v>779</v>
      </c>
      <c r="C73" s="163" t="s">
        <v>156</v>
      </c>
      <c r="D73" s="164">
        <v>4000000</v>
      </c>
      <c r="E73" s="164"/>
      <c r="F73" s="166"/>
      <c r="G73" s="164" t="s">
        <v>781</v>
      </c>
      <c r="H73" s="164" t="s">
        <v>782</v>
      </c>
      <c r="I73" s="164" t="s">
        <v>783</v>
      </c>
      <c r="J73" s="164" t="s">
        <v>784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-82</v>
      </c>
      <c r="AK73" s="201">
        <f t="shared" si="63"/>
        <v>24000000</v>
      </c>
      <c r="AL73" s="162" t="s">
        <v>967</v>
      </c>
    </row>
    <row r="74" spans="1:38" x14ac:dyDescent="0.2">
      <c r="A74" s="162">
        <v>71</v>
      </c>
      <c r="B74" s="163" t="s">
        <v>788</v>
      </c>
      <c r="C74" s="163" t="s">
        <v>573</v>
      </c>
      <c r="D74" s="164">
        <v>7000000</v>
      </c>
      <c r="E74" s="164"/>
      <c r="F74" s="166"/>
      <c r="G74" s="164" t="s">
        <v>790</v>
      </c>
      <c r="H74" s="164" t="s">
        <v>789</v>
      </c>
      <c r="I74" s="164" t="s">
        <v>791</v>
      </c>
      <c r="J74" s="164" t="s">
        <v>786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-45</v>
      </c>
      <c r="AK74" s="201">
        <f t="shared" si="63"/>
        <v>42000000</v>
      </c>
      <c r="AL74" s="162" t="s">
        <v>963</v>
      </c>
    </row>
    <row r="75" spans="1:38" x14ac:dyDescent="0.2">
      <c r="A75" s="162">
        <v>73</v>
      </c>
      <c r="B75" s="163" t="s">
        <v>792</v>
      </c>
      <c r="C75" s="163" t="s">
        <v>32</v>
      </c>
      <c r="D75" s="164">
        <v>4000000</v>
      </c>
      <c r="E75" s="164"/>
      <c r="F75" s="166"/>
      <c r="G75" s="164" t="s">
        <v>799</v>
      </c>
      <c r="H75" s="164" t="s">
        <v>859</v>
      </c>
      <c r="I75" s="164" t="s">
        <v>697</v>
      </c>
      <c r="J75" s="164" t="s">
        <v>798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-39</v>
      </c>
      <c r="AK75" s="201">
        <f t="shared" si="63"/>
        <v>24000000</v>
      </c>
      <c r="AL75" s="162" t="s">
        <v>963</v>
      </c>
    </row>
    <row r="76" spans="1:38" x14ac:dyDescent="0.2">
      <c r="A76" s="162">
        <v>74</v>
      </c>
      <c r="B76" s="163" t="s">
        <v>793</v>
      </c>
      <c r="C76" s="163" t="s">
        <v>156</v>
      </c>
      <c r="D76" s="164">
        <v>4000000</v>
      </c>
      <c r="E76" s="164"/>
      <c r="F76" s="166"/>
      <c r="G76" s="164" t="s">
        <v>795</v>
      </c>
      <c r="H76" s="164" t="s">
        <v>796</v>
      </c>
      <c r="I76" s="164" t="s">
        <v>170</v>
      </c>
      <c r="J76" s="164" t="s">
        <v>797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-47</v>
      </c>
      <c r="AK76" s="201">
        <f t="shared" si="63"/>
        <v>24000000</v>
      </c>
      <c r="AL76" s="162" t="s">
        <v>963</v>
      </c>
    </row>
    <row r="77" spans="1:38" x14ac:dyDescent="0.2">
      <c r="A77" s="162">
        <v>75</v>
      </c>
      <c r="B77" s="162" t="s">
        <v>804</v>
      </c>
      <c r="C77" s="163" t="s">
        <v>117</v>
      </c>
      <c r="D77" s="164">
        <v>5000000</v>
      </c>
      <c r="E77" s="164"/>
      <c r="F77" s="166"/>
      <c r="G77" s="181" t="s">
        <v>806</v>
      </c>
      <c r="H77" s="163" t="s">
        <v>807</v>
      </c>
      <c r="I77" s="163" t="s">
        <v>153</v>
      </c>
      <c r="J77" s="162" t="s">
        <v>808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-17</v>
      </c>
      <c r="AK77" s="201">
        <f t="shared" si="63"/>
        <v>30000000</v>
      </c>
      <c r="AL77" s="162" t="s">
        <v>963</v>
      </c>
    </row>
    <row r="78" spans="1:38" x14ac:dyDescent="0.2">
      <c r="A78" s="162">
        <v>76</v>
      </c>
      <c r="B78" s="269" t="s">
        <v>809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810</v>
      </c>
      <c r="H78" s="163" t="s">
        <v>811</v>
      </c>
      <c r="I78" s="163" t="s">
        <v>170</v>
      </c>
      <c r="J78" s="162" t="s">
        <v>968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-104</v>
      </c>
      <c r="AK78" s="201">
        <f t="shared" si="63"/>
        <v>18000000</v>
      </c>
      <c r="AL78" s="162" t="s">
        <v>969</v>
      </c>
    </row>
    <row r="79" spans="1:38" x14ac:dyDescent="0.2">
      <c r="A79" s="162">
        <v>77</v>
      </c>
      <c r="B79" s="162" t="s">
        <v>973</v>
      </c>
      <c r="C79" s="163" t="s">
        <v>66</v>
      </c>
      <c r="D79" s="164">
        <v>4000000</v>
      </c>
      <c r="E79" s="164"/>
      <c r="F79" s="166"/>
      <c r="G79" s="181" t="s">
        <v>813</v>
      </c>
      <c r="H79" s="163" t="s">
        <v>812</v>
      </c>
      <c r="I79" s="163" t="s">
        <v>970</v>
      </c>
      <c r="J79" s="162" t="s">
        <v>814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-99</v>
      </c>
      <c r="AK79" s="201">
        <f t="shared" si="63"/>
        <v>24000000</v>
      </c>
      <c r="AL79" s="162" t="s">
        <v>969</v>
      </c>
    </row>
    <row r="80" spans="1:38" x14ac:dyDescent="0.2">
      <c r="A80" s="162">
        <v>78</v>
      </c>
      <c r="B80" s="187" t="s">
        <v>832</v>
      </c>
      <c r="C80" s="163" t="s">
        <v>15</v>
      </c>
      <c r="D80" s="164">
        <v>5000000</v>
      </c>
      <c r="E80" s="164"/>
      <c r="F80" s="166"/>
      <c r="G80" s="163" t="s">
        <v>840</v>
      </c>
      <c r="H80" s="163" t="s">
        <v>839</v>
      </c>
      <c r="I80" s="162" t="s">
        <v>153</v>
      </c>
      <c r="J80" s="162" t="s">
        <v>841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-46</v>
      </c>
      <c r="AK80" s="201">
        <f t="shared" si="63"/>
        <v>30000000</v>
      </c>
      <c r="AL80" s="220" t="s">
        <v>969</v>
      </c>
    </row>
    <row r="81" spans="1:38" x14ac:dyDescent="0.2">
      <c r="A81" s="162">
        <v>79</v>
      </c>
      <c r="B81" s="187" t="s">
        <v>834</v>
      </c>
      <c r="C81" s="163" t="s">
        <v>229</v>
      </c>
      <c r="D81" s="164">
        <v>5000000</v>
      </c>
      <c r="E81" s="164"/>
      <c r="F81" s="166"/>
      <c r="G81" s="163" t="s">
        <v>850</v>
      </c>
      <c r="H81" s="163" t="s">
        <v>849</v>
      </c>
      <c r="I81" s="162" t="s">
        <v>851</v>
      </c>
      <c r="J81" s="162" t="s">
        <v>847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-33</v>
      </c>
      <c r="AK81" s="201">
        <f t="shared" si="63"/>
        <v>30000000</v>
      </c>
      <c r="AL81" s="162" t="s">
        <v>969</v>
      </c>
    </row>
    <row r="82" spans="1:38" x14ac:dyDescent="0.2">
      <c r="A82" s="162">
        <v>80</v>
      </c>
      <c r="B82" s="187" t="s">
        <v>836</v>
      </c>
      <c r="C82" s="163" t="s">
        <v>288</v>
      </c>
      <c r="D82" s="164">
        <v>4000000</v>
      </c>
      <c r="E82" s="164"/>
      <c r="F82" s="166"/>
      <c r="G82" s="163" t="s">
        <v>845</v>
      </c>
      <c r="H82" s="163" t="s">
        <v>844</v>
      </c>
      <c r="I82" s="162" t="s">
        <v>846</v>
      </c>
      <c r="J82" s="162" t="s">
        <v>842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-57</v>
      </c>
      <c r="AK82" s="201">
        <f t="shared" si="63"/>
        <v>24000000</v>
      </c>
      <c r="AL82" s="220" t="s">
        <v>969</v>
      </c>
    </row>
    <row r="83" spans="1:38" x14ac:dyDescent="0.2">
      <c r="A83" s="162">
        <v>81</v>
      </c>
      <c r="B83" s="187" t="s">
        <v>835</v>
      </c>
      <c r="C83" s="163" t="s">
        <v>579</v>
      </c>
      <c r="D83" s="164">
        <v>5000000</v>
      </c>
      <c r="E83" s="164"/>
      <c r="F83" s="166"/>
      <c r="G83" s="163" t="s">
        <v>857</v>
      </c>
      <c r="H83" s="163" t="s">
        <v>855</v>
      </c>
      <c r="I83" s="162" t="s">
        <v>856</v>
      </c>
      <c r="J83" s="162" t="s">
        <v>858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-56</v>
      </c>
      <c r="AK83" s="201">
        <f t="shared" si="63"/>
        <v>30000000</v>
      </c>
      <c r="AL83" s="162" t="s">
        <v>969</v>
      </c>
    </row>
    <row r="84" spans="1:38" x14ac:dyDescent="0.2">
      <c r="A84" s="162">
        <v>82</v>
      </c>
      <c r="B84" s="221" t="s">
        <v>883</v>
      </c>
      <c r="C84" s="163" t="s">
        <v>66</v>
      </c>
      <c r="D84" s="164">
        <v>4000000</v>
      </c>
      <c r="E84" s="164"/>
      <c r="F84" s="166"/>
      <c r="G84" s="181" t="s">
        <v>885</v>
      </c>
      <c r="H84" s="163" t="s">
        <v>884</v>
      </c>
      <c r="I84" s="162" t="s">
        <v>691</v>
      </c>
      <c r="J84" s="162" t="s">
        <v>886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2</v>
      </c>
      <c r="AK84" s="201">
        <f t="shared" si="63"/>
        <v>24000000</v>
      </c>
      <c r="AL84" s="162" t="s">
        <v>969</v>
      </c>
    </row>
    <row r="85" spans="1:38" x14ac:dyDescent="0.2">
      <c r="A85" s="162">
        <v>83</v>
      </c>
      <c r="B85" s="187" t="s">
        <v>890</v>
      </c>
      <c r="C85" s="163" t="s">
        <v>66</v>
      </c>
      <c r="D85" s="164">
        <v>6000000</v>
      </c>
      <c r="E85" s="164"/>
      <c r="F85" s="166"/>
      <c r="G85" s="181" t="s">
        <v>891</v>
      </c>
      <c r="H85" s="163" t="s">
        <v>889</v>
      </c>
      <c r="I85" s="162" t="s">
        <v>102</v>
      </c>
      <c r="J85" s="162" t="s">
        <v>892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-155</v>
      </c>
      <c r="AK85" s="201">
        <f t="shared" si="63"/>
        <v>36000000</v>
      </c>
      <c r="AL85" s="162" t="s">
        <v>971</v>
      </c>
    </row>
  </sheetData>
  <conditionalFormatting sqref="AK1">
    <cfRule type="cellIs" dxfId="100" priority="99" operator="lessThan">
      <formula>7</formula>
    </cfRule>
  </conditionalFormatting>
  <conditionalFormatting sqref="AJ3:AJ27 AJ29:AJ37 AJ74:AJ76">
    <cfRule type="cellIs" dxfId="99" priority="98" operator="lessThan">
      <formula>15</formula>
    </cfRule>
  </conditionalFormatting>
  <conditionalFormatting sqref="AJ14:AJ16">
    <cfRule type="cellIs" dxfId="98" priority="97" operator="lessThan">
      <formula>15</formula>
    </cfRule>
  </conditionalFormatting>
  <conditionalFormatting sqref="AJ7">
    <cfRule type="cellIs" dxfId="97" priority="96" operator="lessThan">
      <formula>15</formula>
    </cfRule>
  </conditionalFormatting>
  <conditionalFormatting sqref="AJ10">
    <cfRule type="cellIs" dxfId="96" priority="95" operator="lessThan">
      <formula>15</formula>
    </cfRule>
  </conditionalFormatting>
  <conditionalFormatting sqref="AJ11">
    <cfRule type="cellIs" dxfId="95" priority="94" operator="lessThan">
      <formula>15</formula>
    </cfRule>
  </conditionalFormatting>
  <conditionalFormatting sqref="AJ13">
    <cfRule type="cellIs" dxfId="94" priority="93" operator="lessThan">
      <formula>15</formula>
    </cfRule>
  </conditionalFormatting>
  <conditionalFormatting sqref="AJ18:AJ21">
    <cfRule type="cellIs" dxfId="93" priority="92" operator="lessThan">
      <formula>15</formula>
    </cfRule>
  </conditionalFormatting>
  <conditionalFormatting sqref="AJ17">
    <cfRule type="cellIs" dxfId="92" priority="91" operator="lessThan">
      <formula>15</formula>
    </cfRule>
  </conditionalFormatting>
  <conditionalFormatting sqref="AJ4:AJ27 AJ29:AJ37 AJ74:AJ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G1:J1">
    <cfRule type="duplicateValues" dxfId="89" priority="100"/>
  </conditionalFormatting>
  <conditionalFormatting sqref="AJ18">
    <cfRule type="cellIs" dxfId="88" priority="88" operator="lessThan">
      <formula>15</formula>
    </cfRule>
  </conditionalFormatting>
  <conditionalFormatting sqref="AJ21">
    <cfRule type="cellIs" dxfId="87" priority="87" operator="lessThan">
      <formula>15</formula>
    </cfRule>
  </conditionalFormatting>
  <conditionalFormatting sqref="AJ27">
    <cfRule type="cellIs" dxfId="86" priority="86" operator="lessThan">
      <formula>15</formula>
    </cfRule>
  </conditionalFormatting>
  <conditionalFormatting sqref="AJ27">
    <cfRule type="cellIs" dxfId="85" priority="85" operator="lessThan">
      <formula>15</formula>
    </cfRule>
  </conditionalFormatting>
  <conditionalFormatting sqref="AJ23">
    <cfRule type="cellIs" dxfId="84" priority="84" operator="lessThan">
      <formula>15</formula>
    </cfRule>
  </conditionalFormatting>
  <conditionalFormatting sqref="AJ23">
    <cfRule type="cellIs" dxfId="83" priority="83" operator="lessThan">
      <formula>15</formula>
    </cfRule>
  </conditionalFormatting>
  <conditionalFormatting sqref="AJ25">
    <cfRule type="cellIs" dxfId="82" priority="82" operator="lessThan">
      <formula>15</formula>
    </cfRule>
  </conditionalFormatting>
  <conditionalFormatting sqref="AJ19">
    <cfRule type="cellIs" dxfId="81" priority="81" operator="lessThan">
      <formula>15</formula>
    </cfRule>
  </conditionalFormatting>
  <conditionalFormatting sqref="AJ22">
    <cfRule type="cellIs" dxfId="80" priority="80" operator="lessThan">
      <formula>15</formula>
    </cfRule>
  </conditionalFormatting>
  <conditionalFormatting sqref="AJ22">
    <cfRule type="cellIs" dxfId="79" priority="79" operator="lessThan">
      <formula>15</formula>
    </cfRule>
  </conditionalFormatting>
  <conditionalFormatting sqref="AJ19:AJ20">
    <cfRule type="cellIs" dxfId="78" priority="78" operator="lessThan">
      <formula>15</formula>
    </cfRule>
  </conditionalFormatting>
  <conditionalFormatting sqref="AJ22">
    <cfRule type="cellIs" dxfId="77" priority="77" operator="lessThan">
      <formula>15</formula>
    </cfRule>
  </conditionalFormatting>
  <conditionalFormatting sqref="AJ23">
    <cfRule type="cellIs" dxfId="76" priority="76" operator="lessThan">
      <formula>15</formula>
    </cfRule>
  </conditionalFormatting>
  <conditionalFormatting sqref="AJ25">
    <cfRule type="cellIs" dxfId="75" priority="75" operator="lessThan">
      <formula>15</formula>
    </cfRule>
  </conditionalFormatting>
  <conditionalFormatting sqref="AJ20">
    <cfRule type="cellIs" dxfId="74" priority="74" operator="lessThan">
      <formula>15</formula>
    </cfRule>
  </conditionalFormatting>
  <conditionalFormatting sqref="AJ20">
    <cfRule type="cellIs" dxfId="73" priority="73" operator="lessThan">
      <formula>15</formula>
    </cfRule>
  </conditionalFormatting>
  <conditionalFormatting sqref="AJ38">
    <cfRule type="cellIs" dxfId="72" priority="72" operator="lessThan">
      <formula>15</formula>
    </cfRule>
  </conditionalFormatting>
  <conditionalFormatting sqref="AJ38">
    <cfRule type="cellIs" dxfId="71" priority="71" operator="lessThan">
      <formula>15</formula>
    </cfRule>
  </conditionalFormatting>
  <conditionalFormatting sqref="AJ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J28">
    <cfRule type="cellIs" dxfId="68" priority="68" operator="lessThan">
      <formula>15</formula>
    </cfRule>
  </conditionalFormatting>
  <conditionalFormatting sqref="AJ28">
    <cfRule type="cellIs" dxfId="67" priority="67" operator="lessThan">
      <formula>15</formula>
    </cfRule>
  </conditionalFormatting>
  <conditionalFormatting sqref="AJ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J28">
    <cfRule type="cellIs" dxfId="64" priority="64" operator="lessThan">
      <formula>15</formula>
    </cfRule>
  </conditionalFormatting>
  <conditionalFormatting sqref="AJ39:AJ40">
    <cfRule type="cellIs" dxfId="63" priority="63" operator="lessThan">
      <formula>15</formula>
    </cfRule>
  </conditionalFormatting>
  <conditionalFormatting sqref="AJ39:AJ40">
    <cfRule type="cellIs" dxfId="62" priority="62" operator="lessThan">
      <formula>15</formula>
    </cfRule>
  </conditionalFormatting>
  <conditionalFormatting sqref="AJ39:AJ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J41">
    <cfRule type="cellIs" dxfId="59" priority="59" operator="lessThan">
      <formula>15</formula>
    </cfRule>
  </conditionalFormatting>
  <conditionalFormatting sqref="AJ41">
    <cfRule type="cellIs" dxfId="58" priority="58" operator="lessThan">
      <formula>15</formula>
    </cfRule>
  </conditionalFormatting>
  <conditionalFormatting sqref="AJ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J42:AJ44 AJ46:AJ49">
    <cfRule type="cellIs" dxfId="55" priority="55" operator="lessThan">
      <formula>15</formula>
    </cfRule>
  </conditionalFormatting>
  <conditionalFormatting sqref="AJ42:AJ44 AJ46:AJ49">
    <cfRule type="cellIs" dxfId="54" priority="54" operator="lessThan">
      <formula>15</formula>
    </cfRule>
  </conditionalFormatting>
  <conditionalFormatting sqref="AJ42:AJ44 AJ46:AJ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J45">
    <cfRule type="cellIs" dxfId="51" priority="51" operator="lessThan">
      <formula>15</formula>
    </cfRule>
  </conditionalFormatting>
  <conditionalFormatting sqref="AJ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J50">
    <cfRule type="cellIs" dxfId="48" priority="48" operator="lessThan">
      <formula>15</formula>
    </cfRule>
  </conditionalFormatting>
  <conditionalFormatting sqref="AJ50">
    <cfRule type="cellIs" dxfId="47" priority="47" operator="lessThan">
      <formula>15</formula>
    </cfRule>
  </conditionalFormatting>
  <conditionalFormatting sqref="AJ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J51:AJ61">
    <cfRule type="cellIs" dxfId="44" priority="44" operator="lessThan">
      <formula>15</formula>
    </cfRule>
  </conditionalFormatting>
  <conditionalFormatting sqref="AJ51:AJ61">
    <cfRule type="cellIs" dxfId="43" priority="43" operator="lessThan">
      <formula>15</formula>
    </cfRule>
  </conditionalFormatting>
  <conditionalFormatting sqref="AJ51:AJ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J62:AJ63">
    <cfRule type="cellIs" dxfId="40" priority="40" operator="lessThan">
      <formula>15</formula>
    </cfRule>
  </conditionalFormatting>
  <conditionalFormatting sqref="AJ62:AJ63">
    <cfRule type="cellIs" dxfId="39" priority="39" operator="lessThan">
      <formula>15</formula>
    </cfRule>
  </conditionalFormatting>
  <conditionalFormatting sqref="AJ62:AJ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J64:AJ65">
    <cfRule type="cellIs" dxfId="36" priority="36" operator="lessThan">
      <formula>15</formula>
    </cfRule>
  </conditionalFormatting>
  <conditionalFormatting sqref="AJ64:AJ65">
    <cfRule type="cellIs" dxfId="35" priority="35" operator="lessThan">
      <formula>15</formula>
    </cfRule>
  </conditionalFormatting>
  <conditionalFormatting sqref="AJ64:AJ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J66">
    <cfRule type="cellIs" dxfId="32" priority="32" operator="lessThan">
      <formula>15</formula>
    </cfRule>
  </conditionalFormatting>
  <conditionalFormatting sqref="AJ66">
    <cfRule type="cellIs" dxfId="31" priority="31" operator="lessThan">
      <formula>15</formula>
    </cfRule>
  </conditionalFormatting>
  <conditionalFormatting sqref="AJ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J67:AJ69">
    <cfRule type="cellIs" dxfId="28" priority="28" operator="lessThan">
      <formula>15</formula>
    </cfRule>
  </conditionalFormatting>
  <conditionalFormatting sqref="AJ67:AJ69">
    <cfRule type="cellIs" dxfId="27" priority="27" operator="lessThan">
      <formula>15</formula>
    </cfRule>
  </conditionalFormatting>
  <conditionalFormatting sqref="AJ67:AJ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J70:AJ71">
    <cfRule type="cellIs" dxfId="24" priority="24" operator="lessThan">
      <formula>15</formula>
    </cfRule>
  </conditionalFormatting>
  <conditionalFormatting sqref="AJ70:AJ71">
    <cfRule type="cellIs" dxfId="23" priority="23" operator="lessThan">
      <formula>15</formula>
    </cfRule>
  </conditionalFormatting>
  <conditionalFormatting sqref="AJ70:AJ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J73">
    <cfRule type="cellIs" dxfId="20" priority="20" operator="lessThan">
      <formula>15</formula>
    </cfRule>
  </conditionalFormatting>
  <conditionalFormatting sqref="AJ73">
    <cfRule type="cellIs" dxfId="19" priority="19" operator="lessThan">
      <formula>15</formula>
    </cfRule>
  </conditionalFormatting>
  <conditionalFormatting sqref="AJ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J72">
    <cfRule type="cellIs" dxfId="16" priority="16" operator="lessThan">
      <formula>15</formula>
    </cfRule>
  </conditionalFormatting>
  <conditionalFormatting sqref="AJ72">
    <cfRule type="cellIs" dxfId="15" priority="15" operator="lessThan">
      <formula>15</formula>
    </cfRule>
  </conditionalFormatting>
  <conditionalFormatting sqref="AJ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L1">
    <cfRule type="cellIs" dxfId="12" priority="12" operator="lessThan">
      <formula>7</formula>
    </cfRule>
  </conditionalFormatting>
  <conditionalFormatting sqref="AJ77">
    <cfRule type="cellIs" dxfId="11" priority="11" operator="lessThan">
      <formula>15</formula>
    </cfRule>
  </conditionalFormatting>
  <conditionalFormatting sqref="AJ77">
    <cfRule type="cellIs" dxfId="10" priority="10" operator="lessThan">
      <formula>15</formula>
    </cfRule>
  </conditionalFormatting>
  <conditionalFormatting sqref="AJ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J78:AJ85">
    <cfRule type="cellIs" dxfId="7" priority="7" operator="lessThan">
      <formula>15</formula>
    </cfRule>
  </conditionalFormatting>
  <conditionalFormatting sqref="AJ78:AJ85">
    <cfRule type="cellIs" dxfId="6" priority="6" operator="lessThan">
      <formula>15</formula>
    </cfRule>
  </conditionalFormatting>
  <conditionalFormatting sqref="AJ78:AJ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J80:J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C4" sqref="C4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363</v>
      </c>
      <c r="C1" s="155" t="s">
        <v>1047</v>
      </c>
      <c r="D1" s="155" t="s">
        <v>980</v>
      </c>
      <c r="E1" s="155" t="s">
        <v>981</v>
      </c>
      <c r="F1" s="155" t="s">
        <v>1048</v>
      </c>
      <c r="G1" s="228" t="s">
        <v>982</v>
      </c>
      <c r="H1" s="228" t="s">
        <v>983</v>
      </c>
      <c r="I1" s="228" t="s">
        <v>984</v>
      </c>
      <c r="J1" s="228" t="s">
        <v>985</v>
      </c>
      <c r="K1" s="228" t="s">
        <v>986</v>
      </c>
      <c r="L1" s="228" t="s">
        <v>987</v>
      </c>
      <c r="M1" s="228" t="s">
        <v>988</v>
      </c>
      <c r="N1" s="228" t="s">
        <v>989</v>
      </c>
      <c r="O1" s="228" t="s">
        <v>989</v>
      </c>
      <c r="P1" s="228" t="s">
        <v>990</v>
      </c>
      <c r="Q1" s="228" t="s">
        <v>990</v>
      </c>
      <c r="R1" s="228" t="s">
        <v>1039</v>
      </c>
      <c r="S1" s="228" t="s">
        <v>1040</v>
      </c>
      <c r="T1" s="228" t="s">
        <v>1041</v>
      </c>
      <c r="U1" s="228" t="s">
        <v>1042</v>
      </c>
      <c r="V1" s="228" t="s">
        <v>1043</v>
      </c>
      <c r="W1" s="228" t="s">
        <v>1044</v>
      </c>
      <c r="X1" s="228" t="s">
        <v>1045</v>
      </c>
      <c r="Y1" s="228" t="s">
        <v>1046</v>
      </c>
      <c r="Z1" s="229" t="s">
        <v>991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4846680000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187">
        <v>6640000</v>
      </c>
      <c r="D4" s="187"/>
      <c r="E4" s="162" t="s">
        <v>992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39840000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992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992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972</v>
      </c>
      <c r="C7" s="187">
        <v>6300000</v>
      </c>
      <c r="D7" s="187"/>
      <c r="E7" s="162" t="s">
        <v>992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1138</v>
      </c>
      <c r="B8" s="163" t="s">
        <v>95</v>
      </c>
      <c r="C8" s="187">
        <v>7680000</v>
      </c>
      <c r="D8" s="187"/>
      <c r="E8" s="162" t="s">
        <v>993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992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251</v>
      </c>
      <c r="C10" s="206">
        <v>11900000</v>
      </c>
      <c r="D10" s="206"/>
      <c r="E10" s="171" t="s">
        <v>992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254</v>
      </c>
      <c r="C11" s="187">
        <v>8640000</v>
      </c>
      <c r="D11" s="235" t="s">
        <v>994</v>
      </c>
      <c r="E11" s="162" t="s">
        <v>992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992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992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257</v>
      </c>
      <c r="C14" s="206">
        <v>5920000</v>
      </c>
      <c r="D14" s="206"/>
      <c r="E14" s="171" t="s">
        <v>995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415</v>
      </c>
      <c r="C15" s="187">
        <v>11500000</v>
      </c>
      <c r="D15" s="187"/>
      <c r="E15" s="162" t="s">
        <v>992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69000000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992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992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996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287</v>
      </c>
      <c r="C19" s="206">
        <v>8800000</v>
      </c>
      <c r="D19" s="237" t="s">
        <v>997</v>
      </c>
      <c r="E19" s="171" t="s">
        <v>998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313</v>
      </c>
      <c r="C20" s="187">
        <v>10000000</v>
      </c>
      <c r="D20" s="187"/>
      <c r="E20" s="162" t="s">
        <v>999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60000000</v>
      </c>
    </row>
    <row r="21" spans="1:26" x14ac:dyDescent="0.3">
      <c r="A21" s="162">
        <v>18</v>
      </c>
      <c r="B21" s="163" t="s">
        <v>344</v>
      </c>
      <c r="C21" s="187">
        <v>5800000</v>
      </c>
      <c r="D21" s="187"/>
      <c r="E21" s="162" t="s">
        <v>1000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1001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527</v>
      </c>
      <c r="C23" s="187">
        <v>12600000</v>
      </c>
      <c r="D23" s="235" t="s">
        <v>1002</v>
      </c>
      <c r="E23" s="162" t="s">
        <v>1003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1004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400</v>
      </c>
      <c r="C25" s="206">
        <v>10700000</v>
      </c>
      <c r="D25" s="206"/>
      <c r="E25" s="171" t="s">
        <v>1005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420</v>
      </c>
      <c r="C26" s="187">
        <v>10200000</v>
      </c>
      <c r="D26" s="187"/>
      <c r="E26" s="162" t="s">
        <v>1006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426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428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340</v>
      </c>
      <c r="C29" s="187">
        <v>10000000</v>
      </c>
      <c r="D29" s="235" t="s">
        <v>1007</v>
      </c>
      <c r="E29" s="162" t="s">
        <v>1008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449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455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461</v>
      </c>
      <c r="C32" s="206">
        <v>10600000</v>
      </c>
      <c r="D32" s="237" t="s">
        <v>1009</v>
      </c>
      <c r="E32" s="171" t="s">
        <v>1010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467</v>
      </c>
      <c r="C33" s="187">
        <v>11000000</v>
      </c>
      <c r="D33" s="235" t="s">
        <v>1011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478</v>
      </c>
      <c r="C35" s="187">
        <v>11000000</v>
      </c>
      <c r="D35" s="235" t="s">
        <v>1012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493</v>
      </c>
      <c r="C36" s="206">
        <v>11700000</v>
      </c>
      <c r="D36" s="237" t="s">
        <v>1013</v>
      </c>
      <c r="E36" s="171" t="s">
        <v>1008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492</v>
      </c>
      <c r="C37" s="187">
        <v>12600000</v>
      </c>
      <c r="D37" s="237" t="s">
        <v>1014</v>
      </c>
      <c r="E37" s="162" t="s">
        <v>1015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1138</v>
      </c>
      <c r="B38" s="210" t="s">
        <v>1016</v>
      </c>
      <c r="C38" s="187">
        <v>8030000</v>
      </c>
      <c r="D38" s="187"/>
      <c r="E38" s="162" t="s">
        <v>1017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641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484</v>
      </c>
      <c r="C40" s="187">
        <v>8000000</v>
      </c>
      <c r="D40" s="187"/>
      <c r="E40" s="162" t="s">
        <v>1018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1138</v>
      </c>
      <c r="B41" s="239" t="s">
        <v>1137</v>
      </c>
      <c r="C41" s="206">
        <v>10700000</v>
      </c>
      <c r="D41" s="206"/>
      <c r="E41" s="171" t="s">
        <v>1019</v>
      </c>
      <c r="F41" s="232" t="s">
        <v>954</v>
      </c>
      <c r="G41" s="232" t="s">
        <v>954</v>
      </c>
      <c r="H41" s="232" t="s">
        <v>954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541</v>
      </c>
      <c r="C42" s="187">
        <v>11400000</v>
      </c>
      <c r="D42" s="187"/>
      <c r="E42" s="162" t="s">
        <v>1005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550</v>
      </c>
      <c r="C43" s="206">
        <v>11000000</v>
      </c>
      <c r="D43" s="237" t="s">
        <v>1020</v>
      </c>
      <c r="E43" s="171" t="s">
        <v>1005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1138</v>
      </c>
      <c r="B44" s="233" t="s">
        <v>557</v>
      </c>
      <c r="C44" s="187">
        <v>6500000</v>
      </c>
      <c r="D44" s="187"/>
      <c r="E44" s="162" t="s">
        <v>1005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569</v>
      </c>
      <c r="C45" s="187">
        <v>11200000</v>
      </c>
      <c r="D45" s="187"/>
      <c r="E45" s="162" t="s">
        <v>1021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572</v>
      </c>
      <c r="C46" s="187">
        <v>10100000</v>
      </c>
      <c r="D46" s="187"/>
      <c r="E46" s="162" t="s">
        <v>1022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571</v>
      </c>
      <c r="C47" s="187">
        <v>7000000</v>
      </c>
      <c r="D47" s="187"/>
      <c r="E47" s="162" t="s">
        <v>1023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570</v>
      </c>
      <c r="C48" s="187">
        <v>7000000</v>
      </c>
      <c r="D48" s="187"/>
      <c r="E48" s="162" t="s">
        <v>1023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607</v>
      </c>
      <c r="C49" s="206">
        <v>7500000</v>
      </c>
      <c r="D49" s="206"/>
      <c r="E49" s="174" t="s">
        <v>1024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568</v>
      </c>
      <c r="C50" s="187">
        <v>6400000</v>
      </c>
      <c r="D50" s="187"/>
      <c r="E50" s="162" t="s">
        <v>1025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1138</v>
      </c>
      <c r="B51" s="163" t="s">
        <v>1026</v>
      </c>
      <c r="C51" s="187">
        <v>8000000</v>
      </c>
      <c r="D51" s="187"/>
      <c r="E51" s="162" t="s">
        <v>1027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608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636</v>
      </c>
      <c r="C53" s="187">
        <v>6600000</v>
      </c>
      <c r="D53" s="235" t="s">
        <v>1028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637</v>
      </c>
      <c r="C54" s="187">
        <v>6700000</v>
      </c>
      <c r="D54" s="235" t="s">
        <v>1029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614</v>
      </c>
      <c r="C55" s="187">
        <v>10200000</v>
      </c>
      <c r="D55" s="187"/>
      <c r="E55" s="220" t="s">
        <v>1030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619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672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738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730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671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669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1138</v>
      </c>
      <c r="B62" s="234" t="s">
        <v>1031</v>
      </c>
      <c r="C62" s="187">
        <v>12000000</v>
      </c>
      <c r="D62" s="187"/>
      <c r="E62" s="220" t="s">
        <v>1032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702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705</v>
      </c>
      <c r="C64" s="187">
        <v>9800000</v>
      </c>
      <c r="D64" s="235" t="s">
        <v>1033</v>
      </c>
      <c r="E64" s="220" t="s">
        <v>1034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708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711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723</v>
      </c>
      <c r="C67" s="187">
        <v>9500000</v>
      </c>
      <c r="D67" s="235" t="s">
        <v>1035</v>
      </c>
      <c r="E67" s="220" t="s">
        <v>1036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741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670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668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740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742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743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772</v>
      </c>
      <c r="C74" s="187">
        <v>10500000</v>
      </c>
      <c r="D74" s="187"/>
      <c r="E74" s="220" t="s">
        <v>1005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788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779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792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793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1037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804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836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832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834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973</v>
      </c>
      <c r="C84" s="187">
        <v>6400000</v>
      </c>
      <c r="D84" s="187"/>
      <c r="E84" s="220" t="s">
        <v>1005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809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835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1138</v>
      </c>
      <c r="B87" s="163" t="s">
        <v>392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883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1038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1130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890</v>
      </c>
      <c r="C91" s="187">
        <v>10600000</v>
      </c>
      <c r="D91" s="187"/>
      <c r="E91" s="220" t="s">
        <v>1005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" sqref="C1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363</v>
      </c>
      <c r="C1" s="223" t="s">
        <v>1049</v>
      </c>
      <c r="D1" s="223" t="s">
        <v>1050</v>
      </c>
      <c r="E1" s="223" t="s">
        <v>1051</v>
      </c>
      <c r="F1" s="223" t="s">
        <v>1082</v>
      </c>
      <c r="G1" s="223" t="s">
        <v>1081</v>
      </c>
      <c r="H1" s="223" t="s">
        <v>1083</v>
      </c>
      <c r="I1" s="223" t="s">
        <v>982</v>
      </c>
      <c r="J1" s="223" t="s">
        <v>983</v>
      </c>
      <c r="K1" s="223" t="s">
        <v>984</v>
      </c>
      <c r="L1" s="223" t="s">
        <v>985</v>
      </c>
      <c r="M1" s="223" t="s">
        <v>986</v>
      </c>
      <c r="N1" s="223" t="s">
        <v>987</v>
      </c>
      <c r="O1" s="223" t="s">
        <v>988</v>
      </c>
      <c r="P1" s="223" t="s">
        <v>989</v>
      </c>
      <c r="Q1" s="223" t="s">
        <v>990</v>
      </c>
      <c r="R1" s="223" t="s">
        <v>1039</v>
      </c>
      <c r="S1" s="223" t="s">
        <v>1040</v>
      </c>
      <c r="T1" s="223" t="s">
        <v>1041</v>
      </c>
      <c r="U1" s="223" t="s">
        <v>1042</v>
      </c>
      <c r="V1" s="223" t="s">
        <v>1043</v>
      </c>
      <c r="W1" s="223" t="s">
        <v>1043</v>
      </c>
      <c r="X1" s="223" t="s">
        <v>1044</v>
      </c>
      <c r="Y1" s="223" t="s">
        <v>1045</v>
      </c>
      <c r="Z1" s="223" t="s">
        <v>1046</v>
      </c>
      <c r="AA1" s="223" t="s">
        <v>1085</v>
      </c>
      <c r="AB1" s="223" t="s">
        <v>1086</v>
      </c>
      <c r="AC1" s="223" t="s">
        <v>1087</v>
      </c>
      <c r="AD1" s="223" t="s">
        <v>1088</v>
      </c>
      <c r="AE1" s="223" t="s">
        <v>1089</v>
      </c>
      <c r="AF1" s="247" t="s">
        <v>1084</v>
      </c>
      <c r="AG1" s="223" t="s">
        <v>53</v>
      </c>
    </row>
    <row r="2" spans="1:33" x14ac:dyDescent="0.3">
      <c r="A2" s="223"/>
      <c r="B2" s="223">
        <f>SUBTOTAL(3,B4:B50)</f>
        <v>9</v>
      </c>
      <c r="C2" s="223">
        <f>SUBTOTAL(3,C4:C50)</f>
        <v>9</v>
      </c>
      <c r="D2" s="223"/>
      <c r="E2" s="223"/>
      <c r="F2" s="223">
        <f t="shared" ref="F2:X2" si="0">SUBTOTAL(3,F4:F50)</f>
        <v>9</v>
      </c>
      <c r="G2" s="223">
        <f t="shared" ref="G2" si="1">SUBTOTAL(3,G4:G50)</f>
        <v>9</v>
      </c>
      <c r="H2" s="223">
        <f t="shared" si="0"/>
        <v>9</v>
      </c>
      <c r="I2" s="223">
        <f t="shared" si="0"/>
        <v>9</v>
      </c>
      <c r="J2" s="223">
        <f t="shared" si="0"/>
        <v>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1138</v>
      </c>
      <c r="B4" s="224" t="s">
        <v>1052</v>
      </c>
      <c r="C4" s="224" t="s">
        <v>1053</v>
      </c>
      <c r="D4" s="224" t="s">
        <v>1054</v>
      </c>
      <c r="E4" s="248" t="s">
        <v>1055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1138</v>
      </c>
    </row>
    <row r="5" spans="1:33" x14ac:dyDescent="0.3">
      <c r="A5" s="224">
        <v>2</v>
      </c>
      <c r="B5" s="224" t="s">
        <v>189</v>
      </c>
      <c r="C5" s="224" t="s">
        <v>1056</v>
      </c>
      <c r="D5" s="224" t="s">
        <v>1057</v>
      </c>
      <c r="E5" s="248" t="s">
        <v>1058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257</v>
      </c>
      <c r="C6" s="224" t="s">
        <v>1059</v>
      </c>
      <c r="D6" s="224" t="s">
        <v>1060</v>
      </c>
      <c r="E6" s="248" t="s">
        <v>1061</v>
      </c>
      <c r="F6" s="225">
        <v>10736000</v>
      </c>
      <c r="G6" s="224" t="s">
        <v>77</v>
      </c>
      <c r="H6" s="248" t="s">
        <v>390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1062</v>
      </c>
      <c r="C7" s="224" t="s">
        <v>1063</v>
      </c>
      <c r="D7" s="224" t="s">
        <v>1064</v>
      </c>
      <c r="E7" s="248" t="s">
        <v>1065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1066</v>
      </c>
      <c r="C8" s="224" t="s">
        <v>380</v>
      </c>
      <c r="D8" s="224" t="s">
        <v>1067</v>
      </c>
      <c r="E8" s="248" t="s">
        <v>1068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1069</v>
      </c>
      <c r="C9" s="224" t="s">
        <v>381</v>
      </c>
      <c r="D9" s="224" t="s">
        <v>1070</v>
      </c>
      <c r="E9" s="248" t="s">
        <v>1068</v>
      </c>
      <c r="F9" s="225">
        <v>11330000</v>
      </c>
      <c r="G9" s="224" t="s">
        <v>77</v>
      </c>
      <c r="H9" s="248" t="s">
        <v>1071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1138</v>
      </c>
      <c r="B10" s="224" t="s">
        <v>1072</v>
      </c>
      <c r="C10" s="224" t="s">
        <v>419</v>
      </c>
      <c r="D10" s="224" t="s">
        <v>1073</v>
      </c>
      <c r="E10" s="248" t="s">
        <v>1074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1138</v>
      </c>
    </row>
    <row r="11" spans="1:33" x14ac:dyDescent="0.3">
      <c r="A11" s="224">
        <v>8</v>
      </c>
      <c r="B11" s="224" t="s">
        <v>313</v>
      </c>
      <c r="C11" s="224" t="s">
        <v>1075</v>
      </c>
      <c r="D11" s="224" t="s">
        <v>1076</v>
      </c>
      <c r="E11" s="248" t="s">
        <v>1077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1078</v>
      </c>
      <c r="D12" s="224" t="s">
        <v>1079</v>
      </c>
      <c r="E12" s="248" t="s">
        <v>1080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5" sqref="G15"/>
    </sheetView>
  </sheetViews>
  <sheetFormatPr defaultRowHeight="14.4" x14ac:dyDescent="0.3"/>
  <cols>
    <col min="1" max="1" width="3.44140625" customWidth="1"/>
    <col min="2" max="2" width="15.77734375" customWidth="1"/>
    <col min="3" max="3" width="18.664062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3" t="s">
        <v>24</v>
      </c>
      <c r="B1" s="223" t="s">
        <v>363</v>
      </c>
      <c r="C1" s="223" t="s">
        <v>1090</v>
      </c>
      <c r="D1" s="223" t="s">
        <v>1091</v>
      </c>
      <c r="E1" s="223" t="s">
        <v>1051</v>
      </c>
      <c r="F1" s="223" t="s">
        <v>363</v>
      </c>
      <c r="G1" s="223" t="s">
        <v>1092</v>
      </c>
      <c r="H1" s="223" t="s">
        <v>1125</v>
      </c>
      <c r="I1" s="223" t="s">
        <v>1093</v>
      </c>
      <c r="J1" s="223" t="s">
        <v>1094</v>
      </c>
      <c r="K1" s="223" t="s">
        <v>982</v>
      </c>
      <c r="L1" s="223" t="s">
        <v>983</v>
      </c>
      <c r="M1" s="223" t="s">
        <v>984</v>
      </c>
      <c r="N1" s="223" t="s">
        <v>985</v>
      </c>
      <c r="O1" s="223" t="s">
        <v>986</v>
      </c>
      <c r="P1" s="223" t="s">
        <v>987</v>
      </c>
      <c r="Q1" s="223" t="s">
        <v>987</v>
      </c>
      <c r="R1" s="223" t="s">
        <v>987</v>
      </c>
      <c r="S1" s="223" t="s">
        <v>988</v>
      </c>
      <c r="T1" s="223" t="s">
        <v>988</v>
      </c>
      <c r="U1" s="223" t="s">
        <v>989</v>
      </c>
      <c r="V1" s="223" t="s">
        <v>990</v>
      </c>
      <c r="W1" s="223" t="s">
        <v>1039</v>
      </c>
      <c r="X1" s="223" t="s">
        <v>1040</v>
      </c>
      <c r="Y1" s="252" t="s">
        <v>1095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7">
        <f>SUBTOTAL(9,Y4:Y49)</f>
        <v>347220000</v>
      </c>
    </row>
    <row r="3" spans="1:25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5" x14ac:dyDescent="0.3">
      <c r="A4" s="224">
        <v>1</v>
      </c>
      <c r="B4" s="41" t="s">
        <v>254</v>
      </c>
      <c r="C4" s="224" t="s">
        <v>1096</v>
      </c>
      <c r="D4" s="41" t="s">
        <v>1097</v>
      </c>
      <c r="E4" s="253" t="s">
        <v>1098</v>
      </c>
      <c r="F4" s="224" t="s">
        <v>1096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</row>
    <row r="5" spans="1:25" ht="27.6" x14ac:dyDescent="0.3">
      <c r="A5" s="224">
        <v>2</v>
      </c>
      <c r="B5" s="41" t="s">
        <v>14</v>
      </c>
      <c r="C5" s="224" t="s">
        <v>18</v>
      </c>
      <c r="D5" s="41" t="s">
        <v>1099</v>
      </c>
      <c r="E5" s="253" t="s">
        <v>1100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</row>
    <row r="6" spans="1:25" ht="41.4" x14ac:dyDescent="0.3">
      <c r="A6" s="224">
        <v>3</v>
      </c>
      <c r="B6" s="41" t="s">
        <v>428</v>
      </c>
      <c r="C6" s="224" t="s">
        <v>1248</v>
      </c>
      <c r="D6" s="41" t="s">
        <v>1102</v>
      </c>
      <c r="E6" s="41" t="s">
        <v>1103</v>
      </c>
      <c r="F6" s="224" t="s">
        <v>1104</v>
      </c>
      <c r="G6" s="41" t="s">
        <v>1101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</row>
    <row r="7" spans="1:25" ht="27.6" x14ac:dyDescent="0.3">
      <c r="A7" s="224">
        <v>4</v>
      </c>
      <c r="B7" s="41" t="s">
        <v>484</v>
      </c>
      <c r="C7" s="224" t="s">
        <v>1249</v>
      </c>
      <c r="D7" s="41" t="s">
        <v>1106</v>
      </c>
      <c r="E7" s="253" t="s">
        <v>1107</v>
      </c>
      <c r="F7" s="224" t="s">
        <v>1108</v>
      </c>
      <c r="G7" s="41" t="s">
        <v>1105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</row>
    <row r="8" spans="1:25" ht="27.6" x14ac:dyDescent="0.3">
      <c r="A8" s="224">
        <v>5</v>
      </c>
      <c r="B8" s="41" t="s">
        <v>1109</v>
      </c>
      <c r="C8" s="224" t="s">
        <v>1110</v>
      </c>
      <c r="D8" s="41" t="s">
        <v>1111</v>
      </c>
      <c r="E8" s="253" t="s">
        <v>1112</v>
      </c>
      <c r="F8" s="224" t="s">
        <v>1110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2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12" si="14">EDATE(T8,6)</f>
        <v>47635</v>
      </c>
      <c r="V8" s="249">
        <f t="shared" ref="V8:V12" si="15">EDATE(U8,6)</f>
        <v>47818</v>
      </c>
      <c r="W8" s="249">
        <f t="shared" ref="W8:W12" si="16">EDATE(V8,6)</f>
        <v>48000</v>
      </c>
      <c r="X8" s="249">
        <f t="shared" ref="X8:X12" si="17">EDATE(W8,6)</f>
        <v>48183</v>
      </c>
      <c r="Y8" s="227">
        <f>H8*6</f>
        <v>40920000.000000007</v>
      </c>
    </row>
    <row r="9" spans="1:25" ht="27.6" x14ac:dyDescent="0.3">
      <c r="A9" s="224">
        <v>6</v>
      </c>
      <c r="B9" s="41" t="s">
        <v>251</v>
      </c>
      <c r="C9" s="224" t="s">
        <v>1250</v>
      </c>
      <c r="D9" s="41" t="s">
        <v>1114</v>
      </c>
      <c r="E9" s="253" t="s">
        <v>1115</v>
      </c>
      <c r="F9" s="224" t="s">
        <v>1116</v>
      </c>
      <c r="G9" s="41" t="s">
        <v>1113</v>
      </c>
      <c r="H9" s="254">
        <v>7000000</v>
      </c>
      <c r="I9" s="224">
        <v>6</v>
      </c>
      <c r="J9" s="249">
        <v>45915</v>
      </c>
      <c r="K9" s="250">
        <v>46113</v>
      </c>
      <c r="L9" s="226">
        <f t="shared" si="13"/>
        <v>46296</v>
      </c>
      <c r="M9" s="226">
        <f t="shared" si="13"/>
        <v>46478</v>
      </c>
      <c r="N9" s="226">
        <f t="shared" si="13"/>
        <v>46661</v>
      </c>
      <c r="O9" s="226">
        <f t="shared" si="13"/>
        <v>46844</v>
      </c>
      <c r="P9" s="226">
        <f t="shared" si="13"/>
        <v>47027</v>
      </c>
      <c r="Q9" s="226">
        <f t="shared" si="13"/>
        <v>47209</v>
      </c>
      <c r="R9" s="226">
        <f t="shared" si="13"/>
        <v>47392</v>
      </c>
      <c r="S9" s="226">
        <f t="shared" si="13"/>
        <v>47574</v>
      </c>
      <c r="T9" s="226">
        <f t="shared" si="13"/>
        <v>47757</v>
      </c>
      <c r="U9" s="226">
        <f t="shared" si="14"/>
        <v>47939</v>
      </c>
      <c r="V9" s="226">
        <f t="shared" si="15"/>
        <v>48122</v>
      </c>
      <c r="W9" s="226">
        <f t="shared" si="16"/>
        <v>48305</v>
      </c>
      <c r="X9" s="226">
        <f t="shared" si="17"/>
        <v>48488</v>
      </c>
      <c r="Y9" s="227">
        <f t="shared" ref="Y9:Y12" si="18">H9*6</f>
        <v>42000000</v>
      </c>
    </row>
    <row r="10" spans="1:25" ht="27.6" x14ac:dyDescent="0.3">
      <c r="A10" s="224">
        <v>7</v>
      </c>
      <c r="B10" s="41" t="s">
        <v>705</v>
      </c>
      <c r="C10" s="224" t="s">
        <v>1117</v>
      </c>
      <c r="D10" s="41" t="s">
        <v>1118</v>
      </c>
      <c r="E10" s="253" t="s">
        <v>1119</v>
      </c>
      <c r="F10" s="224"/>
      <c r="G10" s="41" t="s">
        <v>1117</v>
      </c>
      <c r="H10" s="254">
        <v>8000000</v>
      </c>
      <c r="I10" s="224">
        <v>6</v>
      </c>
      <c r="J10" s="249"/>
      <c r="K10" s="249">
        <v>46023</v>
      </c>
      <c r="L10" s="226">
        <f t="shared" si="13"/>
        <v>46204</v>
      </c>
      <c r="M10" s="226">
        <f t="shared" si="13"/>
        <v>46388</v>
      </c>
      <c r="N10" s="226">
        <f t="shared" si="13"/>
        <v>46569</v>
      </c>
      <c r="O10" s="226">
        <f t="shared" si="13"/>
        <v>46753</v>
      </c>
      <c r="P10" s="226">
        <f t="shared" si="13"/>
        <v>46935</v>
      </c>
      <c r="Q10" s="226">
        <f t="shared" si="13"/>
        <v>47119</v>
      </c>
      <c r="R10" s="226">
        <f t="shared" si="13"/>
        <v>47300</v>
      </c>
      <c r="S10" s="226">
        <f t="shared" si="13"/>
        <v>47484</v>
      </c>
      <c r="T10" s="226">
        <f t="shared" si="13"/>
        <v>47665</v>
      </c>
      <c r="U10" s="226">
        <f t="shared" si="14"/>
        <v>47849</v>
      </c>
      <c r="V10" s="226">
        <f t="shared" si="15"/>
        <v>48030</v>
      </c>
      <c r="W10" s="226">
        <f t="shared" si="16"/>
        <v>48214</v>
      </c>
      <c r="X10" s="226">
        <f t="shared" si="17"/>
        <v>48396</v>
      </c>
      <c r="Y10" s="227">
        <f t="shared" si="18"/>
        <v>48000000</v>
      </c>
    </row>
    <row r="11" spans="1:25" ht="27.6" x14ac:dyDescent="0.3">
      <c r="A11" s="224">
        <v>8</v>
      </c>
      <c r="B11" s="41" t="s">
        <v>1120</v>
      </c>
      <c r="C11" s="224" t="s">
        <v>1121</v>
      </c>
      <c r="D11" s="41" t="s">
        <v>1122</v>
      </c>
      <c r="E11" s="253" t="s">
        <v>1119</v>
      </c>
      <c r="F11" s="224"/>
      <c r="G11" s="41" t="s">
        <v>1121</v>
      </c>
      <c r="H11" s="254">
        <v>7400000</v>
      </c>
      <c r="I11" s="224">
        <v>6</v>
      </c>
      <c r="J11" s="249"/>
      <c r="K11" s="249">
        <v>46023</v>
      </c>
      <c r="L11" s="226">
        <f t="shared" si="13"/>
        <v>46204</v>
      </c>
      <c r="M11" s="226">
        <f t="shared" si="13"/>
        <v>46388</v>
      </c>
      <c r="N11" s="226">
        <f t="shared" si="13"/>
        <v>46569</v>
      </c>
      <c r="O11" s="226">
        <f t="shared" si="13"/>
        <v>46753</v>
      </c>
      <c r="P11" s="226">
        <f t="shared" si="13"/>
        <v>46935</v>
      </c>
      <c r="Q11" s="226">
        <f t="shared" si="13"/>
        <v>47119</v>
      </c>
      <c r="R11" s="226">
        <f t="shared" si="13"/>
        <v>47300</v>
      </c>
      <c r="S11" s="226">
        <f t="shared" si="13"/>
        <v>47484</v>
      </c>
      <c r="T11" s="226">
        <f t="shared" si="13"/>
        <v>47665</v>
      </c>
      <c r="U11" s="226">
        <f t="shared" si="14"/>
        <v>47849</v>
      </c>
      <c r="V11" s="226">
        <f t="shared" si="15"/>
        <v>48030</v>
      </c>
      <c r="W11" s="226">
        <f t="shared" si="16"/>
        <v>48214</v>
      </c>
      <c r="X11" s="226">
        <f t="shared" si="17"/>
        <v>48396</v>
      </c>
      <c r="Y11" s="227">
        <f t="shared" si="18"/>
        <v>44400000</v>
      </c>
    </row>
    <row r="12" spans="1:25" ht="27.6" x14ac:dyDescent="0.3">
      <c r="A12" s="224">
        <v>9</v>
      </c>
      <c r="B12" s="41" t="s">
        <v>415</v>
      </c>
      <c r="C12" s="224" t="s">
        <v>1123</v>
      </c>
      <c r="D12" s="41" t="s">
        <v>1124</v>
      </c>
      <c r="E12" s="253" t="s">
        <v>1119</v>
      </c>
      <c r="F12" s="224"/>
      <c r="G12" s="41" t="s">
        <v>1123</v>
      </c>
      <c r="H12" s="254">
        <v>6400000</v>
      </c>
      <c r="I12" s="224">
        <v>6</v>
      </c>
      <c r="J12" s="249"/>
      <c r="K12" s="249">
        <v>46023</v>
      </c>
      <c r="L12" s="226">
        <f t="shared" si="13"/>
        <v>46204</v>
      </c>
      <c r="M12" s="226">
        <f t="shared" si="13"/>
        <v>46388</v>
      </c>
      <c r="N12" s="226">
        <f t="shared" si="13"/>
        <v>46569</v>
      </c>
      <c r="O12" s="226">
        <f t="shared" si="13"/>
        <v>46753</v>
      </c>
      <c r="P12" s="226">
        <f t="shared" si="13"/>
        <v>46935</v>
      </c>
      <c r="Q12" s="226">
        <f t="shared" si="13"/>
        <v>47119</v>
      </c>
      <c r="R12" s="226">
        <f t="shared" si="13"/>
        <v>47300</v>
      </c>
      <c r="S12" s="226">
        <f t="shared" si="13"/>
        <v>47484</v>
      </c>
      <c r="T12" s="226">
        <f t="shared" si="13"/>
        <v>47665</v>
      </c>
      <c r="U12" s="226">
        <f t="shared" si="14"/>
        <v>47849</v>
      </c>
      <c r="V12" s="226">
        <f t="shared" si="15"/>
        <v>48030</v>
      </c>
      <c r="W12" s="226">
        <f t="shared" si="16"/>
        <v>48214</v>
      </c>
      <c r="X12" s="226">
        <f t="shared" si="17"/>
        <v>48396</v>
      </c>
      <c r="Y12" s="227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0" sqref="M40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240</v>
      </c>
      <c r="B1" s="255" t="s">
        <v>363</v>
      </c>
      <c r="C1" s="256" t="s">
        <v>1153</v>
      </c>
      <c r="D1" s="256" t="s">
        <v>1139</v>
      </c>
      <c r="E1" s="257" t="s">
        <v>1140</v>
      </c>
      <c r="F1" s="257" t="s">
        <v>1141</v>
      </c>
      <c r="G1" s="258" t="s">
        <v>1154</v>
      </c>
      <c r="H1" s="257" t="s">
        <v>1142</v>
      </c>
      <c r="I1" s="257" t="s">
        <v>1143</v>
      </c>
      <c r="J1" s="257" t="s">
        <v>1155</v>
      </c>
      <c r="K1" s="255" t="s">
        <v>1144</v>
      </c>
      <c r="L1" s="255" t="s">
        <v>1145</v>
      </c>
      <c r="M1" s="255" t="s">
        <v>1146</v>
      </c>
      <c r="N1" s="255" t="s">
        <v>1147</v>
      </c>
      <c r="O1" s="255" t="s">
        <v>1148</v>
      </c>
      <c r="P1" s="255" t="s">
        <v>1149</v>
      </c>
      <c r="Q1" s="259" t="s">
        <v>1156</v>
      </c>
      <c r="R1" s="255" t="s">
        <v>1150</v>
      </c>
    </row>
    <row r="2" spans="1:18" x14ac:dyDescent="0.3">
      <c r="A2" s="255"/>
      <c r="B2" s="255" t="s">
        <v>1151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972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254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257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415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287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313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344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641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400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1152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420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426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428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340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449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455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461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467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478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493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492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484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541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550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569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570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571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572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568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614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619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608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636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637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668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669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670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671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672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702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705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708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711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723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723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730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740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741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742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743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738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607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772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779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788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792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793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251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804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815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816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817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818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819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820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821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822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823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824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825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826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832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834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836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973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809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835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519</v>
      </c>
      <c r="F1" s="130" t="s">
        <v>517</v>
      </c>
    </row>
    <row r="2" spans="1:6" ht="15.6" x14ac:dyDescent="0.3">
      <c r="A2" s="126">
        <v>1</v>
      </c>
      <c r="B2" s="128" t="s">
        <v>522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521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520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516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525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534</v>
      </c>
      <c r="F1" s="130" t="s">
        <v>517</v>
      </c>
    </row>
    <row r="2" spans="1:6" ht="15.6" x14ac:dyDescent="0.3">
      <c r="A2" s="126">
        <v>1</v>
      </c>
      <c r="B2" s="128" t="s">
        <v>528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529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531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532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533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530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540</v>
      </c>
      <c r="D1" s="126" t="s">
        <v>539</v>
      </c>
      <c r="E1" s="132" t="s">
        <v>538</v>
      </c>
    </row>
    <row r="2" spans="1:5" ht="15.6" x14ac:dyDescent="0.3">
      <c r="A2" s="126">
        <v>1</v>
      </c>
      <c r="B2" s="128" t="s">
        <v>529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535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524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536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537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</row>
    <row r="2" spans="1:5" ht="15.6" x14ac:dyDescent="0.3">
      <c r="A2" s="126">
        <v>1</v>
      </c>
      <c r="B2" s="128" t="s">
        <v>546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547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529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548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530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  <c r="F1" s="126" t="s">
        <v>53</v>
      </c>
    </row>
    <row r="2" spans="1:6" ht="15.6" x14ac:dyDescent="0.3">
      <c r="A2" s="126">
        <v>1</v>
      </c>
      <c r="B2" s="128" t="s">
        <v>565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564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529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563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567</v>
      </c>
      <c r="C6" s="127"/>
      <c r="D6" s="138">
        <v>0</v>
      </c>
      <c r="E6" s="126"/>
      <c r="F6" s="132" t="s">
        <v>566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603</v>
      </c>
      <c r="F1" s="126" t="s">
        <v>53</v>
      </c>
    </row>
    <row r="2" spans="1:6" ht="15.6" x14ac:dyDescent="0.3">
      <c r="A2" s="126">
        <v>1</v>
      </c>
      <c r="B2" s="128" t="s">
        <v>601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600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605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602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606</v>
      </c>
      <c r="C6" s="127"/>
      <c r="D6" s="138">
        <v>0</v>
      </c>
      <c r="E6" s="126"/>
      <c r="F6" s="132" t="s">
        <v>604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603</v>
      </c>
      <c r="F1" s="126" t="s">
        <v>53</v>
      </c>
    </row>
    <row r="2" spans="1:6" ht="15.6" x14ac:dyDescent="0.3">
      <c r="A2" s="126">
        <v>1</v>
      </c>
      <c r="B2" s="128" t="s">
        <v>609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613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610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611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612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644</v>
      </c>
      <c r="F1" s="126" t="s">
        <v>53</v>
      </c>
    </row>
    <row r="2" spans="1:6" ht="15.6" x14ac:dyDescent="0.3">
      <c r="A2" s="126">
        <v>1</v>
      </c>
      <c r="B2" s="128" t="s">
        <v>646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647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648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655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643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642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537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645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656</v>
      </c>
      <c r="C1" s="145" t="s">
        <v>661</v>
      </c>
      <c r="D1" s="145" t="s">
        <v>657</v>
      </c>
      <c r="E1" s="145" t="s">
        <v>658</v>
      </c>
      <c r="F1" s="145" t="s">
        <v>663</v>
      </c>
    </row>
    <row r="2" spans="1:10" x14ac:dyDescent="0.35">
      <c r="A2" s="146">
        <v>1</v>
      </c>
      <c r="B2" s="146" t="s">
        <v>659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660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662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78" t="s">
        <v>663</v>
      </c>
      <c r="B5" s="279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268</v>
      </c>
      <c r="C2" s="44" t="s">
        <v>202</v>
      </c>
      <c r="D2" s="46"/>
      <c r="E2" s="65" t="s">
        <v>274</v>
      </c>
    </row>
    <row r="3" spans="1:8" ht="26.4" x14ac:dyDescent="0.25">
      <c r="A3" s="44">
        <v>2</v>
      </c>
      <c r="B3" s="46" t="s">
        <v>319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320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267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276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277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270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327</v>
      </c>
      <c r="C10" s="44" t="s">
        <v>205</v>
      </c>
      <c r="D10" s="46" t="s">
        <v>278</v>
      </c>
      <c r="E10" s="65" t="s">
        <v>326</v>
      </c>
      <c r="H10" s="53"/>
    </row>
    <row r="11" spans="1:8" ht="26.4" x14ac:dyDescent="0.25">
      <c r="A11" s="44">
        <v>1</v>
      </c>
      <c r="B11" s="46" t="s">
        <v>279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321</v>
      </c>
      <c r="C12" s="44" t="s">
        <v>201</v>
      </c>
      <c r="D12" s="46" t="s">
        <v>322</v>
      </c>
      <c r="E12" s="65" t="s">
        <v>280</v>
      </c>
    </row>
    <row r="13" spans="1:8" x14ac:dyDescent="0.25">
      <c r="A13" s="44">
        <v>3</v>
      </c>
      <c r="B13" s="46" t="s">
        <v>323</v>
      </c>
      <c r="C13" s="44" t="s">
        <v>201</v>
      </c>
      <c r="D13" s="46" t="s">
        <v>281</v>
      </c>
      <c r="E13" s="65" t="s">
        <v>282</v>
      </c>
    </row>
    <row r="14" spans="1:8" x14ac:dyDescent="0.25">
      <c r="A14" s="44">
        <v>4</v>
      </c>
      <c r="B14" s="46" t="s">
        <v>269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283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284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285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286</v>
      </c>
    </row>
    <row r="21" spans="1:5" x14ac:dyDescent="0.25">
      <c r="A21" s="44">
        <v>7</v>
      </c>
      <c r="B21" s="46" t="s">
        <v>306</v>
      </c>
      <c r="C21" s="44" t="s">
        <v>307</v>
      </c>
      <c r="D21" s="46"/>
      <c r="E21" s="46"/>
    </row>
    <row r="22" spans="1:5" x14ac:dyDescent="0.25">
      <c r="A22" s="44">
        <v>8</v>
      </c>
      <c r="B22" s="46" t="s">
        <v>325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308</v>
      </c>
      <c r="C23" s="81" t="s">
        <v>310</v>
      </c>
      <c r="D23" s="82"/>
      <c r="E23" s="82"/>
    </row>
    <row r="24" spans="1:5" x14ac:dyDescent="0.25">
      <c r="A24" s="44">
        <v>6</v>
      </c>
      <c r="B24" s="46" t="s">
        <v>309</v>
      </c>
      <c r="C24" s="44" t="s">
        <v>318</v>
      </c>
      <c r="D24" s="46"/>
      <c r="E24" s="46"/>
    </row>
    <row r="25" spans="1:5" x14ac:dyDescent="0.25">
      <c r="A25" s="44">
        <v>12</v>
      </c>
      <c r="B25" s="46" t="s">
        <v>311</v>
      </c>
      <c r="C25" s="44" t="s">
        <v>310</v>
      </c>
      <c r="D25" s="46"/>
      <c r="E25" s="46"/>
    </row>
    <row r="26" spans="1:5" ht="26.4" x14ac:dyDescent="0.25">
      <c r="A26" s="44">
        <v>13</v>
      </c>
      <c r="B26" s="46" t="s">
        <v>312</v>
      </c>
      <c r="C26" s="44" t="s">
        <v>310</v>
      </c>
      <c r="D26" s="46"/>
      <c r="E26" s="46"/>
    </row>
    <row r="27" spans="1:5" x14ac:dyDescent="0.25">
      <c r="A27" s="44">
        <v>14</v>
      </c>
      <c r="B27" s="46" t="s">
        <v>317</v>
      </c>
      <c r="C27" s="44" t="s">
        <v>310</v>
      </c>
      <c r="D27" s="46"/>
      <c r="E27" s="46"/>
    </row>
    <row r="28" spans="1:5" x14ac:dyDescent="0.25">
      <c r="A28" s="44">
        <v>9</v>
      </c>
      <c r="B28" s="46" t="s">
        <v>324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232</v>
      </c>
      <c r="C18" s="8" t="s">
        <v>15</v>
      </c>
      <c r="D18" s="8">
        <v>106.651433</v>
      </c>
      <c r="E18" s="8">
        <v>10.897498000000001</v>
      </c>
      <c r="F18" s="8" t="s">
        <v>233</v>
      </c>
      <c r="G18" s="30" t="s">
        <v>134</v>
      </c>
      <c r="H18" s="36" t="s">
        <v>140</v>
      </c>
      <c r="I18" s="30" t="s">
        <v>296</v>
      </c>
      <c r="J18" s="30" t="s">
        <v>176</v>
      </c>
      <c r="K18" s="22"/>
      <c r="L18" s="8" t="s">
        <v>234</v>
      </c>
      <c r="M18" s="8" t="s">
        <v>43</v>
      </c>
      <c r="N18" s="8" t="s">
        <v>58</v>
      </c>
      <c r="O18" s="8"/>
      <c r="P18" s="8"/>
      <c r="Q18" s="8"/>
      <c r="R18" s="21" t="s">
        <v>235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289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301</v>
      </c>
      <c r="M19" s="8" t="s">
        <v>43</v>
      </c>
      <c r="N19" s="8" t="s">
        <v>147</v>
      </c>
      <c r="O19" s="8"/>
      <c r="P19" s="8"/>
      <c r="Q19" s="8"/>
      <c r="R19" s="21" t="s">
        <v>293</v>
      </c>
      <c r="S19" s="22" t="s">
        <v>79</v>
      </c>
      <c r="T19" s="21"/>
      <c r="U19" s="22" t="s">
        <v>303</v>
      </c>
      <c r="V19" s="22" t="s">
        <v>290</v>
      </c>
      <c r="W19" s="22" t="s">
        <v>302</v>
      </c>
      <c r="X19" s="22" t="s">
        <v>291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340</v>
      </c>
      <c r="C20" s="25" t="s">
        <v>15</v>
      </c>
      <c r="D20" s="25">
        <v>106.587734</v>
      </c>
      <c r="E20" s="25">
        <v>10.846996000000001</v>
      </c>
      <c r="F20" s="25" t="s">
        <v>343</v>
      </c>
      <c r="G20" s="2" t="s">
        <v>353</v>
      </c>
      <c r="H20" s="27" t="s">
        <v>134</v>
      </c>
      <c r="I20" s="27" t="s">
        <v>134</v>
      </c>
      <c r="J20" s="24"/>
      <c r="K20" s="27" t="s">
        <v>297</v>
      </c>
      <c r="L20" s="24"/>
      <c r="M20" s="27" t="s">
        <v>297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341</v>
      </c>
      <c r="Y20" s="96">
        <v>6000000</v>
      </c>
      <c r="Z20" s="25" t="s">
        <v>342</v>
      </c>
      <c r="AA20" s="25" t="s">
        <v>334</v>
      </c>
      <c r="AB20" s="25"/>
      <c r="AC20" s="25"/>
      <c r="AD20" s="23" t="s">
        <v>294</v>
      </c>
      <c r="AE20" s="24" t="s">
        <v>77</v>
      </c>
      <c r="AF20" s="23"/>
      <c r="AG20" s="24"/>
      <c r="AH20" s="24"/>
      <c r="AI20" s="24"/>
      <c r="AJ20" s="24" t="s">
        <v>345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439</v>
      </c>
      <c r="C22" s="2" t="e">
        <v>#N/A</v>
      </c>
      <c r="D22" s="2" t="s">
        <v>459</v>
      </c>
      <c r="E22" s="2">
        <v>106.805773</v>
      </c>
      <c r="F22" s="2">
        <v>10.58525</v>
      </c>
      <c r="G22" s="2" t="s">
        <v>440</v>
      </c>
      <c r="H22" s="34" t="s">
        <v>441</v>
      </c>
      <c r="I22" s="48" t="s">
        <v>441</v>
      </c>
      <c r="J22" s="34" t="s">
        <v>140</v>
      </c>
      <c r="K22" s="97">
        <v>44762</v>
      </c>
      <c r="L22" s="27" t="s">
        <v>418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442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443</v>
      </c>
      <c r="AF22" s="111" t="s">
        <v>77</v>
      </c>
      <c r="AG22" s="118"/>
      <c r="AH22" s="119" t="s">
        <v>444</v>
      </c>
      <c r="AI22" s="117" t="s">
        <v>445</v>
      </c>
      <c r="AJ22" s="110" t="s">
        <v>398</v>
      </c>
      <c r="AK22" s="2" t="s">
        <v>446</v>
      </c>
      <c r="AL22" s="8">
        <v>0</v>
      </c>
      <c r="AM22" s="2">
        <v>30</v>
      </c>
      <c r="AN22" s="48"/>
      <c r="AO22" t="s">
        <v>765</v>
      </c>
      <c r="AP22" s="120"/>
    </row>
    <row r="23" spans="1:42" s="121" customFormat="1" ht="48" x14ac:dyDescent="0.3">
      <c r="A23" s="4">
        <v>39</v>
      </c>
      <c r="B23" s="2" t="s">
        <v>487</v>
      </c>
      <c r="C23" s="2" t="e">
        <v>#N/A</v>
      </c>
      <c r="D23" s="2" t="s">
        <v>468</v>
      </c>
      <c r="E23" s="2">
        <v>106.620645</v>
      </c>
      <c r="F23" s="2">
        <v>10.786562999999999</v>
      </c>
      <c r="G23" s="2" t="s">
        <v>488</v>
      </c>
      <c r="H23" s="34" t="s">
        <v>140</v>
      </c>
      <c r="I23" s="27" t="s">
        <v>134</v>
      </c>
      <c r="J23" s="27" t="s">
        <v>134</v>
      </c>
      <c r="K23" s="123" t="s">
        <v>509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489</v>
      </c>
      <c r="AI23" s="117" t="s">
        <v>490</v>
      </c>
      <c r="AJ23" s="110" t="s">
        <v>194</v>
      </c>
      <c r="AK23" s="2" t="s">
        <v>491</v>
      </c>
      <c r="AL23" s="2">
        <v>14</v>
      </c>
      <c r="AM23" s="2">
        <v>12</v>
      </c>
      <c r="AN23" s="48"/>
      <c r="AO23" t="s">
        <v>765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275</v>
      </c>
      <c r="F2" s="49" t="s">
        <v>271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80" t="s">
        <v>266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81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81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275</v>
      </c>
      <c r="F6" s="281"/>
    </row>
    <row r="7" spans="2:10" x14ac:dyDescent="0.3">
      <c r="B7" s="75">
        <v>6</v>
      </c>
      <c r="C7" s="75" t="s">
        <v>263</v>
      </c>
      <c r="D7" s="76">
        <f>3*6000000</f>
        <v>18000000</v>
      </c>
      <c r="E7" s="76"/>
      <c r="F7" s="281"/>
    </row>
    <row r="8" spans="2:10" x14ac:dyDescent="0.3">
      <c r="B8" s="70">
        <v>7</v>
      </c>
      <c r="C8" s="70" t="s">
        <v>264</v>
      </c>
      <c r="D8" s="71">
        <v>5000000</v>
      </c>
      <c r="E8" s="71" t="s">
        <v>275</v>
      </c>
      <c r="F8" s="281"/>
    </row>
    <row r="9" spans="2:10" x14ac:dyDescent="0.3">
      <c r="B9" s="70">
        <v>8</v>
      </c>
      <c r="C9" s="70" t="s">
        <v>273</v>
      </c>
      <c r="D9" s="71">
        <v>6620000</v>
      </c>
      <c r="E9" s="71" t="s">
        <v>275</v>
      </c>
      <c r="F9" s="281"/>
    </row>
    <row r="10" spans="2:10" x14ac:dyDescent="0.3">
      <c r="B10" s="70">
        <v>9</v>
      </c>
      <c r="C10" s="70" t="s">
        <v>272</v>
      </c>
      <c r="D10" s="71">
        <v>1250000</v>
      </c>
      <c r="E10" s="71" t="s">
        <v>275</v>
      </c>
      <c r="F10" s="281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81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81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82"/>
    </row>
    <row r="14" spans="2:10" hidden="1" x14ac:dyDescent="0.3">
      <c r="B14" s="60"/>
      <c r="C14" s="62" t="s">
        <v>265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240</v>
      </c>
      <c r="B1" s="48" t="s">
        <v>241</v>
      </c>
      <c r="C1" s="48" t="s">
        <v>242</v>
      </c>
      <c r="D1" s="48" t="s">
        <v>243</v>
      </c>
      <c r="E1" s="50" t="s">
        <v>244</v>
      </c>
      <c r="F1" s="50" t="s">
        <v>245</v>
      </c>
      <c r="G1" s="50" t="s">
        <v>53</v>
      </c>
      <c r="H1" s="48" t="s">
        <v>259</v>
      </c>
      <c r="I1" s="48" t="s">
        <v>260</v>
      </c>
    </row>
    <row r="2" spans="1:9" ht="43.2" x14ac:dyDescent="0.3">
      <c r="A2" s="48">
        <v>1</v>
      </c>
      <c r="B2" s="48" t="s">
        <v>14</v>
      </c>
      <c r="C2" s="48" t="s">
        <v>246</v>
      </c>
      <c r="D2" s="48" t="s">
        <v>247</v>
      </c>
      <c r="E2" s="51">
        <v>97186343.887759268</v>
      </c>
      <c r="F2" s="51">
        <v>97186343.887759268</v>
      </c>
      <c r="G2" s="50" t="s">
        <v>261</v>
      </c>
      <c r="H2" s="48" t="s">
        <v>262</v>
      </c>
      <c r="I2" s="48" t="s">
        <v>262</v>
      </c>
    </row>
    <row r="3" spans="1:9" ht="43.2" x14ac:dyDescent="0.3">
      <c r="A3" s="48">
        <v>2</v>
      </c>
      <c r="B3" s="48" t="s">
        <v>19</v>
      </c>
      <c r="C3" s="48" t="s">
        <v>248</v>
      </c>
      <c r="D3" s="48" t="s">
        <v>249</v>
      </c>
      <c r="E3" s="51">
        <v>119976179.789873</v>
      </c>
      <c r="F3" s="51">
        <v>119976179.789873</v>
      </c>
      <c r="G3" s="50" t="s">
        <v>261</v>
      </c>
      <c r="H3" s="48" t="s">
        <v>262</v>
      </c>
      <c r="I3" s="48" t="s">
        <v>262</v>
      </c>
    </row>
    <row r="4" spans="1:9" x14ac:dyDescent="0.3">
      <c r="A4" s="48">
        <v>3</v>
      </c>
      <c r="B4" s="48" t="s">
        <v>29</v>
      </c>
      <c r="C4" s="48" t="s">
        <v>250</v>
      </c>
      <c r="D4" s="48" t="s">
        <v>247</v>
      </c>
      <c r="E4" s="51">
        <v>81643720</v>
      </c>
      <c r="F4" s="51">
        <v>86661720</v>
      </c>
      <c r="G4" s="50"/>
      <c r="H4" s="48" t="s">
        <v>262</v>
      </c>
      <c r="I4" s="48"/>
    </row>
    <row r="5" spans="1:9" x14ac:dyDescent="0.3">
      <c r="A5" s="48">
        <v>4</v>
      </c>
      <c r="B5" s="48" t="s">
        <v>251</v>
      </c>
      <c r="C5" s="48" t="s">
        <v>252</v>
      </c>
      <c r="D5" s="48" t="s">
        <v>253</v>
      </c>
      <c r="E5" s="51">
        <v>181765190</v>
      </c>
      <c r="F5" s="51">
        <v>183610190</v>
      </c>
      <c r="G5" s="50"/>
      <c r="H5" s="48" t="s">
        <v>262</v>
      </c>
      <c r="I5" s="48"/>
    </row>
    <row r="6" spans="1:9" x14ac:dyDescent="0.3">
      <c r="A6" s="48">
        <v>5</v>
      </c>
      <c r="B6" s="48" t="s">
        <v>254</v>
      </c>
      <c r="C6" s="48" t="s">
        <v>255</v>
      </c>
      <c r="D6" s="48" t="s">
        <v>256</v>
      </c>
      <c r="E6" s="51">
        <v>182845575</v>
      </c>
      <c r="F6" s="51">
        <v>185170575</v>
      </c>
      <c r="G6" s="50"/>
      <c r="H6" s="48" t="s">
        <v>262</v>
      </c>
      <c r="I6" s="48" t="s">
        <v>262</v>
      </c>
    </row>
    <row r="7" spans="1:9" x14ac:dyDescent="0.3">
      <c r="A7" s="48">
        <v>6</v>
      </c>
      <c r="B7" s="48" t="s">
        <v>257</v>
      </c>
      <c r="C7" s="48" t="s">
        <v>258</v>
      </c>
      <c r="D7" s="48" t="s">
        <v>256</v>
      </c>
      <c r="E7" s="51">
        <v>94620010</v>
      </c>
      <c r="F7" s="51">
        <v>96905010</v>
      </c>
      <c r="G7" s="50"/>
      <c r="H7" s="48" t="s">
        <v>262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83" t="s">
        <v>1</v>
      </c>
      <c r="M1" s="283"/>
      <c r="N1" s="283"/>
      <c r="O1" s="283"/>
      <c r="P1" s="283"/>
      <c r="Q1" s="284" t="s">
        <v>2</v>
      </c>
      <c r="R1" s="284"/>
      <c r="S1" s="284"/>
      <c r="T1" s="284"/>
      <c r="U1" s="284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2026-09-02T23:30:11Z</dcterms:modified>
</cp:coreProperties>
</file>