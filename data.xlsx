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7A4433DD-4579-49B3-9EBA-F5158F0986B1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27" l="1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F10" i="26"/>
  <c r="AF10" i="26" s="1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C17" i="25"/>
  <c r="Z17" i="25" s="1"/>
  <c r="C14" i="25"/>
  <c r="Z14" i="25" s="1"/>
  <c r="C11" i="25"/>
  <c r="Z11" i="25" s="1"/>
  <c r="C8" i="25"/>
  <c r="Z8" i="25" s="1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<sst xmlns="http://schemas.openxmlformats.org/spreadsheetml/2006/main" count="3199" uniqueCount="1142">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</sst>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11" fillId="0" borderId="1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zoomScale="70" zoomScaleNormal="70" workbookViewId="0">
      <pane xSplit="3" ySplit="3" topLeftCell="D77" activePane="bottomRight" state="frozen"/>
      <selection pane="topRight" activeCell="D1" sqref="D1"/>
      <selection pane="bottomLeft" activeCell="A4" sqref="A4"/>
      <selection pane="bottomRight" activeCell="F96" sqref="F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K14" sqref="K14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89"/>
  <sheetViews>
    <sheetView topLeftCell="A56" zoomScale="85" zoomScaleNormal="85" workbookViewId="0">
      <selection activeCell="I80" sqref="I80"/>
    </sheetView>
  </sheetViews>
  <sheetFormatPr defaultRowHeight="14.4" x14ac:dyDescent="0.3"/>
  <cols>
    <col min="1" max="1" width="9" bestFit="1" customWidth="1"/>
    <col min="2" max="2" width="26" bestFit="1" customWidth="1"/>
    <col min="3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1063</v>
      </c>
      <c r="D1" s="157" t="s">
        <v>996</v>
      </c>
      <c r="E1" s="157" t="s">
        <v>997</v>
      </c>
      <c r="F1" s="157" t="s">
        <v>1064</v>
      </c>
      <c r="G1" s="230" t="s">
        <v>998</v>
      </c>
      <c r="H1" s="230" t="s">
        <v>999</v>
      </c>
      <c r="I1" s="230" t="s">
        <v>1000</v>
      </c>
      <c r="J1" s="230" t="s">
        <v>1001</v>
      </c>
      <c r="K1" s="230" t="s">
        <v>1002</v>
      </c>
      <c r="L1" s="230" t="s">
        <v>1003</v>
      </c>
      <c r="M1" s="230" t="s">
        <v>1004</v>
      </c>
      <c r="N1" s="230" t="s">
        <v>1005</v>
      </c>
      <c r="O1" s="230" t="s">
        <v>1005</v>
      </c>
      <c r="P1" s="230" t="s">
        <v>1006</v>
      </c>
      <c r="Q1" s="230" t="s">
        <v>1006</v>
      </c>
      <c r="R1" s="230" t="s">
        <v>1055</v>
      </c>
      <c r="S1" s="230" t="s">
        <v>1056</v>
      </c>
      <c r="T1" s="230" t="s">
        <v>1057</v>
      </c>
      <c r="U1" s="230" t="s">
        <v>1058</v>
      </c>
      <c r="V1" s="230" t="s">
        <v>1059</v>
      </c>
      <c r="W1" s="230" t="s">
        <v>1060</v>
      </c>
      <c r="X1" s="230" t="s">
        <v>1061</v>
      </c>
      <c r="Y1" s="230" t="s">
        <v>1062</v>
      </c>
      <c r="Z1" s="231" t="s">
        <v>1007</v>
      </c>
    </row>
    <row r="2" spans="1:26" x14ac:dyDescent="0.3">
      <c r="A2" s="164">
        <f t="shared" ref="A2:Q2" si="0">SUBTOTAL(3,A4:A199)</f>
        <v>86</v>
      </c>
      <c r="B2" s="164">
        <f t="shared" si="0"/>
        <v>86</v>
      </c>
      <c r="C2" s="164">
        <f t="shared" si="0"/>
        <v>86</v>
      </c>
      <c r="D2" s="164">
        <f t="shared" si="0"/>
        <v>14</v>
      </c>
      <c r="E2" s="164">
        <f t="shared" si="0"/>
        <v>78</v>
      </c>
      <c r="F2" s="164">
        <f t="shared" si="0"/>
        <v>86</v>
      </c>
      <c r="G2" s="164">
        <f t="shared" si="0"/>
        <v>86</v>
      </c>
      <c r="H2" s="164">
        <f t="shared" si="0"/>
        <v>86</v>
      </c>
      <c r="I2" s="164">
        <f t="shared" si="0"/>
        <v>86</v>
      </c>
      <c r="J2" s="164">
        <f t="shared" si="0"/>
        <v>86</v>
      </c>
      <c r="K2" s="164">
        <f t="shared" si="0"/>
        <v>86</v>
      </c>
      <c r="L2" s="164">
        <f t="shared" si="0"/>
        <v>86</v>
      </c>
      <c r="M2" s="164">
        <f t="shared" si="0"/>
        <v>86</v>
      </c>
      <c r="N2" s="164">
        <f t="shared" si="0"/>
        <v>86</v>
      </c>
      <c r="O2" s="164">
        <f t="shared" si="0"/>
        <v>86</v>
      </c>
      <c r="P2" s="164">
        <f t="shared" si="0"/>
        <v>86</v>
      </c>
      <c r="Q2" s="164">
        <f t="shared" si="0"/>
        <v>86</v>
      </c>
      <c r="R2" s="164">
        <f t="shared" ref="R2:Y2" si="1">SUBTOTAL(3,R4:R199)</f>
        <v>86</v>
      </c>
      <c r="S2" s="164">
        <f t="shared" si="1"/>
        <v>86</v>
      </c>
      <c r="T2" s="164">
        <f t="shared" si="1"/>
        <v>86</v>
      </c>
      <c r="U2" s="164">
        <f t="shared" si="1"/>
        <v>86</v>
      </c>
      <c r="V2" s="164">
        <f t="shared" si="1"/>
        <v>86</v>
      </c>
      <c r="W2" s="164">
        <f t="shared" si="1"/>
        <v>86</v>
      </c>
      <c r="X2" s="164">
        <f t="shared" si="1"/>
        <v>86</v>
      </c>
      <c r="Y2" s="164">
        <f t="shared" si="1"/>
        <v>86</v>
      </c>
      <c r="Z2" s="232">
        <f>SUBTOTAL(9,Z4:Z199)</f>
        <v>4725480000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1008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1008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1008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988</v>
      </c>
      <c r="C7" s="189">
        <v>6300000</v>
      </c>
      <c r="D7" s="189"/>
      <c r="E7" s="164" t="s">
        <v>1008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f>9600000*0.8</f>
        <v>7680000</v>
      </c>
      <c r="D8" s="189"/>
      <c r="E8" s="164" t="s">
        <v>1009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1008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1008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f>10800000*0.8</f>
        <v>8640000</v>
      </c>
      <c r="D11" s="237" t="s">
        <v>1010</v>
      </c>
      <c r="E11" s="164" t="s">
        <v>1008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1008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1008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f>7400000*0.8</f>
        <v>5920000</v>
      </c>
      <c r="D14" s="208"/>
      <c r="E14" s="173" t="s">
        <v>1011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1008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1008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f>9900000*0.8</f>
        <v>7920000</v>
      </c>
      <c r="D17" s="208"/>
      <c r="E17" s="173" t="s">
        <v>1008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1012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1013</v>
      </c>
      <c r="E19" s="173" t="s">
        <v>1014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1015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1016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1017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1018</v>
      </c>
      <c r="E23" s="164" t="s">
        <v>1019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1020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1021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1022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1023</v>
      </c>
      <c r="E29" s="164" t="s">
        <v>1024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1025</v>
      </c>
      <c r="E32" s="173" t="s">
        <v>1026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1027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1028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1029</v>
      </c>
      <c r="E36" s="173" t="s">
        <v>1024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1030</v>
      </c>
      <c r="E37" s="164" t="s">
        <v>1031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1032</v>
      </c>
      <c r="C38" s="189">
        <v>8030000</v>
      </c>
      <c r="D38" s="189"/>
      <c r="E38" s="164" t="s">
        <v>1033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650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1034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570</v>
      </c>
      <c r="C41" s="208">
        <v>10700000</v>
      </c>
      <c r="D41" s="208"/>
      <c r="E41" s="173" t="s">
        <v>1035</v>
      </c>
      <c r="F41" s="234" t="s">
        <v>970</v>
      </c>
      <c r="G41" s="234" t="s">
        <v>970</v>
      </c>
      <c r="H41" s="234" t="s">
        <v>970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1021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1036</v>
      </c>
      <c r="E43" s="173" t="s">
        <v>1021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1021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578</v>
      </c>
      <c r="C45" s="189">
        <v>11200000</v>
      </c>
      <c r="D45" s="189"/>
      <c r="E45" s="164" t="s">
        <v>1037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581</v>
      </c>
      <c r="C46" s="189">
        <v>10100000</v>
      </c>
      <c r="D46" s="189"/>
      <c r="E46" s="164" t="s">
        <v>1038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580</v>
      </c>
      <c r="C47" s="189">
        <v>7000000</v>
      </c>
      <c r="D47" s="189"/>
      <c r="E47" s="164" t="s">
        <v>1039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579</v>
      </c>
      <c r="C48" s="189">
        <v>7000000</v>
      </c>
      <c r="D48" s="189"/>
      <c r="E48" s="164" t="s">
        <v>1039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616</v>
      </c>
      <c r="C49" s="208">
        <v>7500000</v>
      </c>
      <c r="D49" s="208"/>
      <c r="E49" s="176" t="s">
        <v>1040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577</v>
      </c>
      <c r="C50" s="189">
        <v>6400000</v>
      </c>
      <c r="D50" s="189"/>
      <c r="E50" s="164" t="s">
        <v>1041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1042</v>
      </c>
      <c r="C51" s="189">
        <v>8000000</v>
      </c>
      <c r="D51" s="189"/>
      <c r="E51" s="164" t="s">
        <v>1043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617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645</v>
      </c>
      <c r="C53" s="189">
        <v>6600000</v>
      </c>
      <c r="D53" s="237" t="s">
        <v>1044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646</v>
      </c>
      <c r="C54" s="189">
        <v>6700000</v>
      </c>
      <c r="D54" s="237" t="s">
        <v>1045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623</v>
      </c>
      <c r="C55" s="189">
        <v>10200000</v>
      </c>
      <c r="D55" s="189"/>
      <c r="E55" s="222" t="s">
        <v>1046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628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681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747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739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680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678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1047</v>
      </c>
      <c r="C62" s="189">
        <v>12000000</v>
      </c>
      <c r="D62" s="189"/>
      <c r="E62" s="222" t="s">
        <v>1048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711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714</v>
      </c>
      <c r="C64" s="189">
        <v>9800000</v>
      </c>
      <c r="D64" s="237" t="s">
        <v>1049</v>
      </c>
      <c r="E64" s="222" t="s">
        <v>1050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717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720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732</v>
      </c>
      <c r="C67" s="189">
        <v>9500000</v>
      </c>
      <c r="D67" s="237" t="s">
        <v>1051</v>
      </c>
      <c r="E67" s="222" t="s">
        <v>1052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750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89" si="23">EDATE(Q68,6)</f>
        <v>47696</v>
      </c>
      <c r="S68" s="233">
        <f t="shared" ref="S68:S89" si="24">EDATE(R68,6)</f>
        <v>47880</v>
      </c>
      <c r="T68" s="233">
        <f t="shared" ref="T68:T89" si="25">EDATE(S68,6)</f>
        <v>48061</v>
      </c>
      <c r="U68" s="233">
        <f t="shared" ref="U68:U89" si="26">EDATE(T68,6)</f>
        <v>48245</v>
      </c>
      <c r="V68" s="233">
        <f t="shared" ref="V68:V89" si="27">EDATE(U68,6)</f>
        <v>48427</v>
      </c>
      <c r="W68" s="233">
        <f t="shared" ref="W68:W89" si="28">EDATE(V68,6)</f>
        <v>48611</v>
      </c>
      <c r="X68" s="233">
        <f t="shared" ref="X68:X89" si="29">EDATE(W68,6)</f>
        <v>48792</v>
      </c>
      <c r="Y68" s="233">
        <f t="shared" ref="Y68:Y89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679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677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749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751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752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781</v>
      </c>
      <c r="C74" s="189">
        <v>10500000</v>
      </c>
      <c r="D74" s="189"/>
      <c r="E74" s="222" t="s">
        <v>1021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797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788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89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801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802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1053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813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845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89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841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843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989</v>
      </c>
      <c r="C84" s="189">
        <v>6400000</v>
      </c>
      <c r="D84" s="189"/>
      <c r="E84" s="222" t="s">
        <v>1021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818</v>
      </c>
      <c r="C85" s="189">
        <v>13400000</v>
      </c>
      <c r="D85" s="189"/>
      <c r="E85" s="222" t="s">
        <v>17</v>
      </c>
      <c r="F85" s="233">
        <v>45884</v>
      </c>
      <c r="G85" s="233">
        <f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844</v>
      </c>
      <c r="C86" s="189">
        <v>6800000</v>
      </c>
      <c r="D86" s="189"/>
      <c r="E86" s="222" t="s">
        <v>17</v>
      </c>
      <c r="F86" s="233">
        <v>45891</v>
      </c>
      <c r="G86" s="233">
        <f>EDATE(F86,6)</f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>EDATE(F87,6)</f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892</v>
      </c>
      <c r="C88" s="189">
        <v>6500000</v>
      </c>
      <c r="D88" s="189"/>
      <c r="E88" s="222" t="s">
        <v>17</v>
      </c>
      <c r="F88" s="233">
        <v>45905</v>
      </c>
      <c r="G88" s="233">
        <f>EDATE(F88,6)</f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1054</v>
      </c>
      <c r="C89" s="189">
        <v>8800000</v>
      </c>
      <c r="D89" s="189"/>
      <c r="E89" s="222" t="s">
        <v>17</v>
      </c>
      <c r="F89" s="233">
        <v>45827</v>
      </c>
      <c r="G89" s="233">
        <f>EDATE(F89,6)</f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" sqref="F1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1065</v>
      </c>
      <c r="D1" s="225" t="s">
        <v>1066</v>
      </c>
      <c r="E1" s="225" t="s">
        <v>1067</v>
      </c>
      <c r="F1" s="225" t="s">
        <v>1098</v>
      </c>
      <c r="G1" s="225" t="s">
        <v>1097</v>
      </c>
      <c r="H1" s="225" t="s">
        <v>1099</v>
      </c>
      <c r="I1" s="225" t="s">
        <v>998</v>
      </c>
      <c r="J1" s="225" t="s">
        <v>999</v>
      </c>
      <c r="K1" s="225" t="s">
        <v>1000</v>
      </c>
      <c r="L1" s="225" t="s">
        <v>1001</v>
      </c>
      <c r="M1" s="225" t="s">
        <v>1002</v>
      </c>
      <c r="N1" s="225" t="s">
        <v>1003</v>
      </c>
      <c r="O1" s="225" t="s">
        <v>1004</v>
      </c>
      <c r="P1" s="225" t="s">
        <v>1005</v>
      </c>
      <c r="Q1" s="225" t="s">
        <v>1006</v>
      </c>
      <c r="R1" s="225" t="s">
        <v>1055</v>
      </c>
      <c r="S1" s="225" t="s">
        <v>1056</v>
      </c>
      <c r="T1" s="225" t="s">
        <v>1057</v>
      </c>
      <c r="U1" s="225" t="s">
        <v>1058</v>
      </c>
      <c r="V1" s="225" t="s">
        <v>1059</v>
      </c>
      <c r="W1" s="225" t="s">
        <v>1059</v>
      </c>
      <c r="X1" s="225" t="s">
        <v>1060</v>
      </c>
      <c r="Y1" s="225" t="s">
        <v>1061</v>
      </c>
      <c r="Z1" s="225" t="s">
        <v>1062</v>
      </c>
      <c r="AA1" s="225" t="s">
        <v>1101</v>
      </c>
      <c r="AB1" s="225" t="s">
        <v>1102</v>
      </c>
      <c r="AC1" s="225" t="s">
        <v>1103</v>
      </c>
      <c r="AD1" s="225" t="s">
        <v>1104</v>
      </c>
      <c r="AE1" s="225" t="s">
        <v>1105</v>
      </c>
      <c r="AF1" s="249" t="s">
        <v>1100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1068</v>
      </c>
      <c r="C4" s="226" t="s">
        <v>1069</v>
      </c>
      <c r="D4" s="226" t="s">
        <v>1070</v>
      </c>
      <c r="E4" s="250" t="s">
        <v>1071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1072</v>
      </c>
      <c r="D5" s="226" t="s">
        <v>1073</v>
      </c>
      <c r="E5" s="250" t="s">
        <v>1074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64">
        <f t="shared" si="4"/>
        <v>45992</v>
      </c>
      <c r="W5" s="264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1075</v>
      </c>
      <c r="D6" s="226" t="s">
        <v>1076</v>
      </c>
      <c r="E6" s="250" t="s">
        <v>1077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64">
        <f t="shared" si="4"/>
        <v>45931</v>
      </c>
      <c r="W6" s="264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1078</v>
      </c>
      <c r="C7" s="226" t="s">
        <v>1079</v>
      </c>
      <c r="D7" s="226" t="s">
        <v>1080</v>
      </c>
      <c r="E7" s="250" t="s">
        <v>1081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64">
        <f t="shared" si="4"/>
        <v>46082</v>
      </c>
      <c r="W7" s="264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1082</v>
      </c>
      <c r="C8" s="226" t="s">
        <v>385</v>
      </c>
      <c r="D8" s="226" t="s">
        <v>1083</v>
      </c>
      <c r="E8" s="250" t="s">
        <v>1084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64">
        <f t="shared" si="4"/>
        <v>46082</v>
      </c>
      <c r="W8" s="264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1085</v>
      </c>
      <c r="C9" s="226" t="s">
        <v>386</v>
      </c>
      <c r="D9" s="226" t="s">
        <v>1086</v>
      </c>
      <c r="E9" s="250" t="s">
        <v>1084</v>
      </c>
      <c r="F9" s="227">
        <v>11330000</v>
      </c>
      <c r="G9" s="226" t="s">
        <v>77</v>
      </c>
      <c r="H9" s="250" t="s">
        <v>1087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1088</v>
      </c>
      <c r="C10" s="226" t="s">
        <v>427</v>
      </c>
      <c r="D10" s="226" t="s">
        <v>1089</v>
      </c>
      <c r="E10" s="250" t="s">
        <v>1090</v>
      </c>
      <c r="F10" s="227">
        <f>7200000*1.1</f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1091</v>
      </c>
      <c r="D11" s="226" t="s">
        <v>1092</v>
      </c>
      <c r="E11" s="250" t="s">
        <v>1093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1094</v>
      </c>
      <c r="D12" s="226" t="s">
        <v>1095</v>
      </c>
      <c r="E12" s="250" t="s">
        <v>1096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tabSelected="1"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" sqref="H1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1106</v>
      </c>
      <c r="D1" s="225" t="s">
        <v>1107</v>
      </c>
      <c r="E1" s="225" t="s">
        <v>1067</v>
      </c>
      <c r="F1" s="225" t="s">
        <v>366</v>
      </c>
      <c r="G1" s="225" t="s">
        <v>1108</v>
      </c>
      <c r="H1" s="225" t="s">
        <v>1141</v>
      </c>
      <c r="I1" s="225" t="s">
        <v>1109</v>
      </c>
      <c r="J1" s="225" t="s">
        <v>1110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1003</v>
      </c>
      <c r="R1" s="225" t="s">
        <v>1003</v>
      </c>
      <c r="S1" s="225" t="s">
        <v>1004</v>
      </c>
      <c r="T1" s="225" t="s">
        <v>1004</v>
      </c>
      <c r="U1" s="225" t="s">
        <v>1005</v>
      </c>
      <c r="V1" s="225" t="s">
        <v>1006</v>
      </c>
      <c r="W1" s="225" t="s">
        <v>1055</v>
      </c>
      <c r="X1" s="225" t="s">
        <v>1056</v>
      </c>
      <c r="Y1" s="254" t="s">
        <v>1111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1112</v>
      </c>
      <c r="D4" s="41" t="s">
        <v>1113</v>
      </c>
      <c r="E4" s="255" t="s">
        <v>1114</v>
      </c>
      <c r="F4" s="226" t="s">
        <v>1112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64">
        <f t="shared" ref="L4:T6" si="2">EDATE(K4,6)</f>
        <v>45031</v>
      </c>
      <c r="M4" s="264">
        <f t="shared" si="2"/>
        <v>45214</v>
      </c>
      <c r="N4" s="264">
        <f t="shared" si="2"/>
        <v>45397</v>
      </c>
      <c r="O4" s="264">
        <f t="shared" si="2"/>
        <v>45580</v>
      </c>
      <c r="P4" s="264">
        <f t="shared" si="2"/>
        <v>45762</v>
      </c>
      <c r="Q4" s="264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1115</v>
      </c>
      <c r="E5" s="255" t="s">
        <v>1116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64">
        <f t="shared" si="2"/>
        <v>45108</v>
      </c>
      <c r="M5" s="264">
        <f t="shared" si="2"/>
        <v>45292</v>
      </c>
      <c r="N5" s="264">
        <f t="shared" si="2"/>
        <v>45474</v>
      </c>
      <c r="O5" s="264">
        <f t="shared" si="2"/>
        <v>45658</v>
      </c>
      <c r="P5" s="264">
        <f t="shared" si="2"/>
        <v>45839</v>
      </c>
      <c r="Q5" s="264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1117</v>
      </c>
      <c r="D6" s="41" t="s">
        <v>1118</v>
      </c>
      <c r="E6" s="41" t="s">
        <v>1119</v>
      </c>
      <c r="F6" s="226" t="s">
        <v>1120</v>
      </c>
      <c r="G6" s="41" t="s">
        <v>1117</v>
      </c>
      <c r="H6" s="256">
        <v>7000000</v>
      </c>
      <c r="I6" s="226">
        <v>6</v>
      </c>
      <c r="J6" s="251">
        <v>44835</v>
      </c>
      <c r="K6" s="251">
        <v>44927</v>
      </c>
      <c r="L6" s="265">
        <f t="shared" si="2"/>
        <v>45108</v>
      </c>
      <c r="M6" s="265">
        <f t="shared" si="2"/>
        <v>45292</v>
      </c>
      <c r="N6" s="265">
        <f t="shared" si="2"/>
        <v>45474</v>
      </c>
      <c r="O6" s="264">
        <f t="shared" si="2"/>
        <v>45658</v>
      </c>
      <c r="P6" s="264">
        <f t="shared" si="2"/>
        <v>45839</v>
      </c>
      <c r="Q6" s="264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1121</v>
      </c>
      <c r="D7" s="41" t="s">
        <v>1122</v>
      </c>
      <c r="E7" s="255" t="s">
        <v>1123</v>
      </c>
      <c r="F7" s="226" t="s">
        <v>1124</v>
      </c>
      <c r="G7" s="41" t="s">
        <v>1121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64">
        <f>EDATE(K7,3)</f>
        <v>45658</v>
      </c>
      <c r="M7" s="264">
        <f t="shared" ref="M7:T7" si="8">EDATE(L7,3)</f>
        <v>45748</v>
      </c>
      <c r="N7" s="264">
        <f t="shared" si="8"/>
        <v>45839</v>
      </c>
      <c r="O7" s="264">
        <f t="shared" si="8"/>
        <v>45931</v>
      </c>
      <c r="P7" s="264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1125</v>
      </c>
      <c r="C8" s="226" t="s">
        <v>1126</v>
      </c>
      <c r="D8" s="41" t="s">
        <v>1127</v>
      </c>
      <c r="E8" s="255" t="s">
        <v>1128</v>
      </c>
      <c r="F8" s="226" t="s">
        <v>1126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64">
        <f t="shared" ref="L8:T12" si="13">EDATE(K8,6)</f>
        <v>45992</v>
      </c>
      <c r="M8" s="264">
        <f t="shared" si="13"/>
        <v>46174</v>
      </c>
      <c r="N8" s="264">
        <f t="shared" si="13"/>
        <v>46357</v>
      </c>
      <c r="O8" s="264">
        <f t="shared" si="13"/>
        <v>46539</v>
      </c>
      <c r="P8" s="264">
        <f t="shared" si="13"/>
        <v>46722</v>
      </c>
      <c r="Q8" s="264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1129</v>
      </c>
      <c r="D9" s="41" t="s">
        <v>1130</v>
      </c>
      <c r="E9" s="255" t="s">
        <v>1131</v>
      </c>
      <c r="F9" s="226" t="s">
        <v>1132</v>
      </c>
      <c r="G9" s="41" t="s">
        <v>1129</v>
      </c>
      <c r="H9" s="256">
        <v>7000000</v>
      </c>
      <c r="I9" s="226">
        <v>6</v>
      </c>
      <c r="J9" s="251">
        <v>45915</v>
      </c>
      <c r="K9" s="252">
        <v>46113</v>
      </c>
      <c r="L9" s="265">
        <f t="shared" si="13"/>
        <v>46296</v>
      </c>
      <c r="M9" s="265">
        <f t="shared" si="13"/>
        <v>46478</v>
      </c>
      <c r="N9" s="265">
        <f t="shared" si="13"/>
        <v>46661</v>
      </c>
      <c r="O9" s="265">
        <f t="shared" si="13"/>
        <v>46844</v>
      </c>
      <c r="P9" s="265">
        <f t="shared" si="13"/>
        <v>47027</v>
      </c>
      <c r="Q9" s="265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714</v>
      </c>
      <c r="C10" s="226" t="s">
        <v>1133</v>
      </c>
      <c r="D10" s="41" t="s">
        <v>1134</v>
      </c>
      <c r="E10" s="255" t="s">
        <v>1135</v>
      </c>
      <c r="F10" s="226"/>
      <c r="G10" s="41" t="s">
        <v>1133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1136</v>
      </c>
      <c r="C11" s="226" t="s">
        <v>1137</v>
      </c>
      <c r="D11" s="41" t="s">
        <v>1138</v>
      </c>
      <c r="E11" s="255" t="s">
        <v>1135</v>
      </c>
      <c r="F11" s="226"/>
      <c r="G11" s="41" t="s">
        <v>1137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1139</v>
      </c>
      <c r="D12" s="41" t="s">
        <v>1140</v>
      </c>
      <c r="E12" s="255" t="s">
        <v>1135</v>
      </c>
      <c r="F12" s="226"/>
      <c r="G12" s="41" t="s">
        <v>1139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672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2026-03-29T13:18:17Z</dcterms:modified>
</cp:coreProperties>
</file>