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F340E435-5AD3-4309-969A-2D3D6FDE3C78}" xr6:coauthVersionLast="47" xr6:coauthVersionMax="47" xr10:uidLastSave="{00000000-0000-0000-0000-000000000000}"/>
  <bookViews>
    <workbookView xWindow="-108" yWindow="-108" windowWidth="23256" windowHeight="12456" tabRatio="727" activeTab="1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Tính tiền đóng" sheetId="12" state="hidden" r:id="rId6"/>
    <sheet name="Sheet3" sheetId="14" state="hidden" r:id="rId7"/>
    <sheet name="Sheet4" sheetId="15" state="hidden" r:id="rId8"/>
    <sheet name="Sheet5" sheetId="16" state="hidden" r:id="rId9"/>
    <sheet name="Sheet6" sheetId="17" state="hidden" r:id="rId10"/>
    <sheet name="Sheet7" sheetId="18" state="hidden" r:id="rId11"/>
    <sheet name="Sheet8" sheetId="20" state="hidden" r:id="rId12"/>
    <sheet name="Sheet9" sheetId="21" state="hidden" r:id="rId13"/>
    <sheet name="Dulich" sheetId="23" state="hidden" r:id="rId14"/>
    <sheet name="Phân công" sheetId="6" state="hidden" r:id="rId15"/>
    <sheet name="DS chủ nhà nok_Tham khảo" sheetId="3" state="hidden" r:id="rId16"/>
    <sheet name="Sheet2" sheetId="7" state="hidden" r:id="rId17"/>
    <sheet name="Báo giá DD" sheetId="8" state="hidden" r:id="rId18"/>
    <sheet name="Sheet1" sheetId="1" state="hidden" r:id="rId19"/>
  </sheets>
  <externalReferences>
    <externalReference r:id="rId20"/>
  </externalReferences>
  <definedNames>
    <definedName name="_xlnm._FilterDatabase" localSheetId="14" hidden="1">'Phân công'!$A$1:$H$28</definedName>
    <definedName name="_xlnm._FilterDatabase" localSheetId="0" hidden="1">'Theo dõi HĐ_Chi tiết'!$A$3:$AQ$100</definedName>
    <definedName name="_xlnm._FilterDatabase" localSheetId="1" hidden="1">'Theo dõi thanh toán chủ nhà'!$A$3:$AJ$85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7" i="24" l="1"/>
  <c r="K85" i="24"/>
  <c r="Z91" i="25"/>
  <c r="Z90" i="25"/>
  <c r="R91" i="25"/>
  <c r="S91" i="25" s="1"/>
  <c r="T91" i="25" s="1"/>
  <c r="U91" i="25" s="1"/>
  <c r="V91" i="25" s="1"/>
  <c r="W91" i="25" s="1"/>
  <c r="X91" i="25" s="1"/>
  <c r="Y91" i="25" s="1"/>
  <c r="R90" i="25"/>
  <c r="S90" i="25" s="1"/>
  <c r="T90" i="25" s="1"/>
  <c r="U90" i="25" s="1"/>
  <c r="V90" i="25" s="1"/>
  <c r="W90" i="25" s="1"/>
  <c r="X90" i="25" s="1"/>
  <c r="Y90" i="25" s="1"/>
  <c r="G91" i="25"/>
  <c r="H91" i="25" s="1"/>
  <c r="I91" i="25" s="1"/>
  <c r="J91" i="25" s="1"/>
  <c r="K91" i="25" s="1"/>
  <c r="L91" i="25" s="1"/>
  <c r="M91" i="25" s="1"/>
  <c r="N91" i="25" s="1"/>
  <c r="O91" i="25" s="1"/>
  <c r="P91" i="25" s="1"/>
  <c r="Q91" i="25" s="1"/>
  <c r="G90" i="25"/>
  <c r="H90" i="25" s="1"/>
  <c r="I90" i="25" s="1"/>
  <c r="J90" i="25" s="1"/>
  <c r="K90" i="25" s="1"/>
  <c r="L90" i="25" s="1"/>
  <c r="M90" i="25" s="1"/>
  <c r="N90" i="25" s="1"/>
  <c r="O90" i="25" s="1"/>
  <c r="P90" i="25" s="1"/>
  <c r="Q90" i="25" s="1"/>
  <c r="S29" i="24"/>
  <c r="K102" i="2"/>
  <c r="K101" i="2"/>
  <c r="U12" i="27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12" i="26"/>
  <c r="AD12" i="26" s="1"/>
  <c r="AE12" i="26" s="1"/>
  <c r="AC11" i="26"/>
  <c r="AD11" i="26" s="1"/>
  <c r="AE11" i="26" s="1"/>
  <c r="AC10" i="26"/>
  <c r="AD10" i="26" s="1"/>
  <c r="AE10" i="26" s="1"/>
  <c r="AC9" i="26"/>
  <c r="AD9" i="26" s="1"/>
  <c r="AE9" i="26" s="1"/>
  <c r="AC8" i="26"/>
  <c r="AD8" i="26" s="1"/>
  <c r="AE8" i="26" s="1"/>
  <c r="AC7" i="26"/>
  <c r="AD7" i="26" s="1"/>
  <c r="AE7" i="26" s="1"/>
  <c r="AC6" i="26"/>
  <c r="AC2" i="26" s="1"/>
  <c r="AC5" i="26"/>
  <c r="AD5" i="26" s="1"/>
  <c r="AE5" i="26" s="1"/>
  <c r="AC4" i="26"/>
  <c r="AD4" i="26" s="1"/>
  <c r="Y7" i="26"/>
  <c r="Z7" i="26" s="1"/>
  <c r="AA7" i="26" s="1"/>
  <c r="AB7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H84" i="25" s="1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G62" i="24"/>
  <c r="AI85" i="24"/>
  <c r="AH85" i="24"/>
  <c r="AI84" i="24"/>
  <c r="K84" i="24"/>
  <c r="L84" i="24" s="1"/>
  <c r="AI83" i="24"/>
  <c r="K83" i="24"/>
  <c r="L83" i="24" s="1"/>
  <c r="M83" i="24" s="1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I82" i="24"/>
  <c r="K82" i="24"/>
  <c r="L82" i="24" s="1"/>
  <c r="AI81" i="24"/>
  <c r="K81" i="24"/>
  <c r="L81" i="24" s="1"/>
  <c r="AI80" i="24"/>
  <c r="K80" i="24"/>
  <c r="L80" i="24" s="1"/>
  <c r="AI79" i="24"/>
  <c r="K79" i="24"/>
  <c r="L79" i="24" s="1"/>
  <c r="AH79" i="24" s="1"/>
  <c r="AI78" i="24"/>
  <c r="K78" i="24"/>
  <c r="L78" i="24" s="1"/>
  <c r="AH78" i="24" s="1"/>
  <c r="AI77" i="24"/>
  <c r="K77" i="24"/>
  <c r="L77" i="24" s="1"/>
  <c r="M77" i="24" s="1"/>
  <c r="AI76" i="24"/>
  <c r="K76" i="24"/>
  <c r="L76" i="24" s="1"/>
  <c r="M76" i="24" s="1"/>
  <c r="AI75" i="24"/>
  <c r="K75" i="24"/>
  <c r="L75" i="24" s="1"/>
  <c r="M75" i="24" s="1"/>
  <c r="AI74" i="24"/>
  <c r="K74" i="24"/>
  <c r="L74" i="24" s="1"/>
  <c r="M74" i="24" s="1"/>
  <c r="AI73" i="24"/>
  <c r="K73" i="24"/>
  <c r="L73" i="24" s="1"/>
  <c r="M73" i="24" s="1"/>
  <c r="AH73" i="24" s="1"/>
  <c r="AI72" i="24"/>
  <c r="K72" i="24"/>
  <c r="L72" i="24" s="1"/>
  <c r="M72" i="24" s="1"/>
  <c r="AI71" i="24"/>
  <c r="K71" i="24"/>
  <c r="L71" i="24" s="1"/>
  <c r="M71" i="24" s="1"/>
  <c r="N71" i="24" s="1"/>
  <c r="AI70" i="24"/>
  <c r="K70" i="24"/>
  <c r="L70" i="24" s="1"/>
  <c r="M70" i="24" s="1"/>
  <c r="AI69" i="24"/>
  <c r="K69" i="24"/>
  <c r="L69" i="24" s="1"/>
  <c r="M69" i="24" s="1"/>
  <c r="N69" i="24" s="1"/>
  <c r="AH69" i="24" s="1"/>
  <c r="AI68" i="24"/>
  <c r="K68" i="24"/>
  <c r="L68" i="24" s="1"/>
  <c r="M68" i="24" s="1"/>
  <c r="N68" i="24" s="1"/>
  <c r="AI67" i="24"/>
  <c r="K67" i="24"/>
  <c r="L67" i="24" s="1"/>
  <c r="M67" i="24" s="1"/>
  <c r="N67" i="24" s="1"/>
  <c r="AH67" i="24" s="1"/>
  <c r="AI66" i="24"/>
  <c r="K66" i="24"/>
  <c r="L66" i="24" s="1"/>
  <c r="M66" i="24" s="1"/>
  <c r="N66" i="24" s="1"/>
  <c r="AI65" i="24"/>
  <c r="K65" i="24"/>
  <c r="L65" i="24" s="1"/>
  <c r="M65" i="24" s="1"/>
  <c r="N65" i="24" s="1"/>
  <c r="AI64" i="24"/>
  <c r="K64" i="24"/>
  <c r="L64" i="24" s="1"/>
  <c r="M64" i="24" s="1"/>
  <c r="N64" i="24" s="1"/>
  <c r="AH64" i="24" s="1"/>
  <c r="AI63" i="24"/>
  <c r="K63" i="24"/>
  <c r="L63" i="24" s="1"/>
  <c r="M63" i="24" s="1"/>
  <c r="N63" i="24" s="1"/>
  <c r="AI62" i="24"/>
  <c r="K62" i="24"/>
  <c r="L62" i="24" s="1"/>
  <c r="M62" i="24" s="1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I61" i="24"/>
  <c r="K61" i="24"/>
  <c r="L61" i="24" s="1"/>
  <c r="M61" i="24" s="1"/>
  <c r="N61" i="24" s="1"/>
  <c r="AH61" i="24" s="1"/>
  <c r="AI60" i="24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I59" i="24"/>
  <c r="K59" i="24"/>
  <c r="L59" i="24" s="1"/>
  <c r="M59" i="24" s="1"/>
  <c r="N59" i="24" s="1"/>
  <c r="AH59" i="24" s="1"/>
  <c r="AI58" i="24"/>
  <c r="K58" i="24"/>
  <c r="L58" i="24" s="1"/>
  <c r="M58" i="24" s="1"/>
  <c r="N58" i="24" s="1"/>
  <c r="O58" i="24" s="1"/>
  <c r="AI57" i="24"/>
  <c r="K57" i="24"/>
  <c r="L57" i="24" s="1"/>
  <c r="M57" i="24" s="1"/>
  <c r="N57" i="24" s="1"/>
  <c r="AI56" i="24"/>
  <c r="K56" i="24"/>
  <c r="L56" i="24" s="1"/>
  <c r="M56" i="24" s="1"/>
  <c r="N56" i="24" s="1"/>
  <c r="AI55" i="24"/>
  <c r="K55" i="24"/>
  <c r="L55" i="24" s="1"/>
  <c r="M55" i="24" s="1"/>
  <c r="N55" i="24" s="1"/>
  <c r="O55" i="24" s="1"/>
  <c r="P55" i="24" s="1"/>
  <c r="AI54" i="24"/>
  <c r="K54" i="24"/>
  <c r="L54" i="24" s="1"/>
  <c r="M54" i="24" s="1"/>
  <c r="N54" i="24" s="1"/>
  <c r="O54" i="24" s="1"/>
  <c r="AI53" i="24"/>
  <c r="K53" i="24"/>
  <c r="L53" i="24" s="1"/>
  <c r="M53" i="24" s="1"/>
  <c r="N53" i="24" s="1"/>
  <c r="O53" i="24" s="1"/>
  <c r="AI52" i="24"/>
  <c r="K52" i="24"/>
  <c r="L52" i="24" s="1"/>
  <c r="M52" i="24" s="1"/>
  <c r="N52" i="24" s="1"/>
  <c r="O52" i="24" s="1"/>
  <c r="AI51" i="24"/>
  <c r="K51" i="24"/>
  <c r="L51" i="24" s="1"/>
  <c r="M51" i="24" s="1"/>
  <c r="N51" i="24" s="1"/>
  <c r="O51" i="24" s="1"/>
  <c r="AI50" i="24"/>
  <c r="K50" i="24"/>
  <c r="L50" i="24" s="1"/>
  <c r="M50" i="24" s="1"/>
  <c r="N50" i="24" s="1"/>
  <c r="O50" i="24" s="1"/>
  <c r="AI49" i="24"/>
  <c r="K49" i="24"/>
  <c r="L49" i="24" s="1"/>
  <c r="M49" i="24" s="1"/>
  <c r="N49" i="24" s="1"/>
  <c r="O49" i="24" s="1"/>
  <c r="P49" i="24" s="1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K47" i="24"/>
  <c r="L47" i="24" s="1"/>
  <c r="M47" i="24" s="1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I46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AI45" i="24"/>
  <c r="K45" i="24"/>
  <c r="L45" i="24" s="1"/>
  <c r="M45" i="24" s="1"/>
  <c r="N45" i="24" s="1"/>
  <c r="O45" i="24" s="1"/>
  <c r="P45" i="24" s="1"/>
  <c r="AI44" i="24"/>
  <c r="N44" i="24"/>
  <c r="O44" i="24" s="1"/>
  <c r="P44" i="24" s="1"/>
  <c r="Q44" i="24" s="1"/>
  <c r="R44" i="24" s="1"/>
  <c r="S44" i="24" s="1"/>
  <c r="AI43" i="24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AI42" i="24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AI41" i="24"/>
  <c r="K41" i="24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AI40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AI39" i="24"/>
  <c r="K39" i="24"/>
  <c r="L39" i="24" s="1"/>
  <c r="M39" i="24" s="1"/>
  <c r="N39" i="24" s="1"/>
  <c r="O39" i="24" s="1"/>
  <c r="P39" i="24" s="1"/>
  <c r="Q39" i="24" s="1"/>
  <c r="AI38" i="24"/>
  <c r="K38" i="24"/>
  <c r="L38" i="24" s="1"/>
  <c r="M38" i="24" s="1"/>
  <c r="N38" i="24" s="1"/>
  <c r="O38" i="24" s="1"/>
  <c r="P38" i="24" s="1"/>
  <c r="Q38" i="24" s="1"/>
  <c r="AI37" i="24"/>
  <c r="N37" i="24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K37" i="24"/>
  <c r="L37" i="24" s="1"/>
  <c r="AI36" i="24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AI35" i="24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AI34" i="24"/>
  <c r="K34" i="24"/>
  <c r="L34" i="24" s="1"/>
  <c r="M34" i="24" s="1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AI33" i="24"/>
  <c r="K33" i="24"/>
  <c r="L33" i="24" s="1"/>
  <c r="M33" i="24" s="1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AI32" i="24"/>
  <c r="K32" i="24"/>
  <c r="L32" i="24" s="1"/>
  <c r="M32" i="24" s="1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AI31" i="24"/>
  <c r="K31" i="24"/>
  <c r="L31" i="24" s="1"/>
  <c r="M31" i="24" s="1"/>
  <c r="N31" i="24" s="1"/>
  <c r="O31" i="24" s="1"/>
  <c r="P31" i="24" s="1"/>
  <c r="Q31" i="24" s="1"/>
  <c r="R31" i="24" s="1"/>
  <c r="AI30" i="24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AI29" i="24"/>
  <c r="T29" i="24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K29" i="24"/>
  <c r="L29" i="24" s="1"/>
  <c r="M29" i="24" s="1"/>
  <c r="N29" i="24" s="1"/>
  <c r="O29" i="24" s="1"/>
  <c r="P29" i="24" s="1"/>
  <c r="AI28" i="24"/>
  <c r="K28" i="24"/>
  <c r="L28" i="24" s="1"/>
  <c r="M28" i="24" s="1"/>
  <c r="N28" i="24" s="1"/>
  <c r="O28" i="24" s="1"/>
  <c r="P28" i="24" s="1"/>
  <c r="Q28" i="24" s="1"/>
  <c r="R28" i="24" s="1"/>
  <c r="AH28" i="24" s="1"/>
  <c r="AI27" i="24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AI26" i="24"/>
  <c r="K26" i="24"/>
  <c r="L26" i="24" s="1"/>
  <c r="M26" i="24" s="1"/>
  <c r="N26" i="24" s="1"/>
  <c r="O26" i="24" s="1"/>
  <c r="P26" i="24" s="1"/>
  <c r="Q26" i="24" s="1"/>
  <c r="AI25" i="24"/>
  <c r="K25" i="24"/>
  <c r="L25" i="24" s="1"/>
  <c r="M25" i="24" s="1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AI24" i="24"/>
  <c r="K24" i="24"/>
  <c r="L24" i="24" s="1"/>
  <c r="M24" i="24" s="1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AI23" i="24"/>
  <c r="K23" i="24"/>
  <c r="L23" i="24" s="1"/>
  <c r="M23" i="24" s="1"/>
  <c r="N23" i="24" s="1"/>
  <c r="O23" i="24" s="1"/>
  <c r="P23" i="24" s="1"/>
  <c r="Q23" i="24" s="1"/>
  <c r="R23" i="24" s="1"/>
  <c r="AI22" i="24"/>
  <c r="K22" i="24"/>
  <c r="L22" i="24" s="1"/>
  <c r="M22" i="24" s="1"/>
  <c r="N22" i="24" s="1"/>
  <c r="O22" i="24" s="1"/>
  <c r="P22" i="24" s="1"/>
  <c r="Q22" i="24" s="1"/>
  <c r="R22" i="24" s="1"/>
  <c r="I22" i="24"/>
  <c r="AI21" i="24"/>
  <c r="K21" i="24"/>
  <c r="L21" i="24" s="1"/>
  <c r="M21" i="24" s="1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I20" i="24"/>
  <c r="K20" i="24"/>
  <c r="L20" i="24" s="1"/>
  <c r="M20" i="24" s="1"/>
  <c r="N20" i="24" s="1"/>
  <c r="O20" i="24" s="1"/>
  <c r="P20" i="24" s="1"/>
  <c r="Q20" i="24" s="1"/>
  <c r="R20" i="24" s="1"/>
  <c r="AI19" i="24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AI18" i="24"/>
  <c r="K18" i="24"/>
  <c r="L18" i="24" s="1"/>
  <c r="M18" i="24" s="1"/>
  <c r="N18" i="24" s="1"/>
  <c r="O18" i="24" s="1"/>
  <c r="P18" i="24" s="1"/>
  <c r="Q18" i="24" s="1"/>
  <c r="R18" i="24" s="1"/>
  <c r="AI17" i="24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AI16" i="24"/>
  <c r="L16" i="24"/>
  <c r="M16" i="24" s="1"/>
  <c r="N16" i="24" s="1"/>
  <c r="O16" i="24" s="1"/>
  <c r="P16" i="24" s="1"/>
  <c r="Q16" i="24" s="1"/>
  <c r="R16" i="24" s="1"/>
  <c r="AI15" i="24"/>
  <c r="K15" i="24"/>
  <c r="L15" i="24" s="1"/>
  <c r="M15" i="24" s="1"/>
  <c r="N15" i="24" s="1"/>
  <c r="O15" i="24" s="1"/>
  <c r="P15" i="24" s="1"/>
  <c r="Q15" i="24" s="1"/>
  <c r="R15" i="24" s="1"/>
  <c r="AI14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AI13" i="24"/>
  <c r="K13" i="24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I12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AI11" i="24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I10" i="24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I9" i="24"/>
  <c r="K9" i="24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I8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I7" i="24"/>
  <c r="K7" i="24"/>
  <c r="L7" i="24" s="1"/>
  <c r="M7" i="24" s="1"/>
  <c r="N7" i="24" s="1"/>
  <c r="O7" i="24" s="1"/>
  <c r="P7" i="24" s="1"/>
  <c r="Q7" i="24" s="1"/>
  <c r="R7" i="24" s="1"/>
  <c r="AI6" i="24"/>
  <c r="K6" i="24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H6" i="24" s="1"/>
  <c r="AI5" i="24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I4" i="24"/>
  <c r="K4" i="24"/>
  <c r="H4" i="24"/>
  <c r="H2" i="24" s="1"/>
  <c r="G4" i="24"/>
  <c r="G2" i="24" s="1"/>
  <c r="F4" i="24"/>
  <c r="F2" i="24" s="1"/>
  <c r="E4" i="24"/>
  <c r="E2" i="24" s="1"/>
  <c r="AJ2" i="24"/>
  <c r="J2" i="24"/>
  <c r="D2" i="24"/>
  <c r="C2" i="24"/>
  <c r="B2" i="24"/>
  <c r="A2" i="24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7" i="2"/>
  <c r="K78" i="2"/>
  <c r="K80" i="2"/>
  <c r="K93" i="2"/>
  <c r="K94" i="2"/>
  <c r="K95" i="2"/>
  <c r="K96" i="2"/>
  <c r="K97" i="2"/>
  <c r="K98" i="2"/>
  <c r="K99" i="2"/>
  <c r="K100" i="2"/>
  <c r="K4" i="2"/>
  <c r="V2" i="27" l="1"/>
  <c r="W4" i="27"/>
  <c r="U2" i="27"/>
  <c r="Y2" i="27"/>
  <c r="M4" i="27"/>
  <c r="L2" i="27"/>
  <c r="K2" i="27"/>
  <c r="AE4" i="26"/>
  <c r="AD6" i="26"/>
  <c r="AE6" i="26" s="1"/>
  <c r="F2" i="26"/>
  <c r="AF2" i="26"/>
  <c r="J5" i="26"/>
  <c r="L4" i="26"/>
  <c r="S5" i="25"/>
  <c r="C2" i="25"/>
  <c r="Z2" i="25"/>
  <c r="G2" i="25"/>
  <c r="H2" i="25"/>
  <c r="I4" i="25"/>
  <c r="AH5" i="24"/>
  <c r="AC5" i="24"/>
  <c r="AD5" i="24" s="1"/>
  <c r="AE5" i="24" s="1"/>
  <c r="AF5" i="24" s="1"/>
  <c r="AG5" i="24" s="1"/>
  <c r="O69" i="24"/>
  <c r="P69" i="24" s="1"/>
  <c r="Q69" i="24" s="1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I2" i="24"/>
  <c r="AH37" i="24"/>
  <c r="AH80" i="24"/>
  <c r="M80" i="24"/>
  <c r="N80" i="24" s="1"/>
  <c r="O80" i="24" s="1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29" i="24"/>
  <c r="M79" i="24"/>
  <c r="N79" i="24" s="1"/>
  <c r="O79" i="24" s="1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83" i="24"/>
  <c r="AH47" i="24"/>
  <c r="O61" i="24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11" i="24"/>
  <c r="AA11" i="24"/>
  <c r="AB11" i="24" s="1"/>
  <c r="AC11" i="24" s="1"/>
  <c r="AD11" i="24" s="1"/>
  <c r="AE11" i="24" s="1"/>
  <c r="AF11" i="24" s="1"/>
  <c r="AG11" i="24" s="1"/>
  <c r="AH43" i="24"/>
  <c r="W43" i="24"/>
  <c r="X43" i="24" s="1"/>
  <c r="Y43" i="24" s="1"/>
  <c r="Z43" i="24" s="1"/>
  <c r="AA43" i="24" s="1"/>
  <c r="AB43" i="24" s="1"/>
  <c r="AC43" i="24" s="1"/>
  <c r="AD43" i="24" s="1"/>
  <c r="AE43" i="24" s="1"/>
  <c r="AF43" i="24" s="1"/>
  <c r="AG43" i="24" s="1"/>
  <c r="AH40" i="24"/>
  <c r="Y40" i="24"/>
  <c r="Z40" i="24" s="1"/>
  <c r="AA40" i="24" s="1"/>
  <c r="AB40" i="24" s="1"/>
  <c r="AC40" i="24" s="1"/>
  <c r="AD40" i="24" s="1"/>
  <c r="AE40" i="24" s="1"/>
  <c r="AF40" i="24" s="1"/>
  <c r="AG40" i="24" s="1"/>
  <c r="S16" i="24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/>
  <c r="O66" i="24"/>
  <c r="P66" i="24" s="1"/>
  <c r="Q66" i="24" s="1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/>
  <c r="AH33" i="24"/>
  <c r="Y33" i="24"/>
  <c r="Z33" i="24" s="1"/>
  <c r="AA33" i="24" s="1"/>
  <c r="AB33" i="24" s="1"/>
  <c r="AC33" i="24" s="1"/>
  <c r="AD33" i="24" s="1"/>
  <c r="AE33" i="24" s="1"/>
  <c r="AF33" i="24" s="1"/>
  <c r="AG33" i="24" s="1"/>
  <c r="AH8" i="24"/>
  <c r="AA8" i="24"/>
  <c r="AB8" i="24" s="1"/>
  <c r="AC8" i="24" s="1"/>
  <c r="AD8" i="24" s="1"/>
  <c r="AE8" i="24" s="1"/>
  <c r="AF8" i="24" s="1"/>
  <c r="AG8" i="24" s="1"/>
  <c r="AH15" i="24"/>
  <c r="S15" i="24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R26" i="24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/>
  <c r="AH12" i="24"/>
  <c r="Z12" i="24"/>
  <c r="AA12" i="24" s="1"/>
  <c r="AB12" i="24" s="1"/>
  <c r="AC12" i="24" s="1"/>
  <c r="AD12" i="24" s="1"/>
  <c r="AE12" i="24" s="1"/>
  <c r="AF12" i="24" s="1"/>
  <c r="AG12" i="24" s="1"/>
  <c r="Y24" i="24"/>
  <c r="Z24" i="24" s="1"/>
  <c r="AA24" i="24" s="1"/>
  <c r="AB24" i="24" s="1"/>
  <c r="AC24" i="24" s="1"/>
  <c r="AD24" i="24" s="1"/>
  <c r="AE24" i="24" s="1"/>
  <c r="AF24" i="24" s="1"/>
  <c r="AG24" i="24" s="1"/>
  <c r="AH24" i="24"/>
  <c r="AA13" i="24"/>
  <c r="AB13" i="24" s="1"/>
  <c r="AC13" i="24" s="1"/>
  <c r="AD13" i="24" s="1"/>
  <c r="AE13" i="24" s="1"/>
  <c r="AF13" i="24" s="1"/>
  <c r="AG13" i="24" s="1"/>
  <c r="AH13" i="24"/>
  <c r="AA17" i="24"/>
  <c r="AB17" i="24" s="1"/>
  <c r="AC17" i="24" s="1"/>
  <c r="AD17" i="24" s="1"/>
  <c r="AE17" i="24" s="1"/>
  <c r="AF17" i="24" s="1"/>
  <c r="AG17" i="24" s="1"/>
  <c r="AH17" i="24"/>
  <c r="AA21" i="24"/>
  <c r="AB21" i="24" s="1"/>
  <c r="AC21" i="24" s="1"/>
  <c r="AD21" i="24" s="1"/>
  <c r="AE21" i="24" s="1"/>
  <c r="AF21" i="24" s="1"/>
  <c r="AG21" i="24" s="1"/>
  <c r="AH21" i="24"/>
  <c r="AH23" i="24"/>
  <c r="S23" i="24"/>
  <c r="T23" i="24" s="1"/>
  <c r="U23" i="24" s="1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Y36" i="24"/>
  <c r="Z36" i="24" s="1"/>
  <c r="AA36" i="24" s="1"/>
  <c r="AB36" i="24" s="1"/>
  <c r="AC36" i="24" s="1"/>
  <c r="AD36" i="24" s="1"/>
  <c r="AE36" i="24" s="1"/>
  <c r="AF36" i="24" s="1"/>
  <c r="AG36" i="24" s="1"/>
  <c r="AH36" i="24"/>
  <c r="AH39" i="24"/>
  <c r="R39" i="24"/>
  <c r="S39" i="24" s="1"/>
  <c r="T39" i="24" s="1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53" i="24"/>
  <c r="P53" i="24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9" i="24"/>
  <c r="AA9" i="24"/>
  <c r="AB9" i="24" s="1"/>
  <c r="AC9" i="24" s="1"/>
  <c r="AD9" i="24" s="1"/>
  <c r="AE9" i="24" s="1"/>
  <c r="AF9" i="24" s="1"/>
  <c r="AG9" i="24" s="1"/>
  <c r="AH30" i="24"/>
  <c r="Y30" i="24"/>
  <c r="Z30" i="24" s="1"/>
  <c r="AA30" i="24" s="1"/>
  <c r="AB30" i="24" s="1"/>
  <c r="AC30" i="24" s="1"/>
  <c r="AD30" i="24" s="1"/>
  <c r="AE30" i="24" s="1"/>
  <c r="AF30" i="24" s="1"/>
  <c r="AG30" i="24" s="1"/>
  <c r="X41" i="24"/>
  <c r="Y41" i="24" s="1"/>
  <c r="Z41" i="24" s="1"/>
  <c r="AA41" i="24" s="1"/>
  <c r="AB41" i="24" s="1"/>
  <c r="AC41" i="24" s="1"/>
  <c r="AD41" i="24" s="1"/>
  <c r="AE41" i="24" s="1"/>
  <c r="AF41" i="24" s="1"/>
  <c r="AG41" i="24" s="1"/>
  <c r="AH41" i="24"/>
  <c r="AH71" i="24"/>
  <c r="O71" i="24"/>
  <c r="P71" i="24" s="1"/>
  <c r="Q71" i="24" s="1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27" i="24"/>
  <c r="Z27" i="24"/>
  <c r="AA27" i="24" s="1"/>
  <c r="AB27" i="24" s="1"/>
  <c r="AC27" i="24" s="1"/>
  <c r="AD27" i="24" s="1"/>
  <c r="AE27" i="24" s="1"/>
  <c r="AF27" i="24" s="1"/>
  <c r="AG27" i="24" s="1"/>
  <c r="X46" i="24"/>
  <c r="Y46" i="24" s="1"/>
  <c r="Z46" i="24" s="1"/>
  <c r="AA46" i="24" s="1"/>
  <c r="AB46" i="24" s="1"/>
  <c r="AC46" i="24" s="1"/>
  <c r="AD46" i="24" s="1"/>
  <c r="AE46" i="24" s="1"/>
  <c r="AF46" i="24" s="1"/>
  <c r="AG46" i="24" s="1"/>
  <c r="AH46" i="24"/>
  <c r="AA10" i="24"/>
  <c r="AB10" i="24" s="1"/>
  <c r="AC10" i="24" s="1"/>
  <c r="AD10" i="24" s="1"/>
  <c r="AE10" i="24" s="1"/>
  <c r="AF10" i="24" s="1"/>
  <c r="AG10" i="24" s="1"/>
  <c r="AH10" i="24"/>
  <c r="AH22" i="24"/>
  <c r="S22" i="24"/>
  <c r="T22" i="24" s="1"/>
  <c r="U22" i="24" s="1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O56" i="24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/>
  <c r="AH32" i="24"/>
  <c r="Y32" i="24"/>
  <c r="Z32" i="24" s="1"/>
  <c r="AA32" i="24" s="1"/>
  <c r="AB32" i="24" s="1"/>
  <c r="AC32" i="24" s="1"/>
  <c r="AD32" i="24" s="1"/>
  <c r="AE32" i="24" s="1"/>
  <c r="AF32" i="24" s="1"/>
  <c r="AG32" i="24" s="1"/>
  <c r="Z25" i="24"/>
  <c r="AA25" i="24" s="1"/>
  <c r="AB25" i="24" s="1"/>
  <c r="AC25" i="24" s="1"/>
  <c r="AD25" i="24" s="1"/>
  <c r="AE25" i="24" s="1"/>
  <c r="AF25" i="24" s="1"/>
  <c r="AG25" i="24" s="1"/>
  <c r="AH25" i="24"/>
  <c r="AH35" i="24"/>
  <c r="Y35" i="24"/>
  <c r="Z35" i="24" s="1"/>
  <c r="AA35" i="24" s="1"/>
  <c r="AB35" i="24" s="1"/>
  <c r="AC35" i="24" s="1"/>
  <c r="AD35" i="24" s="1"/>
  <c r="AE35" i="24" s="1"/>
  <c r="AF35" i="24" s="1"/>
  <c r="AG35" i="24" s="1"/>
  <c r="AH51" i="24"/>
  <c r="P51" i="24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O68" i="24"/>
  <c r="P68" i="24" s="1"/>
  <c r="Q68" i="24" s="1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/>
  <c r="AH14" i="24"/>
  <c r="Z14" i="24"/>
  <c r="AA14" i="24" s="1"/>
  <c r="AB14" i="24" s="1"/>
  <c r="AC14" i="24" s="1"/>
  <c r="AD14" i="24" s="1"/>
  <c r="AE14" i="24" s="1"/>
  <c r="AF14" i="24" s="1"/>
  <c r="AG14" i="24" s="1"/>
  <c r="AA6" i="24"/>
  <c r="AB6" i="24" s="1"/>
  <c r="AC6" i="24" s="1"/>
  <c r="AD6" i="24" s="1"/>
  <c r="AE6" i="24" s="1"/>
  <c r="AF6" i="24" s="1"/>
  <c r="AG6" i="24" s="1"/>
  <c r="AH19" i="24"/>
  <c r="Z19" i="24"/>
  <c r="AA19" i="24" s="1"/>
  <c r="AB19" i="24" s="1"/>
  <c r="AC19" i="24" s="1"/>
  <c r="AD19" i="24" s="1"/>
  <c r="AE19" i="24" s="1"/>
  <c r="AF19" i="24" s="1"/>
  <c r="AG19" i="24" s="1"/>
  <c r="AH31" i="24"/>
  <c r="S31" i="24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63" i="24"/>
  <c r="O63" i="24"/>
  <c r="P63" i="24" s="1"/>
  <c r="Q63" i="24" s="1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S28" i="24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P52" i="24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/>
  <c r="M78" i="24"/>
  <c r="N78" i="24" s="1"/>
  <c r="O78" i="24" s="1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4" i="24"/>
  <c r="N74" i="24"/>
  <c r="O74" i="24" s="1"/>
  <c r="P74" i="24" s="1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5" i="24"/>
  <c r="N75" i="24"/>
  <c r="O75" i="24" s="1"/>
  <c r="P75" i="24" s="1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O59" i="24"/>
  <c r="P59" i="24" s="1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O64" i="24"/>
  <c r="P64" i="24" s="1"/>
  <c r="Q64" i="24" s="1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72" i="24"/>
  <c r="N72" i="24"/>
  <c r="O72" i="24" s="1"/>
  <c r="P72" i="24" s="1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81" i="24"/>
  <c r="M81" i="24"/>
  <c r="N81" i="24" s="1"/>
  <c r="O81" i="24" s="1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S7" i="24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/>
  <c r="K2" i="24"/>
  <c r="L4" i="24"/>
  <c r="O65" i="24"/>
  <c r="P65" i="24" s="1"/>
  <c r="Q65" i="24" s="1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/>
  <c r="S20" i="24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/>
  <c r="AH38" i="24"/>
  <c r="R38" i="24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55" i="24"/>
  <c r="Q55" i="24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18" i="24"/>
  <c r="S18" i="24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W42" i="24"/>
  <c r="X42" i="24" s="1"/>
  <c r="Y42" i="24" s="1"/>
  <c r="Z42" i="24" s="1"/>
  <c r="AA42" i="24" s="1"/>
  <c r="AB42" i="24" s="1"/>
  <c r="AC42" i="24" s="1"/>
  <c r="AD42" i="24" s="1"/>
  <c r="AE42" i="24" s="1"/>
  <c r="AF42" i="24" s="1"/>
  <c r="AG42" i="24" s="1"/>
  <c r="AH42" i="24"/>
  <c r="N73" i="24"/>
  <c r="O73" i="24" s="1"/>
  <c r="P73" i="24" s="1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34" i="24"/>
  <c r="Y34" i="24"/>
  <c r="Z34" i="24" s="1"/>
  <c r="AA34" i="24" s="1"/>
  <c r="AB34" i="24" s="1"/>
  <c r="AC34" i="24" s="1"/>
  <c r="AD34" i="24" s="1"/>
  <c r="AE34" i="24" s="1"/>
  <c r="AF34" i="24" s="1"/>
  <c r="AG34" i="24" s="1"/>
  <c r="P50" i="24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/>
  <c r="AH58" i="24"/>
  <c r="P58" i="24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60" i="24"/>
  <c r="AH62" i="24"/>
  <c r="M84" i="24"/>
  <c r="N84" i="24" s="1"/>
  <c r="O84" i="24" s="1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/>
  <c r="AI2" i="24"/>
  <c r="AH45" i="24"/>
  <c r="Q45" i="24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70" i="24"/>
  <c r="N70" i="24"/>
  <c r="O70" i="24" s="1"/>
  <c r="P70" i="24" s="1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48" i="24"/>
  <c r="AH57" i="24"/>
  <c r="O57" i="24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N77" i="24"/>
  <c r="O77" i="24" s="1"/>
  <c r="P77" i="24" s="1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/>
  <c r="T44" i="24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/>
  <c r="O67" i="24"/>
  <c r="P67" i="24" s="1"/>
  <c r="Q67" i="24" s="1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82" i="24"/>
  <c r="M82" i="24"/>
  <c r="N82" i="24" s="1"/>
  <c r="O82" i="24" s="1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L85" i="24"/>
  <c r="M85" i="24" s="1"/>
  <c r="N85" i="24" s="1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49" i="24"/>
  <c r="Q49" i="24"/>
  <c r="R49" i="24" s="1"/>
  <c r="S49" i="24" s="1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P54" i="24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/>
  <c r="N76" i="24"/>
  <c r="O76" i="24" s="1"/>
  <c r="P76" i="24" s="1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/>
  <c r="K2" i="2"/>
  <c r="W2" i="27" l="1"/>
  <c r="X4" i="27"/>
  <c r="X2" i="27" s="1"/>
  <c r="N4" i="27"/>
  <c r="M2" i="27"/>
  <c r="AD2" i="26"/>
  <c r="AE2" i="26"/>
  <c r="M4" i="26"/>
  <c r="J2" i="26"/>
  <c r="K5" i="26"/>
  <c r="T5" i="25"/>
  <c r="J4" i="25"/>
  <c r="I2" i="25"/>
  <c r="L2" i="24"/>
  <c r="M4" i="24"/>
  <c r="B2" i="2"/>
  <c r="AO2" i="2"/>
  <c r="AN2" i="2"/>
  <c r="AM2" i="2"/>
  <c r="AL2" i="2"/>
  <c r="AK2" i="2"/>
  <c r="AJ2" i="2"/>
  <c r="AI2" i="2"/>
  <c r="AH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O2" i="2"/>
  <c r="M2" i="2"/>
  <c r="L2" i="2"/>
  <c r="J2" i="2"/>
  <c r="I2" i="2"/>
  <c r="H2" i="2"/>
  <c r="G2" i="2"/>
  <c r="F2" i="2"/>
  <c r="E2" i="2"/>
  <c r="D2" i="2"/>
  <c r="C2" i="2"/>
  <c r="A2" i="2"/>
  <c r="AG97" i="2"/>
  <c r="N2" i="27" l="1"/>
  <c r="O4" i="27"/>
  <c r="L5" i="26"/>
  <c r="K2" i="26"/>
  <c r="N4" i="26"/>
  <c r="U5" i="25"/>
  <c r="J2" i="25"/>
  <c r="K4" i="25"/>
  <c r="M2" i="24"/>
  <c r="N4" i="24"/>
  <c r="H4" i="23"/>
  <c r="H3" i="23"/>
  <c r="H2" i="23"/>
  <c r="I4" i="23"/>
  <c r="J4" i="23"/>
  <c r="I3" i="23"/>
  <c r="I2" i="23"/>
  <c r="P4" i="27" l="1"/>
  <c r="O2" i="27"/>
  <c r="O4" i="26"/>
  <c r="M5" i="26"/>
  <c r="L2" i="26"/>
  <c r="V5" i="25"/>
  <c r="K2" i="25"/>
  <c r="L4" i="25"/>
  <c r="O4" i="24"/>
  <c r="N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P4" i="24"/>
  <c r="O2" i="24"/>
  <c r="D8" i="21"/>
  <c r="C8" i="21"/>
  <c r="R4" i="27" l="1"/>
  <c r="Q2" i="27"/>
  <c r="O5" i="26"/>
  <c r="N2" i="26"/>
  <c r="Q4" i="26"/>
  <c r="X5" i="25"/>
  <c r="N4" i="25"/>
  <c r="M2" i="25"/>
  <c r="Q4" i="24"/>
  <c r="P2" i="24"/>
  <c r="E8" i="21"/>
  <c r="S4" i="27" l="1"/>
  <c r="R2" i="27"/>
  <c r="P5" i="26"/>
  <c r="O2" i="26"/>
  <c r="R4" i="26"/>
  <c r="Y5" i="25"/>
  <c r="N2" i="25"/>
  <c r="O4" i="25"/>
  <c r="Q2" i="24"/>
  <c r="R4" i="24"/>
  <c r="D7" i="20"/>
  <c r="C7" i="20"/>
  <c r="T4" i="27" l="1"/>
  <c r="T2" i="27" s="1"/>
  <c r="S2" i="27"/>
  <c r="Q5" i="26"/>
  <c r="P2" i="26"/>
  <c r="S4" i="26"/>
  <c r="P4" i="25"/>
  <c r="O2" i="25"/>
  <c r="R2" i="24"/>
  <c r="S4" i="24"/>
  <c r="E7" i="20"/>
  <c r="R5" i="26" l="1"/>
  <c r="Q2" i="26"/>
  <c r="T4" i="26"/>
  <c r="Q4" i="25"/>
  <c r="P2" i="25"/>
  <c r="T4" i="24"/>
  <c r="S2" i="24"/>
  <c r="C7" i="18"/>
  <c r="D7" i="18"/>
  <c r="S5" i="26" l="1"/>
  <c r="R2" i="26"/>
  <c r="U4" i="26"/>
  <c r="Q2" i="25"/>
  <c r="R4" i="25"/>
  <c r="U4" i="24"/>
  <c r="T2" i="24"/>
  <c r="E7" i="18"/>
  <c r="T5" i="26" l="1"/>
  <c r="S2" i="26"/>
  <c r="V4" i="26"/>
  <c r="S4" i="25"/>
  <c r="R2" i="25"/>
  <c r="V4" i="24"/>
  <c r="U2" i="24"/>
  <c r="D7" i="17"/>
  <c r="C7" i="17"/>
  <c r="W4" i="26" l="1"/>
  <c r="X4" i="26" s="1"/>
  <c r="Y4" i="26" s="1"/>
  <c r="U5" i="26"/>
  <c r="T2" i="26"/>
  <c r="T4" i="25"/>
  <c r="S2" i="25"/>
  <c r="W4" i="24"/>
  <c r="V2" i="24"/>
  <c r="E7" i="17"/>
  <c r="Z4" i="26" l="1"/>
  <c r="V5" i="26"/>
  <c r="U2" i="26"/>
  <c r="U4" i="25"/>
  <c r="T2" i="25"/>
  <c r="W2" i="24"/>
  <c r="X4" i="24"/>
  <c r="C7" i="16"/>
  <c r="D7" i="16"/>
  <c r="AA4" i="26" l="1"/>
  <c r="W5" i="26"/>
  <c r="V2" i="26"/>
  <c r="V4" i="25"/>
  <c r="U2" i="25"/>
  <c r="Y4" i="24"/>
  <c r="X2" i="24"/>
  <c r="E7" i="16"/>
  <c r="AB4" i="26" l="1"/>
  <c r="X5" i="26"/>
  <c r="W2" i="26"/>
  <c r="W4" i="25"/>
  <c r="V2" i="25"/>
  <c r="Z4" i="24"/>
  <c r="Y2" i="24"/>
  <c r="C6" i="15"/>
  <c r="D6" i="15"/>
  <c r="X2" i="26" l="1"/>
  <c r="Y5" i="26"/>
  <c r="X4" i="25"/>
  <c r="W2" i="25"/>
  <c r="AA4" i="24"/>
  <c r="Z2" i="24"/>
  <c r="E6" i="15"/>
  <c r="Z5" i="26" l="1"/>
  <c r="Y2" i="26"/>
  <c r="Y4" i="25"/>
  <c r="Y2" i="25" s="1"/>
  <c r="X2" i="25"/>
  <c r="AB4" i="24"/>
  <c r="AH4" i="24"/>
  <c r="AH2" i="24" s="1"/>
  <c r="AA2" i="24"/>
  <c r="D7" i="14"/>
  <c r="D11" i="14" s="1"/>
  <c r="C11" i="14"/>
  <c r="AA5" i="26" l="1"/>
  <c r="Z2" i="26"/>
  <c r="AC4" i="24"/>
  <c r="AB2" i="24"/>
  <c r="E11" i="14"/>
  <c r="AB5" i="26" l="1"/>
  <c r="AB2" i="26" s="1"/>
  <c r="AA2" i="26"/>
  <c r="AC2" i="24"/>
  <c r="AD4" i="24"/>
  <c r="D11" i="12"/>
  <c r="C11" i="12"/>
  <c r="AD2" i="24" l="1"/>
  <c r="AE4" i="24"/>
  <c r="E11" i="12"/>
  <c r="F11" i="12" s="1"/>
  <c r="AE2" i="24" l="1"/>
  <c r="AF4" i="24"/>
  <c r="P11" i="2"/>
  <c r="P13" i="2"/>
  <c r="N6" i="2"/>
  <c r="N5" i="2"/>
  <c r="N4" i="2"/>
  <c r="AF2" i="24" l="1"/>
  <c r="AG4" i="24"/>
  <c r="AG2" i="24" s="1"/>
  <c r="N2" i="2"/>
  <c r="P2" i="2"/>
  <c r="F21" i="8" l="1"/>
  <c r="AG7" i="2" l="1"/>
  <c r="AG14" i="2" l="1"/>
  <c r="D7" i="7" l="1"/>
  <c r="AG9" i="2" l="1"/>
  <c r="F9" i="8"/>
  <c r="D2" i="7" s="1"/>
  <c r="D13" i="7" l="1"/>
  <c r="D14" i="7" s="1"/>
  <c r="D5" i="7"/>
  <c r="D4" i="7"/>
  <c r="AG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G5" i="2" l="1"/>
  <c r="AG13" i="2" l="1"/>
  <c r="AG10" i="2" l="1"/>
  <c r="AG11" i="2" l="1"/>
  <c r="AG4" i="2" l="1"/>
  <c r="AG6" i="2"/>
  <c r="AG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E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M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R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L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M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I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<sst xmlns="http://schemas.openxmlformats.org/spreadsheetml/2006/main" count="3228" uniqueCount="1153">
  <si>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</si>
  <si>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</si>
  <si>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</si>
  <si>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</si>
  <si>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</si>
  <si>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</si>
  <si>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</si>
  <si>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</si>
  <si>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</si>
  <si>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</si>
  <si>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</si>
  <si>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</si>
  <si>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</si>
  <si>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</si>
  <si>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</si>
  <si>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</si>
  <si>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</si>
  <si>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</si>
  <si>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</si>
  <si>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</si>
  <si>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</si>
  <si>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</si>
  <si>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</si>
  <si>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</si>
  <si>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</si>
  <si>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</si>
  <si>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</si>
  <si>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</si>
  <si>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</si>
  <si>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</si>
  <si>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</si>
  <si>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</si>
  <si>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</si>
  <si>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</si>
  <si>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</si>
  <si>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</si>
  <si>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</si>
  <si>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</si>
  <si>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</si>
  <si>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</si>
  <si>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</si>
  <si>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</si>
  <si>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</si>
  <si>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</si>
  <si>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</si>
  <si>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</si>
  <si>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</si>
  <si>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</si>
  <si>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</si>
  <si>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</si>
  <si>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</si>
  <si>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</si>
  <si>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</si>
  <si>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</si>
  <si>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</si>
  <si>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</si>
  <si>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</si>
  <si>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</si>
  <si>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</si>
  <si>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</si>
  <si>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</si>
  <si>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</si>
  <si>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</si>
  <si>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</si>
  <si>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</si>
  <si>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</si>
  <si>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</si>
  <si>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</si>
  <si>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</si>
  <si>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</si>
  <si>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</si>
  <si>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</si>
  <si>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</si>
  <si>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</si>
  <si>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</si>
  <si>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</si>
  <si>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</si>
  <si>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</si>
  <si>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</si>
  <si>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</si>
  <si>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</si>
  <si>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</si>
  <si>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</si>
  <si>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</si>
  <si>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</si>
  <si>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</si>
  <si>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</si>
  <si>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</si>
  <si>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</si>
  <si>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</si>
  <si>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</si>
  <si>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</si>
  <si>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</si>
  <si>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</si>
  <si>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</si>
  <si>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</si>
  <si>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</si>
  <si>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</si>
  <si>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</si>
  <si>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</si>
  <si>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</si>
  <si>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</si>
  <si>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</si>
  <si>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</si>
  <si>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</si>
  <si>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</si>
  <si>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</si>
  <si>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</si>
  <si>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</si>
  <si>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</si>
  <si>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</si>
  <si>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</si>
  <si>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</si>
  <si>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</si>
  <si>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</si>
  <si>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</si>
  <si>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</si>
  <si>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</si>
  <si>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Nguyễn Thanh Hoàng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</si>
  <si>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</si>
  <si>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</si>
  <si>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</si>
  <si>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</si>
  <si>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</si>
  <si>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</si>
  <si>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</si>
  <si>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</si>
  <si>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</si>
  <si>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</si>
  <si>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</si>
  <si>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</si>
  <si>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</si>
  <si>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</si>
  <si>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</si>
  <si>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</si>
  <si>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</si>
  <si>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</si>
  <si>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</si>
  <si>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</si>
  <si>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</si>
  <si>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</si>
  <si>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</si>
  <si>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</si>
  <si>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</si>
  <si>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</si>
  <si>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</si>
  <si>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</si>
  <si>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</si>
  <si>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</si>
  <si>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</si>
  <si>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</si>
  <si>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</si>
  <si>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</si>
  <si>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</si>
  <si>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</si>
  <si>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</si>
  <si>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</si>
  <si>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</si>
  <si>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</si>
  <si>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</si>
  <si>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</si>
  <si>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</si>
  <si>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</si>
  <si>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</si>
  <si>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</si>
  <si>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</si>
  <si>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</si>
  <si>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</si>
  <si>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</si>
  <si>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</si>
  <si>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</si>
  <si>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</si>
  <si>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</si>
  <si>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</si>
  <si>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</si>
  <si>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</si>
  <si>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</si>
  <si>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</si>
  <si>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</si>
  <si>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</si>
  <si>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</si>
  <si>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</si>
  <si>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</si>
  <si>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</si>
  <si>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</si>
  <si>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</si>
  <si>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</si>
  <si>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</si>
  <si>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</si>
  <si>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</si>
  <si>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</si>
  <si>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</si>
  <si>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</si>
  <si>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</si>
  <si>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</si>
  <si>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</si>
  <si>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</si>
  <si>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</si>
  <si>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</si>
  <si>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</si>
  <si>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</si>
  <si>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</si>
  <si>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</si>
  <si>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</si>
  <si>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</si>
  <si>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</si>
  <si>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</si>
  <si>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</si>
  <si>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</si>
  <si>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</si>
  <si>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</si>
  <si>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</si>
  <si>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</si>
  <si>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</si>
  <si>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</si>
  <si>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</si>
  <si>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</si>
  <si>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</si>
  <si>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</si>
  <si>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</si>
  <si>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</si>
  <si>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</si>
  <si>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</si>
  <si>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</si>
  <si>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</si>
  <si>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</si>
  <si>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</si>
  <si>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</si>
  <si>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</si>
  <si>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</si>
  <si>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</si>
  <si>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</si>
  <si>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</si>
  <si>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</si>
  <si>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</si>
  <si>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</si>
  <si>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</si>
  <si>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</si>
  <si>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</si>
  <si>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</si>
  <si>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</si>
  <si>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</si>
  <si>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</si>
  <si>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</si>
  <si>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</si>
  <si>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</si>
  <si>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</si>
  <si>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</si>
  <si>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</si>
  <si>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</si>
  <si>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</si>
  <si>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</si>
  <si>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</si>
  <si>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</si>
  <si>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</si>
  <si>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</si>
  <si>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</si>
  <si>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</si>
  <si>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</si>
  <si>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</si>
  <si>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</si>
  <si>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</si>
  <si>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</si>
  <si>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</si>
  <si>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</si>
  <si>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</si>
  <si>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</si>
  <si>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</si>
  <si>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</si>
  <si>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</si>
  <si>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</si>
  <si>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</si>
  <si>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</si>
  <si>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</si>
  <si>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</si>
  <si>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</si>
  <si>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</si>
  <si>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</si>
  <si>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</si>
  <si>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</si>
  <si>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</si>
  <si>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</si>
  <si>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</si>
  <si>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</si>
  <si>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</si>
  <si>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</si>
  <si>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</si>
  <si>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</si>
  <si>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</si>
  <si>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</si>
  <si>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</si>
  <si>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</si>
  <si>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</si>
  <si>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</si>
  <si>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</si>
  <si>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</si>
  <si>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</si>
  <si>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</si>
  <si>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</si>
  <si>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</si>
  <si>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</si>
  <si>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</si>
  <si>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</si>
  <si>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</si>
  <si>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</si>
  <si>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</si>
  <si>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</si>
  <si>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</si>
  <si>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</si>
  <si>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</si>
  <si>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</si>
  <si>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</si>
  <si>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</si>
  <si>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</si>
  <si>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</si>
  <si>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</si>
  <si>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</si>
  <si>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</si>
  <si>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</si>
  <si>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</si>
  <si>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</si>
  <si>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</si>
  <si>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</si>
  <si>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</si>
  <si>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</si>
  <si>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</si>
  <si>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</si>
  <si>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</si>
  <si>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</si>
  <si>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</si>
  <si>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</si>
  <si>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</si>
  <si>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</si>
  <si>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</si>
  <si>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</si>
  <si>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</si>
  <si>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</si>
  <si>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</si>
  <si>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</si>
  <si>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</si>
  <si>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</si>
  <si>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</si>
  <si>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</si>
  <si>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</si>
  <si>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</si>
  <si>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</si>
  <si>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</si>
  <si>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</si>
  <si>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</si>
  <si>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</si>
  <si>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</si>
  <si>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</si>
  <si>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</si>
  <si>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</si>
  <si>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</si>
  <si>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</si>
  <si>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</si>
  <si>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</si>
  <si>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</si>
  <si>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</si>
  <si>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</si>
  <si>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</si>
  <si>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</si>
  <si>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</si>
  <si>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</si>
  <si>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</si>
  <si>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</si>
  <si>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</si>
  <si>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</si>
  <si>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</si>
  <si>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</si>
  <si>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</si>
  <si>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</si>
  <si>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</si>
  <si>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Nguyễn Phước Hưng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</si>
  <si>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</si>
  <si>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</si>
  <si>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</si>
  <si>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</si>
  <si>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</si>
  <si>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</si>
  <si>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</si>
  <si>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Phạm Tiến Mạnh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</si>
  <si>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</si>
  <si>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</si>
  <si>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</si>
  <si>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</si>
  <si>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</si>
  <si>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</si>
  <si>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</si>
  <si>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</si>
  <si>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</si>
  <si>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</si>
  <si>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</si>
  <si>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Nguyễn Thị Tuyết Hồng
Nguyễn Thị Tuyết Hà</t>
  </si>
  <si>
    <t>017003453071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</si>
  <si>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</si>
  <si>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</si>
  <si>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</si>
  <si>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</si>
  <si>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</si>
  <si>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</si>
  <si>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</si>
  <si>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</si>
  <si>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</si>
  <si>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</si>
  <si>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</si>
  <si>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</si>
  <si>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</si>
  <si>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</si>
  <si>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</si>
  <si>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</si>
  <si>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</si>
  <si>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</si>
  <si>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</si>
  <si>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</si>
  <si>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</si>
  <si>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</si>
  <si>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</si>
  <si>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</si>
  <si>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</si>
  <si>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</si>
  <si>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</si>
  <si>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</si>
  <si>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</si>
  <si>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</si>
  <si>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</si>
  <si>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</si>
  <si>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</si>
  <si>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</si>
  <si>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</si>
  <si>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</si>
  <si>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</si>
  <si>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</si>
  <si>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</si>
  <si>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</si>
  <si>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</si>
  <si>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</si>
  <si>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</si>
  <si>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</si>
  <si>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</si>
  <si>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</si>
  <si>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</si>
  <si>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</si>
  <si>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</si>
  <si>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</si>
  <si>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</si>
  <si>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</si>
  <si>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</si>
  <si>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</si>
  <si>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</si>
  <si>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</si>
  <si>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</si>
  <si>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</si>
  <si>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</si>
  <si>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</si>
  <si>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</si>
  <si>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</si>
  <si>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</si>
  <si>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</si>
  <si>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</si>
  <si>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</si>
  <si>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</si>
  <si>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</si>
  <si>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</si>
  <si>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</si>
  <si>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</si>
  <si>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</si>
  <si>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</si>
  <si>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</si>
  <si>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</si>
  <si>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</si>
  <si>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</si>
  <si>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</si>
  <si>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</si>
  <si>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</si>
  <si>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</si>
  <si>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</si>
  <si>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</si>
  <si>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</si>
  <si>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</si>
  <si>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</si>
  <si>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</si>
  <si>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</si>
  <si>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</si>
  <si>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</si>
  <si>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</si>
  <si>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</si>
  <si>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</si>
  <si>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</si>
  <si>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</si>
  <si>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</si>
  <si>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</si>
  <si>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</si>
  <si>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</si>
  <si>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</si>
  <si>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</si>
  <si>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</si>
  <si>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</si>
  <si>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</si>
  <si>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</si>
  <si>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</si>
  <si>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</si>
  <si>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</si>
  <si>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</si>
  <si>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</si>
  <si>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</si>
  <si>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</si>
  <si>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</si>
  <si>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</si>
  <si>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</si>
  <si>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</si>
  <si>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</si>
  <si>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</si>
  <si>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</si>
  <si>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</si>
  <si>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</si>
  <si>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</si>
  <si>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</si>
  <si>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</si>
  <si>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</si>
  <si>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</si>
  <si>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</si>
  <si>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</si>
  <si>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</si>
  <si>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</si>
  <si>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</si>
  <si>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</si>
  <si>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</si>
  <si>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</si>
  <si>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</si>
  <si>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</si>
  <si>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</si>
  <si>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</si>
  <si>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</si>
  <si>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</si>
  <si>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</si>
  <si>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</si>
  <si>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</si>
  <si>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</si>
  <si>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</si>
  <si>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</si>
  <si>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</si>
  <si>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</si>
  <si>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</si>
  <si>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</si>
  <si>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</si>
  <si>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</si>
  <si>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</si>
  <si>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</si>
  <si>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</si>
  <si>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</si>
  <si>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</si>
  <si>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</si>
  <si>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</si>
  <si>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</si>
  <si>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</si>
  <si>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</si>
  <si>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</si>
  <si>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</si>
  <si>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</si>
  <si>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</si>
  <si>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</si>
  <si>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</si>
  <si>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</si>
  <si>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</si>
  <si>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</si>
  <si>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</si>
  <si>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</si>
  <si>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</si>
  <si>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</si>
  <si>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</si>
  <si>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</si>
  <si>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</si>
  <si>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</si>
  <si>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</si>
  <si>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</si>
  <si>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</si>
  <si>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</si>
  <si>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</si>
  <si>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</si>
  <si>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</si>
  <si>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</si>
  <si>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</si>
  <si>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</si>
  <si>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</si>
  <si>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</si>
  <si>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</si>
  <si>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</si>
  <si>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</si>
  <si>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</si>
  <si>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</si>
  <si>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</si>
  <si>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</si>
  <si>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</si>
  <si>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</si>
  <si>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</si>
  <si>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</si>
  <si>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</si>
  <si>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</si>
  <si>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</si>
  <si>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</si>
  <si>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</si>
  <si>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</si>
  <si>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</si>
  <si>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</si>
  <si>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</si>
  <si>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</si>
  <si>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</si>
  <si>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</si>
  <si>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</si>
  <si>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</si>
  <si>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</si>
  <si>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</si>
  <si>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</si>
  <si>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</si>
  <si>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</si>
  <si>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</si>
  <si>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</si>
  <si>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</si>
  <si>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</si>
  <si>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</si>
  <si>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</si>
  <si>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</si>
  <si>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</si>
  <si>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</si>
  <si>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</si>
  <si>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</si>
  <si>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</si>
  <si>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</si>
  <si>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</si>
  <si>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</si>
  <si>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</si>
  <si>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</si>
  <si>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</si>
  <si>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</si>
  <si>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</si>
  <si>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</si>
  <si>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</si>
  <si>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</si>
  <si>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</si>
  <si>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</si>
  <si>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</si>
  <si>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</si>
  <si>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</si>
  <si>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</si>
  <si>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</si>
  <si>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</si>
  <si>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</si>
  <si>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</si>
  <si>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</si>
  <si>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</si>
  <si>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</si>
  <si>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</si>
  <si>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</si>
  <si>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</si>
  <si>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</si>
  <si>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</si>
  <si>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</si>
  <si>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</si>
  <si>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</si>
  <si>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</si>
  <si>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</si>
  <si>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</si>
  <si>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</si>
  <si>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</si>
  <si>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</si>
  <si>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</si>
  <si>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</si>
  <si>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</si>
  <si>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</si>
  <si>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</si>
  <si>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</si>
  <si>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</si>
  <si>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</si>
  <si>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</si>
  <si>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</si>
  <si>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</si>
  <si>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</si>
  <si>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</si>
  <si>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</si>
  <si>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</si>
  <si>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</si>
  <si>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</si>
  <si>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</si>
  <si>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</si>
  <si>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</si>
  <si>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</si>
  <si>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</si>
  <si>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</si>
  <si>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</si>
  <si>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</si>
  <si>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</si>
  <si>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</si>
  <si>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</si>
  <si>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</si>
  <si>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</si>
  <si>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</si>
  <si>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</si>
  <si>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</si>
  <si>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</si>
  <si>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</si>
  <si>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</si>
  <si>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</si>
  <si>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</si>
  <si>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</si>
  <si>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</si>
  <si>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</si>
  <si>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</si>
  <si>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</si>
  <si>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</si>
  <si>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</si>
  <si>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</si>
  <si>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</si>
  <si>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</si>
  <si>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</si>
  <si>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</si>
  <si>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</si>
  <si>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</si>
  <si>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</si>
  <si>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</si>
  <si>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</si>
  <si>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</si>
  <si>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</si>
  <si>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</si>
  <si>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</si>
  <si>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</si>
  <si>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</si>
  <si>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</si>
  <si>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</si>
  <si>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</si>
  <si>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</si>
  <si>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</si>
  <si>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</si>
  <si>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</si>
  <si>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</si>
  <si>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</si>
  <si>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</si>
  <si>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</si>
  <si>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</si>
  <si>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</si>
  <si>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</si>
  <si>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</si>
  <si>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</si>
  <si>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</si>
  <si>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</si>
  <si>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</si>
  <si>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</si>
  <si>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</si>
  <si>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</si>
  <si>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</si>
  <si>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</si>
  <si>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</si>
  <si>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</si>
  <si>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</si>
  <si>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</si>
  <si>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</si>
  <si>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</si>
  <si>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</si>
  <si>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</si>
  <si>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</si>
  <si>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</si>
  <si>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</si>
  <si>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</si>
  <si>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</si>
  <si>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</si>
  <si>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</si>
  <si>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</si>
  <si>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</si>
  <si>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</si>
  <si>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</si>
  <si>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</si>
  <si>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</si>
  <si>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</si>
  <si>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</si>
  <si>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</si>
  <si>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</si>
  <si>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</si>
  <si>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</si>
  <si>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</si>
  <si>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</si>
  <si>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</si>
  <si>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</si>
  <si>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</si>
  <si>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</si>
  <si>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</si>
  <si>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</si>
  <si>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</si>
  <si>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</si>
  <si>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</si>
  <si>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</si>
  <si>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</si>
  <si>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</si>
  <si>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</si>
  <si>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</si>
  <si>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</si>
  <si>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</si>
  <si>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</si>
  <si>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</si>
  <si>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</si>
  <si>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</si>
  <si>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</si>
  <si>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</si>
  <si>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</si>
  <si>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</si>
  <si>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</si>
  <si>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</si>
  <si>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</si>
  <si>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</si>
  <si>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</si>
  <si>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</si>
  <si>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</si>
  <si>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</si>
  <si>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</si>
  <si>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</si>
  <si>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</si>
  <si>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</si>
  <si>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</si>
  <si>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</si>
  <si>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</si>
  <si>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</si>
  <si>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</si>
  <si>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</si>
  <si>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</si>
  <si>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</si>
  <si>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</si>
  <si>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</si>
  <si>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</si>
  <si>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</si>
  <si>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</si>
  <si>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</si>
  <si>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</si>
  <si>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</si>
  <si>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</si>
  <si>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</si>
  <si>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</si>
  <si>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</si>
  <si>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</si>
  <si>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</si>
  <si>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</si>
  <si>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</si>
  <si>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</si>
  <si>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</si>
  <si>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</si>
  <si>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</si>
  <si>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</si>
  <si>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</si>
  <si>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</si>
  <si>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</si>
  <si>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</si>
  <si>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</si>
  <si>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</si>
  <si>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</si>
  <si>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</si>
  <si>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</si>
  <si>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</si>
  <si>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</si>
  <si>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</si>
  <si>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</si>
  <si>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</si>
  <si>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</si>
  <si>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</si>
  <si>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</si>
  <si>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</si>
  <si>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</si>
  <si>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</si>
  <si>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</si>
  <si>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</si>
  <si>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</si>
  <si>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</si>
  <si>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</si>
  <si>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</si>
  <si>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</si>
  <si>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</si>
  <si>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</si>
  <si>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</si>
  <si>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</si>
  <si>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</si>
  <si>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</si>
  <si>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</si>
  <si>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</si>
  <si>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</si>
  <si>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</si>
  <si>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</si>
  <si>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</si>
  <si>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</si>
  <si>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</si>
  <si>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</si>
  <si>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</si>
  <si>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</si>
  <si>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</si>
  <si>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</si>
  <si>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</si>
  <si>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</si>
  <si>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</si>
  <si>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</si>
  <si>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</si>
  <si>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</si>
  <si>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</si>
  <si>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</si>
  <si>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</si>
  <si>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</si>
  <si>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c</t>
  </si>
  <si>
    <t>SMC</t>
  </si>
  <si>
    <t>Viettel</t>
  </si>
  <si>
    <t>Vina</t>
  </si>
  <si>
    <t>Có</t>
  </si>
  <si>
    <t>có</t>
  </si>
  <si>
    <t>Chưa update</t>
  </si>
  <si>
    <t>không cần trả</t>
  </si>
  <si>
    <t>Chị Nga_0975014207</t>
  </si>
  <si>
    <t>Anh Quế_0373839678</t>
  </si>
  <si>
    <t>Anh Khoa</t>
  </si>
  <si>
    <t>A Dũng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</si>
  <si>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</si>
  <si>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</si>
  <si>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</si>
  <si>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</si>
  <si>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</si>
  <si>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</si>
  <si>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</si>
  <si>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</si>
  <si>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</si>
  <si>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A Trí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</si>
  <si>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</si>
  <si>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</si>
  <si>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</si>
  <si>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</si>
  <si>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</si>
  <si>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</si>
  <si>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</si>
  <si>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</si>
  <si>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</si>
  <si>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</si>
  <si>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</si>
  <si>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</si>
  <si>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</si>
  <si>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</si>
  <si>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</si>
  <si>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</si>
  <si>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</si>
  <si>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</si>
  <si>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</si>
  <si>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</si>
  <si>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</si>
  <si>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</si>
  <si>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</si>
  <si>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</si>
  <si>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</si>
  <si>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</si>
  <si>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</si>
  <si>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</si>
  <si>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</si>
  <si>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</si>
  <si>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</si>
  <si>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</si>
  <si>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</si>
  <si>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</si>
  <si>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Cũ: 19022625139011
Mới: 2663 8383 838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</si>
  <si>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</si>
  <si>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</si>
  <si>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</si>
  <si>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</si>
  <si>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</si>
  <si>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</si>
  <si>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</si>
  <si>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</si>
  <si>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</si>
  <si>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</si>
  <si>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</si>
  <si>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</si>
  <si>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</si>
  <si>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</si>
  <si>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</si>
  <si>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</si>
  <si>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</si>
  <si>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</si>
  <si>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</si>
  <si>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</si>
  <si>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</si>
  <si>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</si>
  <si>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</si>
  <si>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</si>
  <si>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</si>
  <si>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</si>
  <si>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</si>
  <si>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</si>
  <si>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</si>
  <si>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</si>
  <si>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</si>
  <si>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</si>
  <si>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</si>
  <si>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</si>
  <si>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</si>
  <si>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</si>
  <si>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</si>
  <si>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</si>
  <si>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</si>
  <si>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</si>
  <si>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</si>
  <si>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</si>
  <si>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</si>
  <si>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</si>
  <si>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</si>
  <si>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</si>
  <si>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</si>
  <si>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</si>
  <si>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</si>
  <si>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</si>
  <si>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</si>
  <si>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</si>
  <si>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</si>
  <si>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</si>
  <si>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</si>
  <si>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</si>
  <si>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</si>
  <si>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</si>
  <si>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</si>
  <si>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</si>
  <si>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</si>
  <si>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</si>
  <si>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</si>
  <si>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</si>
  <si>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</si>
  <si>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</si>
  <si>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</si>
  <si>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</si>
  <si>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</si>
  <si>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</si>
  <si>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</si>
  <si>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</si>
  <si>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</si>
  <si>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</si>
  <si>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</si>
  <si>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</si>
  <si>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</si>
  <si>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</si>
  <si>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</si>
  <si>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</si>
  <si>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</si>
  <si>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</si>
  <si>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</si>
  <si>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</si>
  <si>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</si>
  <si>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</si>
  <si>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</si>
  <si>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</si>
  <si>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</si>
  <si>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</si>
  <si>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</si>
  <si>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</si>
  <si>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</si>
  <si>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</si>
  <si>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</si>
  <si>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</si>
  <si>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</si>
  <si>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</si>
  <si>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</si>
  <si>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</si>
  <si>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</si>
  <si>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</si>
  <si>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</si>
  <si>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</si>
  <si>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</si>
  <si>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</si>
  <si>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</si>
  <si>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</si>
  <si>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</si>
  <si>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</si>
  <si>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</si>
  <si>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</si>
  <si>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</si>
  <si>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</si>
  <si>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</si>
  <si>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</si>
  <si>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</si>
  <si>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</si>
  <si>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</si>
  <si>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</si>
  <si>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</si>
  <si>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</si>
  <si>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</si>
  <si>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</si>
  <si>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</si>
  <si>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</si>
  <si>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</si>
  <si>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</si>
  <si>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</si>
  <si>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</si>
  <si>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</si>
  <si>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</si>
  <si>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</si>
  <si>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</si>
  <si>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</si>
  <si>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</si>
  <si>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</si>
  <si>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</si>
  <si>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</si>
  <si>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</si>
  <si>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</si>
  <si>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</si>
  <si>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</si>
  <si>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</si>
  <si>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</si>
  <si>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</si>
  <si>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</si>
  <si>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</si>
  <si>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</si>
  <si>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</si>
  <si>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</si>
  <si>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</si>
  <si>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</si>
  <si>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</si>
  <si>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</si>
  <si>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</si>
  <si>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</si>
  <si>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</si>
  <si>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</si>
  <si>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</si>
  <si>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</si>
  <si>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</si>
  <si>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</si>
  <si>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</si>
  <si>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</si>
  <si>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</si>
  <si>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</si>
  <si>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</si>
  <si>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</si>
  <si>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</si>
  <si>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</si>
  <si>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</si>
  <si>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</si>
  <si>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</si>
  <si>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</si>
  <si>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</si>
  <si>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</si>
  <si>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</si>
  <si>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</si>
  <si>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</si>
  <si>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</si>
  <si>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</si>
  <si>
    <t>Thửa đất số 700, Tờ BĐ số 24, Xã Hòa Phú, Củ Chi, TPHCM</t>
  </si>
  <si>
    <t>Lê Trí Dũng</t>
  </si>
  <si>
    <t>1010119784009</t>
  </si>
  <si>
    <t>S1167 -VT/DKV/2023</t>
  </si>
  <si>
    <t>SGN1680</t>
  </si>
  <si>
    <t>Thửa đất số 611, Tờ số bản đồ số 41, địa chỉ: 85/1A đường Đông Thạnh 4-2, Xã Đông Thạnh, TP Hồ Chí Minh</t>
  </si>
  <si>
    <t>Nguyễn Thị Lệ Thủy</t>
  </si>
  <si>
    <t>245343459</t>
  </si>
  <si>
    <t>ACB Bank</t>
  </si>
  <si>
    <t>S1680 -VT/DKV/2025</t>
  </si>
  <si>
    <t>Tái ký, tt từ 01012026</t>
  </si>
  <si>
    <t>SGN0339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</si>
</sst>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9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64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2" borderId="1" xfId="0" quotePrefix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14" fontId="1" fillId="0" borderId="3" xfId="0" quotePrefix="1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0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_2021\_OK_Company_ok\_Theo%20doi%20H&#272;%20&#273;&#227;%20thu&#234;\Theo%20doi%20chi%20tiet%20H&#272;%20da%20thue_28032026.xlsx" TargetMode="External"/><Relationship Id="rId1" Type="http://schemas.openxmlformats.org/officeDocument/2006/relationships/externalLinkPath" Target="/_2021/_OK_Company_ok/_Theo%20doi%20H&#272;%20&#273;&#227;%20thu&#234;/Theo%20doi%20chi%20tiet%20H&#272;%20da%20thue_2803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eo dõi HĐ_Chi tiết"/>
      <sheetName val="Theo doi Thanh toan chu nha"/>
      <sheetName val="Viettel Thanh toán"/>
      <sheetName val="Vina Thanh toán"/>
      <sheetName val="Mobi thanh toán"/>
      <sheetName val="Tính tiền đóng"/>
      <sheetName val="Sheet3"/>
      <sheetName val="Sheet4"/>
      <sheetName val="Sheet5"/>
      <sheetName val="TT tien dien ke"/>
      <sheetName val="Sheet6"/>
      <sheetName val="Sheet7"/>
      <sheetName val="Sheet8"/>
      <sheetName val="Sheet9"/>
      <sheetName val="Doanh thu &amp; Chi phí_tháng"/>
      <sheetName val="Trạm đã thanh toán Đông Dương"/>
      <sheetName val="Tính chi phí"/>
      <sheetName val="Dulich"/>
      <sheetName val="DS tặng quà tết"/>
      <sheetName val="Phân công"/>
      <sheetName val="DS chủ nhà nok_Tham khảo"/>
      <sheetName val="Sheet2"/>
      <sheetName val="Báo giá DD"/>
      <sheetName val="Sheet1"/>
    </sheetNames>
    <sheetDataSet>
      <sheetData sheetId="0">
        <row r="1">
          <cell r="B1" t="str">
            <v>Mã trạm</v>
          </cell>
          <cell r="C1" t="str">
            <v>Q/H</v>
          </cell>
          <cell r="D1" t="str">
            <v>Long thuê</v>
          </cell>
          <cell r="E1" t="str">
            <v>Lat thuê</v>
          </cell>
          <cell r="F1" t="str">
            <v>Địa chỉ</v>
          </cell>
          <cell r="G1" t="str">
            <v>Viettel</v>
          </cell>
          <cell r="H1" t="str">
            <v>Vina</v>
          </cell>
          <cell r="I1" t="str">
            <v>Mobi</v>
          </cell>
          <cell r="J1" t="str">
            <v>Ngày ký HĐ Chủ nhà_trên HĐ</v>
          </cell>
          <cell r="K1" t="str">
            <v>Ngày hết hạn HĐ</v>
          </cell>
          <cell r="L1" t="str">
            <v>Tiến độ xây_12092022</v>
          </cell>
          <cell r="M1" t="str">
            <v>Ngày ký HĐ Viettel</v>
          </cell>
          <cell r="N1" t="str">
            <v>Ngày Viettel nhận BGMB</v>
          </cell>
          <cell r="O1" t="str">
            <v>Ngày Viettel PS</v>
          </cell>
          <cell r="P1" t="str">
            <v>Ngày Viettel Thanh toán lần đầu</v>
          </cell>
          <cell r="Q1" t="str">
            <v>Ngày ký HĐ ViNa</v>
          </cell>
          <cell r="R1" t="str">
            <v>Ngày ViNa nhận BGMB</v>
          </cell>
          <cell r="S1" t="str">
            <v>Ngày ViNa PS</v>
          </cell>
          <cell r="T1" t="str">
            <v>Ngày ViNa Thanh toán lần đầu</v>
          </cell>
          <cell r="U1" t="str">
            <v>Ngày ký HĐ Mobi</v>
          </cell>
          <cell r="V1" t="str">
            <v>Ngày Mobi nhận BGMB</v>
          </cell>
          <cell r="W1" t="str">
            <v>Ngày Mobi PS</v>
          </cell>
          <cell r="X1" t="str">
            <v>Ngày Mobi Thanh toán lần đầu</v>
          </cell>
          <cell r="Y1" t="str">
            <v>Chủ nhà + SĐT</v>
          </cell>
          <cell r="Z1" t="str">
            <v>giá thuê chủ nhà</v>
          </cell>
          <cell r="AA1" t="str">
            <v>giá báo chị Trang</v>
          </cell>
          <cell r="AB1" t="str">
            <v>Giá Viettel Thuê</v>
          </cell>
          <cell r="AC1" t="str">
            <v>Giá MB thuê</v>
          </cell>
          <cell r="AD1" t="str">
            <v>Giá Vina thuê</v>
          </cell>
          <cell r="AE1" t="str">
            <v>Tgian thanh toán chủ nhà lần đầu</v>
          </cell>
          <cell r="AF1" t="str">
            <v>chu kỳ thanh toán cho chủ nhà</v>
          </cell>
        </row>
        <row r="2">
          <cell r="B2">
            <v>99</v>
          </cell>
          <cell r="C2">
            <v>99</v>
          </cell>
          <cell r="D2">
            <v>99</v>
          </cell>
          <cell r="E2">
            <v>99</v>
          </cell>
          <cell r="F2">
            <v>99</v>
          </cell>
          <cell r="G2">
            <v>99</v>
          </cell>
          <cell r="H2">
            <v>99</v>
          </cell>
          <cell r="I2">
            <v>99</v>
          </cell>
          <cell r="J2">
            <v>99</v>
          </cell>
          <cell r="K2">
            <v>99</v>
          </cell>
          <cell r="L2">
            <v>38</v>
          </cell>
          <cell r="M2">
            <v>35</v>
          </cell>
          <cell r="N2">
            <v>23</v>
          </cell>
          <cell r="O2">
            <v>6</v>
          </cell>
          <cell r="P2">
            <v>17</v>
          </cell>
          <cell r="Q2">
            <v>2</v>
          </cell>
          <cell r="R2">
            <v>3</v>
          </cell>
          <cell r="S2">
            <v>2</v>
          </cell>
          <cell r="T2">
            <v>1</v>
          </cell>
          <cell r="U2">
            <v>1</v>
          </cell>
          <cell r="V2">
            <v>0</v>
          </cell>
          <cell r="W2">
            <v>0</v>
          </cell>
          <cell r="X2">
            <v>1</v>
          </cell>
          <cell r="Y2">
            <v>99</v>
          </cell>
          <cell r="Z2">
            <v>99</v>
          </cell>
          <cell r="AA2">
            <v>43</v>
          </cell>
          <cell r="AB2">
            <v>99</v>
          </cell>
          <cell r="AC2">
            <v>97</v>
          </cell>
          <cell r="AD2">
            <v>97</v>
          </cell>
          <cell r="AE2">
            <v>59</v>
          </cell>
          <cell r="AF2">
            <v>99</v>
          </cell>
        </row>
        <row r="3">
          <cell r="B3" t="str">
            <v>filter</v>
          </cell>
          <cell r="C3" t="str">
            <v>filter</v>
          </cell>
          <cell r="D3" t="str">
            <v>filter</v>
          </cell>
          <cell r="E3" t="str">
            <v>filter</v>
          </cell>
          <cell r="F3" t="str">
            <v>filter</v>
          </cell>
          <cell r="G3" t="str">
            <v>filter</v>
          </cell>
          <cell r="H3" t="str">
            <v>filter</v>
          </cell>
          <cell r="I3" t="str">
            <v>filter</v>
          </cell>
          <cell r="J3" t="str">
            <v>filter</v>
          </cell>
          <cell r="K3" t="str">
            <v>filter</v>
          </cell>
          <cell r="L3" t="str">
            <v>filter</v>
          </cell>
          <cell r="M3" t="str">
            <v>filter</v>
          </cell>
          <cell r="N3" t="str">
            <v>filter</v>
          </cell>
          <cell r="O3" t="str">
            <v>filter</v>
          </cell>
          <cell r="P3" t="str">
            <v>filter</v>
          </cell>
          <cell r="Q3" t="str">
            <v>filter</v>
          </cell>
          <cell r="R3" t="str">
            <v>filter</v>
          </cell>
          <cell r="S3" t="str">
            <v>filter</v>
          </cell>
          <cell r="T3" t="str">
            <v>filter</v>
          </cell>
          <cell r="U3" t="str">
            <v>filter</v>
          </cell>
          <cell r="V3" t="str">
            <v>filter</v>
          </cell>
          <cell r="W3" t="str">
            <v>filter</v>
          </cell>
          <cell r="X3" t="str">
            <v>filter</v>
          </cell>
          <cell r="Y3" t="str">
            <v>filter</v>
          </cell>
          <cell r="Z3" t="str">
            <v>filter</v>
          </cell>
          <cell r="AA3" t="str">
            <v>filter</v>
          </cell>
          <cell r="AB3" t="str">
            <v>filter</v>
          </cell>
          <cell r="AE3" t="str">
            <v>filter</v>
          </cell>
          <cell r="AF3" t="str">
            <v>filter</v>
          </cell>
        </row>
        <row r="4">
          <cell r="B4" t="str">
            <v>HCM4597</v>
          </cell>
          <cell r="C4" t="str">
            <v>H.Hóc Môn</v>
          </cell>
          <cell r="D4">
            <v>106.60143100000001</v>
          </cell>
          <cell r="E4">
            <v>10.829214</v>
          </cell>
          <cell r="F4" t="str">
            <v>58/15E ấp Tiền Lân 1 Bà Điểm Hóc Môn</v>
          </cell>
          <cell r="G4" t="str">
            <v>Macro</v>
          </cell>
          <cell r="H4" t="str">
            <v>Có</v>
          </cell>
          <cell r="I4" t="str">
            <v>Có</v>
          </cell>
          <cell r="J4">
            <v>44525</v>
          </cell>
          <cell r="K4">
            <v>46350</v>
          </cell>
          <cell r="L4" t="str">
            <v>OK Vtel Mbi VN</v>
          </cell>
          <cell r="M4">
            <v>44540</v>
          </cell>
          <cell r="N4">
            <v>44564</v>
          </cell>
          <cell r="P4">
            <v>44594</v>
          </cell>
          <cell r="Y4" t="str">
            <v>Nguyễn Phùng Thành_0983590176</v>
          </cell>
          <cell r="Z4">
            <v>5000000</v>
          </cell>
          <cell r="AA4">
            <v>7000000</v>
          </cell>
          <cell r="AB4">
            <v>8300000</v>
          </cell>
          <cell r="AC4">
            <v>5500000</v>
          </cell>
          <cell r="AD4">
            <v>5500000</v>
          </cell>
          <cell r="AE4" t="str">
            <v>2/1/2022</v>
          </cell>
          <cell r="AF4" t="str">
            <v>3 tháng</v>
          </cell>
          <cell r="AG4">
            <v>44683</v>
          </cell>
          <cell r="AH4" t="str">
            <v>221954599</v>
          </cell>
          <cell r="AI4" t="str">
            <v>Nguyễn Phùng Thành</v>
          </cell>
          <cell r="AJ4" t="str">
            <v xml:space="preserve">Ngân hàng VP Bank </v>
          </cell>
          <cell r="AK4" t="str">
            <v>4597-VT/DKV/2021</v>
          </cell>
        </row>
        <row r="5">
          <cell r="B5" t="str">
            <v>SGN0362</v>
          </cell>
          <cell r="C5" t="str">
            <v>H.Hóc Môn</v>
          </cell>
          <cell r="D5">
            <v>106.602969</v>
          </cell>
          <cell r="E5">
            <v>10.871297</v>
          </cell>
          <cell r="F5" t="str">
            <v>37/2C ấp Mỹ Hòa 3 xã Tân Xuân huyện Hóc Môn</v>
          </cell>
          <cell r="G5" t="str">
            <v>Macro</v>
          </cell>
          <cell r="H5" t="str">
            <v>Có</v>
          </cell>
          <cell r="I5" t="str">
            <v>Không có</v>
          </cell>
          <cell r="J5">
            <v>44528</v>
          </cell>
          <cell r="K5">
            <v>46353</v>
          </cell>
          <cell r="L5" t="str">
            <v>OK Viettel, Vina k cần tủ</v>
          </cell>
          <cell r="M5">
            <v>44545</v>
          </cell>
          <cell r="N5">
            <v>44564</v>
          </cell>
          <cell r="P5">
            <v>44594</v>
          </cell>
          <cell r="Y5" t="str">
            <v>Hoàng Đình Cường_0938200908</v>
          </cell>
          <cell r="Z5">
            <v>5000000</v>
          </cell>
          <cell r="AA5">
            <v>6000000</v>
          </cell>
          <cell r="AB5">
            <v>8900000</v>
          </cell>
          <cell r="AC5">
            <v>0</v>
          </cell>
          <cell r="AD5">
            <v>4943400</v>
          </cell>
          <cell r="AE5" t="str">
            <v>12/05/2021</v>
          </cell>
          <cell r="AF5" t="str">
            <v>3 tháng</v>
          </cell>
          <cell r="AG5">
            <v>44626</v>
          </cell>
          <cell r="AH5" t="str">
            <v xml:space="preserve">0071004454681 </v>
          </cell>
          <cell r="AI5" t="str">
            <v>Hoàng Đình Cường</v>
          </cell>
          <cell r="AJ5" t="str">
            <v>Ngân hàng VietcomBank CN TPHCM</v>
          </cell>
          <cell r="AK5" t="str">
            <v>0362-VT/DKV/2021</v>
          </cell>
        </row>
        <row r="6">
          <cell r="B6" t="str">
            <v>SGN0008</v>
          </cell>
          <cell r="C6" t="str">
            <v>H.Hóc Môn</v>
          </cell>
          <cell r="D6">
            <v>106.585566</v>
          </cell>
          <cell r="E6">
            <v>10.872354</v>
          </cell>
          <cell r="F6" t="str">
            <v>9/9D ấp Xuân Thới Đông 1 xã Xuân Thới Đông Hóc Môn</v>
          </cell>
          <cell r="G6" t="str">
            <v>Macro</v>
          </cell>
          <cell r="H6" t="str">
            <v>Không có</v>
          </cell>
          <cell r="I6" t="str">
            <v>Không có</v>
          </cell>
          <cell r="J6">
            <v>44526</v>
          </cell>
          <cell r="K6">
            <v>46351</v>
          </cell>
          <cell r="L6" t="str">
            <v>hoàn thành</v>
          </cell>
          <cell r="M6">
            <v>44576</v>
          </cell>
          <cell r="N6">
            <v>44648</v>
          </cell>
          <cell r="P6">
            <v>44678</v>
          </cell>
          <cell r="Y6" t="str">
            <v>Nguyễn Chí Công_0918398477</v>
          </cell>
          <cell r="Z6">
            <v>5250000</v>
          </cell>
          <cell r="AA6">
            <v>6250000</v>
          </cell>
          <cell r="AB6">
            <v>8300000</v>
          </cell>
          <cell r="AC6">
            <v>0</v>
          </cell>
          <cell r="AD6">
            <v>0</v>
          </cell>
          <cell r="AE6" t="str">
            <v>03/15/2022</v>
          </cell>
          <cell r="AF6" t="str">
            <v>3 tháng</v>
          </cell>
          <cell r="AG6">
            <v>44725</v>
          </cell>
          <cell r="AH6" t="str">
            <v>915049911500001</v>
          </cell>
          <cell r="AI6" t="str">
            <v>Nguyễn Chí Công</v>
          </cell>
          <cell r="AJ6" t="str">
            <v>Ngân hàng TMCP Nam Á – Chi nhánh Trường Chinh</v>
          </cell>
          <cell r="AK6" t="str">
            <v>0008-VT/DKV/2021</v>
          </cell>
        </row>
        <row r="7">
          <cell r="B7" t="str">
            <v>HCM0643-11, SGN0754-11</v>
          </cell>
          <cell r="C7" t="str">
            <v>Q.Bình Thạnh</v>
          </cell>
          <cell r="D7">
            <v>106.72041900000001</v>
          </cell>
          <cell r="E7">
            <v>10.799635</v>
          </cell>
          <cell r="F7" t="str">
            <v>649/27/11 Điện Biên Phủ P25 Bình Thạnh</v>
          </cell>
          <cell r="G7" t="str">
            <v>RRU</v>
          </cell>
          <cell r="H7" t="str">
            <v>Không có</v>
          </cell>
          <cell r="I7" t="str">
            <v>Không có</v>
          </cell>
          <cell r="J7">
            <v>44530</v>
          </cell>
          <cell r="K7">
            <v>46355</v>
          </cell>
          <cell r="L7" t="str">
            <v>hoàn thành</v>
          </cell>
          <cell r="M7">
            <v>44576</v>
          </cell>
          <cell r="N7">
            <v>44600</v>
          </cell>
          <cell r="P7">
            <v>44630</v>
          </cell>
          <cell r="Y7" t="str">
            <v>Nguyễn Tuấn Khanh_0913883886</v>
          </cell>
          <cell r="Z7">
            <v>4000000</v>
          </cell>
          <cell r="AA7">
            <v>4500000</v>
          </cell>
          <cell r="AB7">
            <v>6300000</v>
          </cell>
          <cell r="AC7">
            <v>0</v>
          </cell>
          <cell r="AD7">
            <v>0</v>
          </cell>
          <cell r="AE7">
            <v>44652</v>
          </cell>
          <cell r="AF7" t="str">
            <v>6 tháng</v>
          </cell>
          <cell r="AG7">
            <v>44832</v>
          </cell>
          <cell r="AH7" t="str">
            <v>060209529672</v>
          </cell>
          <cell r="AI7" t="str">
            <v>Nguyễn Tuấn Khanh</v>
          </cell>
          <cell r="AJ7" t="str">
            <v>Ngân hàng Sacombank</v>
          </cell>
          <cell r="AK7" t="str">
            <v>0643-11-VT/DKV/2021</v>
          </cell>
        </row>
        <row r="8">
          <cell r="B8" t="str">
            <v>SGN0005</v>
          </cell>
          <cell r="C8" t="str">
            <v>H.Hóc Môn</v>
          </cell>
          <cell r="D8">
            <v>106.598528</v>
          </cell>
          <cell r="E8">
            <v>10.898596</v>
          </cell>
          <cell r="F8" t="str">
            <v>Thửa đất số 503, tờ bản đồ số 33, địa chỉ 156/2A ấp Tân Thới 1, xã Tân Hiệp, huyện Hóc Môn Tp.HCM</v>
          </cell>
          <cell r="G8" t="str">
            <v>Macro</v>
          </cell>
          <cell r="H8" t="str">
            <v>Có</v>
          </cell>
          <cell r="I8" t="str">
            <v>Không có</v>
          </cell>
          <cell r="J8">
            <v>44586</v>
          </cell>
          <cell r="K8">
            <v>46411</v>
          </cell>
          <cell r="L8" t="str">
            <v>hoàn thành</v>
          </cell>
          <cell r="M8">
            <v>44607</v>
          </cell>
          <cell r="N8">
            <v>44623</v>
          </cell>
          <cell r="O8">
            <v>44655</v>
          </cell>
          <cell r="P8">
            <v>44655</v>
          </cell>
          <cell r="S8">
            <v>44697</v>
          </cell>
          <cell r="Y8" t="str">
            <v>Nguyễn Thị Ly</v>
          </cell>
          <cell r="Z8">
            <v>5500000</v>
          </cell>
          <cell r="AA8">
            <v>5500000</v>
          </cell>
          <cell r="AB8">
            <v>9600000</v>
          </cell>
          <cell r="AC8">
            <v>0</v>
          </cell>
          <cell r="AD8">
            <v>6820000</v>
          </cell>
          <cell r="AF8" t="str">
            <v>3 tháng</v>
          </cell>
          <cell r="AH8" t="str">
            <v>Nguyễn Thị Ly</v>
          </cell>
          <cell r="AI8" t="str">
            <v>Nguyễn Thị Ly</v>
          </cell>
          <cell r="AJ8" t="str">
            <v>Nguyễn Thị Ly</v>
          </cell>
          <cell r="AK8" t="str">
            <v>S0005VT/DKV/2022</v>
          </cell>
        </row>
        <row r="9">
          <cell r="B9" t="str">
            <v>HCM4634</v>
          </cell>
          <cell r="C9" t="str">
            <v>H.Hóc Môn</v>
          </cell>
          <cell r="D9">
            <v>106.60691199999999</v>
          </cell>
          <cell r="E9">
            <v>10.875462000000001</v>
          </cell>
          <cell r="F9" t="str">
            <v>24/8C Ấp Mới 1, Tân Xuân, Huyện Hóc Môn, TP Hồ Chí Minh</v>
          </cell>
          <cell r="G9" t="str">
            <v>Macro</v>
          </cell>
          <cell r="H9" t="str">
            <v>Không có</v>
          </cell>
          <cell r="I9" t="str">
            <v>Không có</v>
          </cell>
          <cell r="J9">
            <v>44561</v>
          </cell>
          <cell r="K9">
            <v>46386</v>
          </cell>
          <cell r="L9" t="str">
            <v>hoàn thành</v>
          </cell>
          <cell r="M9">
            <v>44635</v>
          </cell>
          <cell r="N9">
            <v>44700</v>
          </cell>
          <cell r="P9">
            <v>44752</v>
          </cell>
          <cell r="Y9" t="str">
            <v>Phạm Bá Thanh_0963058279</v>
          </cell>
          <cell r="Z9">
            <v>4750000</v>
          </cell>
          <cell r="AA9">
            <v>6000000</v>
          </cell>
          <cell r="AB9">
            <v>9600000</v>
          </cell>
          <cell r="AC9">
            <v>0</v>
          </cell>
          <cell r="AD9">
            <v>0</v>
          </cell>
          <cell r="AE9">
            <v>44713</v>
          </cell>
          <cell r="AF9" t="str">
            <v>3 tháng</v>
          </cell>
          <cell r="AG9">
            <v>44803</v>
          </cell>
          <cell r="AH9" t="str">
            <v>19031400962018</v>
          </cell>
          <cell r="AI9" t="str">
            <v>Phạm Bá Thanh</v>
          </cell>
          <cell r="AJ9" t="str">
            <v>Techcombank</v>
          </cell>
          <cell r="AK9" t="str">
            <v>4634-VT/DKV/2021</v>
          </cell>
        </row>
        <row r="10">
          <cell r="B10" t="str">
            <v>SGN0382</v>
          </cell>
          <cell r="C10" t="str">
            <v>Q.Thủ Đức</v>
          </cell>
          <cell r="D10">
            <v>106.7519503</v>
          </cell>
          <cell r="E10">
            <v>10.8370231</v>
          </cell>
          <cell r="F10" t="str">
            <v>Thửa đất số 76, tờ bản đồ số 71, địa chỉ: 57F Đường số 2, KP8, Phường Trường Thọ, Thành Phố Thủ Đức, Thành phố Hồ Chí Minh</v>
          </cell>
          <cell r="G10" t="str">
            <v>Macro</v>
          </cell>
          <cell r="H10" t="str">
            <v>Có</v>
          </cell>
          <cell r="I10" t="str">
            <v>có</v>
          </cell>
          <cell r="J10">
            <v>44586</v>
          </cell>
          <cell r="K10">
            <v>46411</v>
          </cell>
          <cell r="L10" t="str">
            <v>hoàn thành</v>
          </cell>
          <cell r="M10">
            <v>44640</v>
          </cell>
          <cell r="N10">
            <v>44647</v>
          </cell>
          <cell r="P10">
            <v>44678</v>
          </cell>
          <cell r="Y10" t="str">
            <v>Thái Văn</v>
          </cell>
          <cell r="Z10">
            <v>7500000</v>
          </cell>
          <cell r="AA10">
            <v>7500000</v>
          </cell>
          <cell r="AB10">
            <v>11900000</v>
          </cell>
          <cell r="AC10">
            <v>7000000</v>
          </cell>
          <cell r="AD10">
            <v>6600000</v>
          </cell>
          <cell r="AE10">
            <v>44712</v>
          </cell>
          <cell r="AF10" t="str">
            <v>3 tháng</v>
          </cell>
          <cell r="AG10">
            <v>44802</v>
          </cell>
          <cell r="AH10" t="str">
            <v>19037760913016</v>
          </cell>
          <cell r="AI10" t="str">
            <v>Thái Văn</v>
          </cell>
          <cell r="AJ10" t="str">
            <v>Techcombank</v>
          </cell>
          <cell r="AK10" t="str">
            <v>0382-VT/DKV/2021</v>
          </cell>
        </row>
        <row r="11">
          <cell r="B11" t="str">
            <v>SGN0739</v>
          </cell>
          <cell r="C11" t="str">
            <v>H.Bình Chánh</v>
          </cell>
          <cell r="D11">
            <v>106.56272749999999</v>
          </cell>
          <cell r="E11">
            <v>10.766488000000001</v>
          </cell>
          <cell r="F11" t="str">
            <v>Thửa đất số 130, Tờ số bản đồ số 129, địa chỉ:206, đường số 2, Khu dân cư Phạm Văn Hai, Ấp 1, Xã Phạm Văn Hai, Huyện Bình Chánh, TP Hồ Chí Minh</v>
          </cell>
          <cell r="G11" t="str">
            <v>Macro</v>
          </cell>
          <cell r="H11" t="str">
            <v>Không có</v>
          </cell>
          <cell r="I11" t="str">
            <v>có</v>
          </cell>
          <cell r="J11">
            <v>44586</v>
          </cell>
          <cell r="K11">
            <v>46411</v>
          </cell>
          <cell r="L11" t="str">
            <v>hoàn thành</v>
          </cell>
          <cell r="M11">
            <v>44628</v>
          </cell>
          <cell r="N11">
            <v>44698</v>
          </cell>
          <cell r="P11">
            <v>44728</v>
          </cell>
          <cell r="U11">
            <v>44665</v>
          </cell>
          <cell r="X11">
            <v>44666</v>
          </cell>
          <cell r="Y11" t="str">
            <v>Nguyễn Thanh Hoàng</v>
          </cell>
          <cell r="Z11">
            <v>6000000</v>
          </cell>
          <cell r="AA11">
            <v>6500000</v>
          </cell>
          <cell r="AB11">
            <v>10800000</v>
          </cell>
          <cell r="AC11">
            <v>6500000</v>
          </cell>
          <cell r="AD11">
            <v>0</v>
          </cell>
          <cell r="AE11">
            <v>44713</v>
          </cell>
          <cell r="AF11" t="str">
            <v>3 tháng</v>
          </cell>
          <cell r="AG11">
            <v>44803</v>
          </cell>
          <cell r="AH11" t="str">
            <v>7313757</v>
          </cell>
          <cell r="AI11" t="str">
            <v>Hoàng Thị Dung</v>
          </cell>
          <cell r="AJ11" t="str">
            <v>ACB Chi nhánh Chợ Lớn</v>
          </cell>
          <cell r="AK11" t="str">
            <v>0739-VT/DKV/2021</v>
          </cell>
        </row>
        <row r="12">
          <cell r="B12" t="str">
            <v>SGN0341</v>
          </cell>
          <cell r="C12" t="str">
            <v>Q.Bình Thạnh</v>
          </cell>
          <cell r="D12">
            <v>106.71288199999999</v>
          </cell>
          <cell r="E12">
            <v>10.79884</v>
          </cell>
          <cell r="F12" t="str">
            <v>Thửa đất số 431 TBĐ số 16 220/50A/45C Xô Viết Nghệ Tĩnh, Phường 21 Quận Bình Thạnh TP.HCM</v>
          </cell>
          <cell r="G12" t="str">
            <v>Macro</v>
          </cell>
          <cell r="H12" t="str">
            <v>Không có</v>
          </cell>
          <cell r="I12" t="str">
            <v>Không có</v>
          </cell>
          <cell r="J12">
            <v>44586</v>
          </cell>
          <cell r="K12">
            <v>46411</v>
          </cell>
          <cell r="L12" t="str">
            <v>hoàn thành</v>
          </cell>
          <cell r="M12">
            <v>44612</v>
          </cell>
          <cell r="N12">
            <v>44631</v>
          </cell>
          <cell r="P12">
            <v>44662</v>
          </cell>
          <cell r="Y12" t="str">
            <v>Nghiêm Gia Thuận
Trương Thụy Thiên Thảo_ 090 1358951</v>
          </cell>
          <cell r="Z12">
            <v>7000000</v>
          </cell>
          <cell r="AA12">
            <v>7700000</v>
          </cell>
          <cell r="AB12">
            <v>10900000</v>
          </cell>
          <cell r="AC12">
            <v>0</v>
          </cell>
          <cell r="AD12">
            <v>0</v>
          </cell>
          <cell r="AE12">
            <v>44645</v>
          </cell>
          <cell r="AF12" t="str">
            <v>3 tháng</v>
          </cell>
          <cell r="AG12">
            <v>44735</v>
          </cell>
          <cell r="AH12" t="str">
            <v>0071000075364</v>
          </cell>
          <cell r="AI12" t="str">
            <v>Nghiêm Gia Thuận</v>
          </cell>
          <cell r="AJ12" t="str">
            <v>Vietcombank</v>
          </cell>
          <cell r="AK12" t="str">
            <v>0341-VT/DKV/2022</v>
          </cell>
        </row>
        <row r="13">
          <cell r="B13" t="str">
            <v>SGN0750</v>
          </cell>
          <cell r="C13" t="str">
            <v>Q.Tân Bình</v>
          </cell>
          <cell r="D13">
            <v>106.668102</v>
          </cell>
          <cell r="E13">
            <v>10.797355</v>
          </cell>
          <cell r="F13" t="str">
            <v>Thửa đất số 24, tờ bản đồ số 25 (BĐĐC-2005), địa chỉ: 343/33B Nguyễn Trọng Tuyển, Phường 01, Quận Tân Bình, Tp.Hồ Chí Minh</v>
          </cell>
          <cell r="G13" t="str">
            <v>Macro</v>
          </cell>
          <cell r="H13" t="str">
            <v>Không có</v>
          </cell>
          <cell r="I13" t="str">
            <v>Không có</v>
          </cell>
          <cell r="J13">
            <v>44614</v>
          </cell>
          <cell r="K13">
            <v>46439</v>
          </cell>
          <cell r="L13" t="str">
            <v>hoàn thành</v>
          </cell>
          <cell r="M13">
            <v>44640</v>
          </cell>
          <cell r="N13">
            <v>44671</v>
          </cell>
          <cell r="P13">
            <v>44701</v>
          </cell>
          <cell r="Y13" t="str">
            <v xml:space="preserve">Nguyễn Ngọc Quỳnh_0937442887 </v>
          </cell>
          <cell r="Z13">
            <v>6500000</v>
          </cell>
          <cell r="AA13">
            <v>7300000</v>
          </cell>
          <cell r="AB13">
            <v>11500000</v>
          </cell>
          <cell r="AC13">
            <v>0</v>
          </cell>
          <cell r="AD13">
            <v>0</v>
          </cell>
          <cell r="AE13">
            <v>44743</v>
          </cell>
          <cell r="AF13" t="str">
            <v>3 tháng</v>
          </cell>
          <cell r="AG13">
            <v>44833</v>
          </cell>
          <cell r="AH13" t="str">
            <v>0071001305920</v>
          </cell>
          <cell r="AI13" t="str">
            <v>Nguyễn Ngọc Quỳnh</v>
          </cell>
          <cell r="AJ13" t="str">
            <v>Vietcombank</v>
          </cell>
          <cell r="AK13" t="str">
            <v>0750-VT/DKV/2022</v>
          </cell>
        </row>
        <row r="14">
          <cell r="B14" t="str">
            <v>HCM0207-12</v>
          </cell>
          <cell r="C14" t="str">
            <v>Q.Gò Vấp</v>
          </cell>
          <cell r="D14">
            <v>106.677483</v>
          </cell>
          <cell r="E14">
            <v>10.850686</v>
          </cell>
          <cell r="F14" t="str">
            <v>Thửa đất số 503, TBĐ số 1, P17, quận Gò vấp, địa chỉ 537/14/6 Nguyễn Oanh P17, quận Gò Vấp Tp.HCM</v>
          </cell>
          <cell r="G14" t="str">
            <v>RRU</v>
          </cell>
          <cell r="H14" t="str">
            <v>Có</v>
          </cell>
          <cell r="I14" t="str">
            <v>Không có</v>
          </cell>
          <cell r="J14">
            <v>44622</v>
          </cell>
          <cell r="K14">
            <v>46447</v>
          </cell>
          <cell r="L14" t="str">
            <v>hoàn thành</v>
          </cell>
          <cell r="M14">
            <v>44640</v>
          </cell>
          <cell r="N14">
            <v>44657</v>
          </cell>
          <cell r="O14">
            <v>44676</v>
          </cell>
          <cell r="P14">
            <v>44676</v>
          </cell>
          <cell r="Q14">
            <v>44663</v>
          </cell>
          <cell r="T14" t="str">
            <v>04/16/2022 -&gt;06/30/2022</v>
          </cell>
          <cell r="Y14" t="str">
            <v>Chị Nhung_0908026000</v>
          </cell>
          <cell r="Z14">
            <v>6200000</v>
          </cell>
          <cell r="AA14">
            <v>5000000</v>
          </cell>
          <cell r="AB14">
            <v>7400000</v>
          </cell>
          <cell r="AC14">
            <v>0</v>
          </cell>
          <cell r="AD14">
            <v>11200000</v>
          </cell>
          <cell r="AE14">
            <v>44653</v>
          </cell>
          <cell r="AF14" t="str">
            <v>3 tháng</v>
          </cell>
          <cell r="AG14">
            <v>44743</v>
          </cell>
          <cell r="AH14" t="str">
            <v>060223722272 _ Sacom
38803257_ACB</v>
          </cell>
          <cell r="AI14" t="str">
            <v>Phạm Thị Hồng Nhung</v>
          </cell>
          <cell r="AJ14" t="str">
            <v>Sacombank
ACB</v>
          </cell>
          <cell r="AK14" t="str">
            <v>0207-12-VT/DKV/2022</v>
          </cell>
        </row>
        <row r="15">
          <cell r="B15" t="str">
            <v>SGN0756</v>
          </cell>
          <cell r="C15" t="str">
            <v>H.Hóc Môn</v>
          </cell>
          <cell r="D15">
            <v>106.59006100000001</v>
          </cell>
          <cell r="E15">
            <v>10.839575999999999</v>
          </cell>
          <cell r="F15" t="str">
            <v>3/11A ấp Tiền Lân, xã Bà Điểm, huyện Hóc Môn, Tp.HCM</v>
          </cell>
          <cell r="G15" t="str">
            <v>Macro</v>
          </cell>
          <cell r="H15" t="str">
            <v>Có</v>
          </cell>
          <cell r="I15" t="str">
            <v>Có</v>
          </cell>
          <cell r="J15">
            <v>44631</v>
          </cell>
          <cell r="K15">
            <v>46456</v>
          </cell>
          <cell r="L15" t="str">
            <v>hoàn thành</v>
          </cell>
          <cell r="M15">
            <v>44691</v>
          </cell>
          <cell r="N15" t="str">
            <v>chưa nhận</v>
          </cell>
          <cell r="Y15" t="str">
            <v>Nguyễn Thị Kim Dung_0907129636. a Thiệu 0918722043</v>
          </cell>
          <cell r="Z15">
            <v>6000000</v>
          </cell>
          <cell r="AA15">
            <v>6500000</v>
          </cell>
          <cell r="AB15">
            <v>11500000</v>
          </cell>
          <cell r="AC15">
            <v>6400000</v>
          </cell>
          <cell r="AD15">
            <v>4682700</v>
          </cell>
          <cell r="AE15">
            <v>44723</v>
          </cell>
          <cell r="AF15" t="str">
            <v>3 tháng</v>
          </cell>
          <cell r="AH15" t="str">
            <v>0065100013370003</v>
          </cell>
          <cell r="AI15" t="str">
            <v>Trần Thị Mai Hương</v>
          </cell>
          <cell r="AJ15" t="str">
            <v>Ngân hàng cổ phần Phương Đông – OCB CN Quận 4</v>
          </cell>
          <cell r="AK15" t="str">
            <v>2269-11-VT/DKV/2022</v>
          </cell>
        </row>
        <row r="16">
          <cell r="B16" t="str">
            <v>HCM3871</v>
          </cell>
          <cell r="C16" t="str">
            <v>Q.Gò Vấp</v>
          </cell>
          <cell r="D16">
            <v>106.64039</v>
          </cell>
          <cell r="E16">
            <v>10.844670000000001</v>
          </cell>
          <cell r="F16" t="str">
            <v>Thửa đất số 1, tờ bản đồ số thứ  3-F.12-Q.GV, Số 9 (6/11A số cũ)  Phạm Văn Chiêu, P12, Quận Gò Vấp</v>
          </cell>
          <cell r="G16" t="str">
            <v>Macro</v>
          </cell>
          <cell r="H16" t="str">
            <v>Không có</v>
          </cell>
          <cell r="I16" t="str">
            <v>Không có</v>
          </cell>
          <cell r="J16">
            <v>44660</v>
          </cell>
          <cell r="K16">
            <v>46485</v>
          </cell>
          <cell r="L16" t="str">
            <v>hoàn thành</v>
          </cell>
          <cell r="M16">
            <v>44696</v>
          </cell>
          <cell r="N16" t="str">
            <v>chưa nhận</v>
          </cell>
          <cell r="Y16" t="str">
            <v>Nguyễn Thu Hương_0937755331</v>
          </cell>
          <cell r="Z16">
            <v>7000000</v>
          </cell>
          <cell r="AA16">
            <v>7500000</v>
          </cell>
          <cell r="AB16">
            <v>11500000</v>
          </cell>
          <cell r="AC16">
            <v>0</v>
          </cell>
          <cell r="AD16">
            <v>0</v>
          </cell>
          <cell r="AE16" t="str">
            <v>Trạm PS</v>
          </cell>
          <cell r="AF16" t="str">
            <v>6 tháng</v>
          </cell>
          <cell r="AH16" t="str">
            <v>7662537</v>
          </cell>
          <cell r="AI16" t="str">
            <v>Nguyễn Thu Hương</v>
          </cell>
          <cell r="AJ16" t="str">
            <v>Ngân hàng ACB</v>
          </cell>
          <cell r="AK16" t="str">
            <v>3871-VT/DKV/2022</v>
          </cell>
        </row>
        <row r="17">
          <cell r="B17" t="str">
            <v>SGN0440</v>
          </cell>
          <cell r="C17" t="str">
            <v>H.Hóc Môn</v>
          </cell>
          <cell r="D17">
            <v>106.59247499999999</v>
          </cell>
          <cell r="E17">
            <v>10.850161</v>
          </cell>
          <cell r="F17" t="str">
            <v>Thửa đất số 1176, Tờ số bản đồ số 58, địa chỉ: Số 2 ấp 7, Xuân Thới Thượng, Hóc Môn Tp.HCM (59/2/1B)_chị Loan_0918559528</v>
          </cell>
          <cell r="G17" t="str">
            <v>Macro</v>
          </cell>
          <cell r="H17" t="str">
            <v>Có</v>
          </cell>
          <cell r="I17" t="str">
            <v>Không có</v>
          </cell>
          <cell r="J17">
            <v>44640</v>
          </cell>
          <cell r="K17">
            <v>46465</v>
          </cell>
          <cell r="L17" t="str">
            <v>hoàn thành</v>
          </cell>
          <cell r="M17">
            <v>44650</v>
          </cell>
          <cell r="N17">
            <v>44678</v>
          </cell>
          <cell r="P17">
            <v>44707</v>
          </cell>
          <cell r="S17">
            <v>44706</v>
          </cell>
          <cell r="Y17" t="str">
            <v>Nguyễn Thị Loan_0918559528; a Quyền 0919690922</v>
          </cell>
          <cell r="Z17">
            <v>5500000</v>
          </cell>
          <cell r="AA17">
            <v>6200000</v>
          </cell>
          <cell r="AB17">
            <v>9900000</v>
          </cell>
          <cell r="AC17">
            <v>0</v>
          </cell>
          <cell r="AD17">
            <v>6985000</v>
          </cell>
          <cell r="AE17">
            <v>44706</v>
          </cell>
          <cell r="AF17" t="str">
            <v>6 tháng</v>
          </cell>
          <cell r="AH17" t="str">
            <v>59601049</v>
          </cell>
          <cell r="AI17" t="str">
            <v>Nguyễn Thị Loan</v>
          </cell>
          <cell r="AJ17" t="str">
            <v>Ngân hàng ACB</v>
          </cell>
          <cell r="AK17" t="str">
            <v>0440-VT/DKV/2022</v>
          </cell>
        </row>
        <row r="18">
          <cell r="B18" t="str">
            <v>SGN0161</v>
          </cell>
          <cell r="C18" t="str">
            <v>Q.Bình Tân</v>
          </cell>
          <cell r="D18">
            <v>106.608361</v>
          </cell>
          <cell r="E18">
            <v>10.777388999999999</v>
          </cell>
          <cell r="F18" t="str">
            <v>Thửa đất số 535, tờ bản đồ số 234, địa chỉ: 288/19A Lê Văn Quới, Phường Bình Hưng Hòa A, Quận Bình Tân, Tp.Hồ Chí Minh</v>
          </cell>
          <cell r="G18" t="str">
            <v>Macro</v>
          </cell>
          <cell r="H18" t="str">
            <v>Không có</v>
          </cell>
          <cell r="I18" t="str">
            <v>Không có</v>
          </cell>
          <cell r="J18">
            <v>44645</v>
          </cell>
          <cell r="K18">
            <v>46470</v>
          </cell>
          <cell r="L18" t="str">
            <v>hoàn thành</v>
          </cell>
          <cell r="M18">
            <v>44682</v>
          </cell>
          <cell r="N18">
            <v>44698</v>
          </cell>
          <cell r="P18">
            <v>44749</v>
          </cell>
          <cell r="Y18" t="str">
            <v>Nguyễn Phi Hiệp_0946383038</v>
          </cell>
          <cell r="Z18">
            <v>7000000</v>
          </cell>
          <cell r="AA18">
            <v>7500000</v>
          </cell>
          <cell r="AB18">
            <v>11700000</v>
          </cell>
          <cell r="AC18">
            <v>0</v>
          </cell>
          <cell r="AD18">
            <v>0</v>
          </cell>
          <cell r="AE18">
            <v>44713</v>
          </cell>
          <cell r="AF18" t="str">
            <v>3 tháng</v>
          </cell>
          <cell r="AH18" t="str">
            <v>19022625139011</v>
          </cell>
          <cell r="AI18" t="str">
            <v>Nguyễn Phi Hiệp</v>
          </cell>
          <cell r="AJ18" t="str">
            <v>Techcombank</v>
          </cell>
          <cell r="AK18" t="str">
            <v>S0161-VT/DKV/2022</v>
          </cell>
        </row>
        <row r="19">
          <cell r="B19" t="str">
            <v>SGN0764</v>
          </cell>
          <cell r="C19" t="str">
            <v>Q.12</v>
          </cell>
          <cell r="D19">
            <v>106.621573</v>
          </cell>
          <cell r="E19">
            <v>10.838825999999999</v>
          </cell>
          <cell r="F19" t="str">
            <v>Thửa đất số 811, Tờ số bản đồ số 39, địa chỉ: 13, đường DHT05, phường Tân Hưng Thuận, Quận 12, Thành phố Hồ Chí Minh</v>
          </cell>
          <cell r="G19" t="str">
            <v>Macro</v>
          </cell>
          <cell r="H19" t="str">
            <v>Không có</v>
          </cell>
          <cell r="I19" t="str">
            <v>Không có</v>
          </cell>
          <cell r="J19">
            <v>44658</v>
          </cell>
          <cell r="K19">
            <v>46483</v>
          </cell>
          <cell r="L19" t="str">
            <v>hoàn thành</v>
          </cell>
          <cell r="M19">
            <v>44682</v>
          </cell>
          <cell r="N19">
            <v>44692</v>
          </cell>
          <cell r="P19">
            <v>44719</v>
          </cell>
          <cell r="Y19" t="str">
            <v>Huỳnh Kim Thân_0913998436</v>
          </cell>
          <cell r="Z19">
            <v>5300000</v>
          </cell>
          <cell r="AA19">
            <v>5300000</v>
          </cell>
          <cell r="AB19">
            <v>8800000</v>
          </cell>
          <cell r="AC19">
            <v>0</v>
          </cell>
          <cell r="AD19">
            <v>0</v>
          </cell>
          <cell r="AE19" t="str">
            <v>Khi trạm PS không quá 06/07/2022</v>
          </cell>
          <cell r="AF19" t="str">
            <v>6 tháng</v>
          </cell>
          <cell r="AH19" t="str">
            <v>0511 000419347</v>
          </cell>
          <cell r="AI19" t="str">
            <v>Hồ Nguyễn Thụy Thảo</v>
          </cell>
          <cell r="AJ19" t="str">
            <v>Vietcombank  - CN Quận 5</v>
          </cell>
          <cell r="AK19" t="str">
            <v>S0764-VT/DKV/2022</v>
          </cell>
        </row>
        <row r="20">
          <cell r="B20" t="str">
            <v>HCM4644</v>
          </cell>
          <cell r="C20" t="str">
            <v>H.Hóc Môn</v>
          </cell>
          <cell r="D20">
            <v>106.59965699999999</v>
          </cell>
          <cell r="E20">
            <v>10.858247</v>
          </cell>
          <cell r="F20" t="str">
            <v>Thửa đất số 591, Tờ số bản đồ số 30, địa chỉ: K-11 ấp Mỹ Hòa 4, Xuân Thới Đông, Hóc Môn Tp.HCM</v>
          </cell>
          <cell r="G20" t="str">
            <v>Macro</v>
          </cell>
          <cell r="H20" t="str">
            <v>Có</v>
          </cell>
          <cell r="I20" t="str">
            <v>Không có</v>
          </cell>
          <cell r="J20">
            <v>44676</v>
          </cell>
          <cell r="K20">
            <v>46501</v>
          </cell>
          <cell r="L20" t="str">
            <v>hoàn thành</v>
          </cell>
          <cell r="M20">
            <v>44727</v>
          </cell>
          <cell r="N20" t="str">
            <v>chưa nhận</v>
          </cell>
          <cell r="Y20" t="str">
            <v>Anh Tân_0908310220</v>
          </cell>
          <cell r="Z20">
            <v>5000000</v>
          </cell>
          <cell r="AA20">
            <v>5000000</v>
          </cell>
          <cell r="AB20">
            <v>10000000</v>
          </cell>
          <cell r="AC20">
            <v>0</v>
          </cell>
          <cell r="AD20">
            <v>6050000</v>
          </cell>
          <cell r="AE20" t="str">
            <v>Khi trạm PS</v>
          </cell>
          <cell r="AF20" t="str">
            <v>3 tháng</v>
          </cell>
          <cell r="AH20" t="str">
            <v>106002279059</v>
          </cell>
          <cell r="AI20" t="str">
            <v>Nguyễn Đăng Tân</v>
          </cell>
          <cell r="AJ20" t="str">
            <v>NH Vietin Bank</v>
          </cell>
          <cell r="AK20" t="str">
            <v>H4644-VT/DKV/2022</v>
          </cell>
        </row>
        <row r="21">
          <cell r="B21" t="str">
            <v>HCM590-359</v>
          </cell>
          <cell r="C21" t="str">
            <v>H.Hóc Môn</v>
          </cell>
          <cell r="D21">
            <v>106.590795</v>
          </cell>
          <cell r="E21">
            <v>10.832939</v>
          </cell>
          <cell r="F21" t="str">
            <v>Thửa đất số 528, Tờ số bản đồ số 92, địa chỉ: 20 đường TK1, ấp Tiền Lân, xã Bà Điểm, Hóc Môn, Tp.HCM</v>
          </cell>
          <cell r="G21" t="str">
            <v>Macro</v>
          </cell>
          <cell r="H21" t="str">
            <v>Có</v>
          </cell>
          <cell r="I21" t="str">
            <v>Không có</v>
          </cell>
          <cell r="J21">
            <v>44672</v>
          </cell>
          <cell r="K21">
            <v>46497</v>
          </cell>
          <cell r="L21" t="str">
            <v>hoàn thành</v>
          </cell>
          <cell r="M21" t="str">
            <v>chưa ĐX</v>
          </cell>
          <cell r="Q21">
            <v>44713</v>
          </cell>
          <cell r="Y21" t="str">
            <v>Phạm Vũ Hạ Long_0949555248</v>
          </cell>
          <cell r="Z21">
            <v>5000000</v>
          </cell>
          <cell r="AB21">
            <v>7920000</v>
          </cell>
          <cell r="AC21">
            <v>0</v>
          </cell>
          <cell r="AD21">
            <v>7920000.0000000009</v>
          </cell>
          <cell r="AE21" t="str">
            <v>Trạm PS</v>
          </cell>
          <cell r="AF21" t="str">
            <v>6 tháng</v>
          </cell>
          <cell r="AH21" t="str">
            <v>106870603289</v>
          </cell>
          <cell r="AI21" t="str">
            <v>Nguyễn Thị Thu</v>
          </cell>
          <cell r="AJ21" t="str">
            <v>NH Vietin Bank CN Bắc SG</v>
          </cell>
          <cell r="AK21" t="str">
            <v>590-359-VN/DKV/2022</v>
          </cell>
        </row>
        <row r="22">
          <cell r="B22" t="str">
            <v>HCM0629-11</v>
          </cell>
          <cell r="C22" t="str">
            <v>Q.Gò Vấp</v>
          </cell>
          <cell r="D22">
            <v>106.63957000000001</v>
          </cell>
          <cell r="E22">
            <v>10.834324000000001</v>
          </cell>
          <cell r="F22" t="str">
            <v>Thửa đất số 18, Tờ số bản đồ 260, địa chỉ: 112/23 Bùi Quang Là P.12 Q.Gò Vấp Tp.HCM.</v>
          </cell>
          <cell r="G22" t="str">
            <v>RRU</v>
          </cell>
          <cell r="H22" t="str">
            <v>Không có</v>
          </cell>
          <cell r="I22" t="str">
            <v>Không có</v>
          </cell>
          <cell r="J22">
            <v>44700</v>
          </cell>
          <cell r="K22">
            <v>46525</v>
          </cell>
          <cell r="L22" t="str">
            <v>hoàn thành</v>
          </cell>
          <cell r="M22">
            <v>44722</v>
          </cell>
          <cell r="N22" t="str">
            <v>chưa nhận</v>
          </cell>
          <cell r="Y22" t="str">
            <v>Trần Quang Vũ_0973716888</v>
          </cell>
          <cell r="Z22">
            <v>4000000</v>
          </cell>
          <cell r="AA22">
            <v>4000000</v>
          </cell>
          <cell r="AB22">
            <v>5800000</v>
          </cell>
          <cell r="AC22">
            <v>0</v>
          </cell>
          <cell r="AD22">
            <v>0</v>
          </cell>
          <cell r="AE22" t="str">
            <v>Trạm PS</v>
          </cell>
          <cell r="AF22" t="str">
            <v>6 tháng</v>
          </cell>
          <cell r="AH22" t="str">
            <v>1010105106008</v>
          </cell>
          <cell r="AI22" t="str">
            <v>Trần Quang Vũ</v>
          </cell>
          <cell r="AJ22" t="str">
            <v>Ngan Hang Quan Doi MB</v>
          </cell>
          <cell r="AK22" t="str">
            <v>HCM0629-11-VT/DKV/2022</v>
          </cell>
        </row>
        <row r="23">
          <cell r="B23" t="str">
            <v>HCM2022-193, HCM3751-11_BV175</v>
          </cell>
          <cell r="C23" t="str">
            <v>Q.Gò Vấp</v>
          </cell>
          <cell r="D23">
            <v>106.68020300000001</v>
          </cell>
          <cell r="E23">
            <v>10.821994999999999</v>
          </cell>
          <cell r="F23" t="str">
            <v>Tòa nhà Bệnh viện Quân Y 175, 786 Nguyễn Kiệm, P.03, Q.Gò Vấp, Tp.HCM (Khu nhà Công vụ số 1).</v>
          </cell>
          <cell r="G23" t="str">
            <v>RRU</v>
          </cell>
          <cell r="H23" t="str">
            <v>Có</v>
          </cell>
          <cell r="I23" t="str">
            <v>Không có</v>
          </cell>
          <cell r="J23">
            <v>44666</v>
          </cell>
          <cell r="K23">
            <v>46491</v>
          </cell>
          <cell r="L23" t="str">
            <v>hoàn thành</v>
          </cell>
          <cell r="R23">
            <v>44677</v>
          </cell>
          <cell r="Y23" t="str">
            <v>Hoàng Văn Dũng_Trưởng phòng Tham mưu Hành chính – Bệnh viện Quân Y 175</v>
          </cell>
          <cell r="Z23">
            <v>5000000</v>
          </cell>
          <cell r="AA23">
            <v>5000000</v>
          </cell>
          <cell r="AB23">
            <v>8000000</v>
          </cell>
          <cell r="AC23">
            <v>0</v>
          </cell>
          <cell r="AD23">
            <v>11000000</v>
          </cell>
          <cell r="AE23" t="str">
            <v>Trạm PS</v>
          </cell>
          <cell r="AF23" t="str">
            <v>3 tháng</v>
          </cell>
          <cell r="AH23" t="str">
            <v>0908002423</v>
          </cell>
          <cell r="AI23" t="str">
            <v>Hàn Đức Vinh</v>
          </cell>
          <cell r="AJ23" t="str">
            <v>MB Bank</v>
          </cell>
          <cell r="AK23" t="str">
            <v>0504-VN/DKV/2022</v>
          </cell>
        </row>
        <row r="24">
          <cell r="B24" t="str">
            <v>SGN0639</v>
          </cell>
          <cell r="C24" t="str">
            <v>H.Hóc Môn</v>
          </cell>
          <cell r="D24">
            <v>106.56538399999999</v>
          </cell>
          <cell r="E24">
            <v>10.860938000000001</v>
          </cell>
          <cell r="F24" t="str">
            <v>Thửa đất số 382, Tờ số bản đồ số 20, địa chỉ:35/10H ấp 1, Xuân Thới Thượng, Hóc Môn, Tp.HCM</v>
          </cell>
          <cell r="G24" t="str">
            <v>Macro</v>
          </cell>
          <cell r="H24" t="str">
            <v>Có</v>
          </cell>
          <cell r="I24" t="str">
            <v>Không có</v>
          </cell>
          <cell r="J24">
            <v>44703</v>
          </cell>
          <cell r="K24">
            <v>46528</v>
          </cell>
          <cell r="L24" t="str">
            <v>hoàn thành</v>
          </cell>
          <cell r="M24">
            <v>44752</v>
          </cell>
          <cell r="N24" t="str">
            <v>chưa nhận</v>
          </cell>
          <cell r="O24">
            <v>44813</v>
          </cell>
          <cell r="Y24" t="str">
            <v>Mai Văn Hữu_0908931177</v>
          </cell>
          <cell r="Z24" t="str">
            <v>6,000,000</v>
          </cell>
          <cell r="AA24" t="str">
            <v>6,600,000</v>
          </cell>
          <cell r="AB24">
            <v>10300000</v>
          </cell>
          <cell r="AC24">
            <v>0</v>
          </cell>
          <cell r="AD24">
            <v>5577000</v>
          </cell>
          <cell r="AE24" t="str">
            <v>Khi trạm PS không quá 75 ngày (08/08/2022)</v>
          </cell>
          <cell r="AF24" t="str">
            <v>6 tháng</v>
          </cell>
          <cell r="AH24">
            <v>60195282024</v>
          </cell>
          <cell r="AI24" t="str">
            <v>Mai Văn Hữu</v>
          </cell>
          <cell r="AJ24" t="str">
            <v>Sacombank CN Hóc Môn</v>
          </cell>
          <cell r="AK24" t="str">
            <v>S0639-VT/DKV/2022</v>
          </cell>
        </row>
        <row r="25">
          <cell r="B25" t="str">
            <v>SGN0645--&gt;SGN0808</v>
          </cell>
          <cell r="C25" t="str">
            <v>H.Hóc Môn</v>
          </cell>
          <cell r="D25">
            <v>106.650854</v>
          </cell>
          <cell r="E25">
            <v>10.898777000000001</v>
          </cell>
          <cell r="F25" t="str">
            <v>Thửa đất số 611, Tờ số bản đồ số 56, địa chỉ: 2/2 Ấp 4, xã Đông Thạnh, Huyện Hóc Môn, Tp.HCM</v>
          </cell>
          <cell r="G25" t="str">
            <v>Macro</v>
          </cell>
          <cell r="H25" t="str">
            <v>Có</v>
          </cell>
          <cell r="I25" t="str">
            <v>Có</v>
          </cell>
          <cell r="J25">
            <v>44703</v>
          </cell>
          <cell r="K25">
            <v>46528</v>
          </cell>
          <cell r="L25" t="str">
            <v>hoàn thành</v>
          </cell>
          <cell r="M25">
            <v>44819</v>
          </cell>
          <cell r="Y25" t="str">
            <v>Nguyễn Phước Hưng</v>
          </cell>
          <cell r="Z25">
            <v>5000000</v>
          </cell>
          <cell r="AA25" t="str">
            <v>5,800,000</v>
          </cell>
          <cell r="AB25">
            <v>12600000</v>
          </cell>
          <cell r="AC25">
            <v>7400000</v>
          </cell>
          <cell r="AD25">
            <v>7700000.0000000009</v>
          </cell>
          <cell r="AE25" t="str">
            <v>Khi trạm PS không quá tháng 01/2023</v>
          </cell>
          <cell r="AF25" t="str">
            <v>3 tháng</v>
          </cell>
          <cell r="AH25" t="str">
            <v>6140205903134</v>
          </cell>
          <cell r="AI25" t="str">
            <v>Trần Thị Hồng Thảo</v>
          </cell>
          <cell r="AJ25" t="str">
            <v>Ngân hàng: Agribank</v>
          </cell>
          <cell r="AK25" t="str">
            <v>S0645-VT/DKV/2022</v>
          </cell>
        </row>
        <row r="26">
          <cell r="B26" t="str">
            <v>HCM4081</v>
          </cell>
          <cell r="C26" t="str">
            <v>Q.09</v>
          </cell>
          <cell r="D26">
            <v>106.76311</v>
          </cell>
          <cell r="E26">
            <v>10.832050000000001</v>
          </cell>
          <cell r="F26" t="str">
            <v>Thửa đất số 506, tờ bản đồ số 95, địa chỉ: 415A Song Hành Hà Nội, Kp6 P.Trường Thọ, Thành Phố Thủ Đức, Thành phố Hồ Chí Minh</v>
          </cell>
          <cell r="G26" t="str">
            <v>Macro</v>
          </cell>
          <cell r="H26" t="str">
            <v>Không có</v>
          </cell>
          <cell r="I26" t="str">
            <v>Không có</v>
          </cell>
          <cell r="J26">
            <v>44696</v>
          </cell>
          <cell r="K26">
            <v>46521</v>
          </cell>
          <cell r="L26" t="str">
            <v>hoàn thành</v>
          </cell>
          <cell r="M26">
            <v>44713</v>
          </cell>
          <cell r="N26" t="str">
            <v>chưa nhận</v>
          </cell>
          <cell r="Y26" t="str">
            <v>Phạm Tiến Mạnh</v>
          </cell>
          <cell r="Z26" t="str">
            <v>6,500,000</v>
          </cell>
          <cell r="AA26" t="str">
            <v>7,300,000</v>
          </cell>
          <cell r="AB26">
            <v>11200000</v>
          </cell>
          <cell r="AC26">
            <v>0</v>
          </cell>
          <cell r="AD26">
            <v>0</v>
          </cell>
          <cell r="AE26" t="str">
            <v>Từ khi trạm PS</v>
          </cell>
          <cell r="AF26" t="str">
            <v>3 tháng</v>
          </cell>
          <cell r="AH26" t="str">
            <v>6300205203149
823459089999</v>
          </cell>
          <cell r="AI26" t="str">
            <v>Phạm Tiến Mạnh
Bùi Thị Liên</v>
          </cell>
          <cell r="AJ26" t="str">
            <v>Agribank CN Q09
MB Bank</v>
          </cell>
          <cell r="AK26" t="str">
            <v>H4081-VT/DKV/2022</v>
          </cell>
        </row>
        <row r="27">
          <cell r="B27" t="str">
            <v>HCM2022-TUH-013</v>
          </cell>
          <cell r="C27" t="str">
            <v>Q.Tân Bình</v>
          </cell>
          <cell r="D27">
            <v>106.6554</v>
          </cell>
          <cell r="E27">
            <v>10.798572</v>
          </cell>
          <cell r="F27" t="str">
            <v>Thửa đất số 03, tờ số bản đồ số 58 (BĐĐC-2005), địa chỉ: 169 Nguyễn Thái Bình, phường 04, quận Tân Bình, Tp.HCM</v>
          </cell>
          <cell r="G27" t="str">
            <v>Không có</v>
          </cell>
          <cell r="H27" t="str">
            <v>Có</v>
          </cell>
          <cell r="I27" t="str">
            <v>Không có</v>
          </cell>
          <cell r="J27" t="str">
            <v>Chưa update</v>
          </cell>
          <cell r="K27" t="str">
            <v>Chưa update</v>
          </cell>
          <cell r="L27" t="str">
            <v>hoàn thành</v>
          </cell>
          <cell r="M27" t="str">
            <v>K có Viettel</v>
          </cell>
          <cell r="N27" t="str">
            <v>K có Viettel</v>
          </cell>
          <cell r="O27" t="str">
            <v>K có Viettel</v>
          </cell>
          <cell r="P27" t="str">
            <v>K có Viettel</v>
          </cell>
          <cell r="R27" t="str">
            <v>chưa nhận</v>
          </cell>
          <cell r="Y27" t="str">
            <v xml:space="preserve">Nguyễn Thúy Kiều </v>
          </cell>
          <cell r="Z27" t="str">
            <v>6,000,000</v>
          </cell>
          <cell r="AA27">
            <v>0</v>
          </cell>
          <cell r="AB27">
            <v>0</v>
          </cell>
          <cell r="AC27">
            <v>0</v>
          </cell>
          <cell r="AD27">
            <v>11550000</v>
          </cell>
          <cell r="AE27" t="str">
            <v>Từ khi trạm PS</v>
          </cell>
          <cell r="AF27" t="str">
            <v>6 tháng</v>
          </cell>
          <cell r="AH27" t="str">
            <v>Tiền mặt</v>
          </cell>
          <cell r="AI27" t="str">
            <v xml:space="preserve">Nguyễn Thúy Kiều                </v>
          </cell>
          <cell r="AJ27" t="str">
            <v>Tiền mặt</v>
          </cell>
          <cell r="AK27" t="str">
            <v>TUH-013-VN/DKV/2022</v>
          </cell>
        </row>
        <row r="28">
          <cell r="B28" t="str">
            <v>HCM2022-TUH-010</v>
          </cell>
          <cell r="C28" t="str">
            <v>Q.Gò Vấp</v>
          </cell>
          <cell r="D28">
            <v>106.68662999999999</v>
          </cell>
          <cell r="E28">
            <v>10.821289999999999</v>
          </cell>
          <cell r="F28" t="str">
            <v>Thửa đất số 5, Tờ số bản đồ số 22 phường 04, địa chỉ: 31/3 Nguyễn Văn Bảo, phường 04, Q.Gò Vấp Tp.HCM.</v>
          </cell>
          <cell r="G28" t="str">
            <v>Không có</v>
          </cell>
          <cell r="H28" t="str">
            <v>Có</v>
          </cell>
          <cell r="I28" t="str">
            <v>Không có</v>
          </cell>
          <cell r="J28">
            <v>44697</v>
          </cell>
          <cell r="K28">
            <v>46522</v>
          </cell>
          <cell r="L28" t="str">
            <v>hoàn thành</v>
          </cell>
          <cell r="M28" t="str">
            <v>K có Viettel</v>
          </cell>
          <cell r="N28" t="str">
            <v>K có Viettel</v>
          </cell>
          <cell r="O28" t="str">
            <v>K có Viettel</v>
          </cell>
          <cell r="P28" t="str">
            <v>K có Viettel</v>
          </cell>
          <cell r="R28" t="str">
            <v>chưa nhận</v>
          </cell>
          <cell r="Y28" t="str">
            <v>Nguyễn Thị Tuyết Hồng
Nguyễn Thị Tuyết Hà</v>
          </cell>
          <cell r="Z28">
            <v>5000000</v>
          </cell>
          <cell r="AA28">
            <v>0</v>
          </cell>
          <cell r="AB28">
            <v>0</v>
          </cell>
          <cell r="AC28">
            <v>0</v>
          </cell>
          <cell r="AD28">
            <v>11330000</v>
          </cell>
          <cell r="AE28" t="str">
            <v>Từ khi trạm PS</v>
          </cell>
          <cell r="AF28" t="str">
            <v>3 tháng</v>
          </cell>
          <cell r="AH28" t="str">
            <v>017003453071</v>
          </cell>
          <cell r="AI28" t="str">
            <v>Nguyễn Thị Tuyết Hồng</v>
          </cell>
          <cell r="AJ28" t="str">
            <v>Ngân Hàng Vietcombank – Tây Sài Gòn</v>
          </cell>
          <cell r="AK28" t="str">
            <v>TUH-010-VN/DKV/2022</v>
          </cell>
        </row>
        <row r="29">
          <cell r="B29" t="str">
            <v>HCM4332</v>
          </cell>
          <cell r="C29" t="str">
            <v>H.Củ Chi</v>
          </cell>
          <cell r="D29">
            <v>106.46045119999999</v>
          </cell>
          <cell r="E29">
            <v>10.9983042</v>
          </cell>
          <cell r="F29" t="str">
            <v>Thửa đất số 699, tờ bản đồ số 10, địa chỉ: Xã Phước Hiệp, Huyện Củ Chi, Thành phố Hồ Chí Minh.</v>
          </cell>
          <cell r="G29" t="str">
            <v>Macro</v>
          </cell>
          <cell r="H29" t="str">
            <v>Có</v>
          </cell>
          <cell r="I29" t="str">
            <v>Không có</v>
          </cell>
          <cell r="J29">
            <v>44707</v>
          </cell>
          <cell r="K29">
            <v>46532</v>
          </cell>
          <cell r="L29" t="str">
            <v>hoàn thành</v>
          </cell>
          <cell r="Y29" t="str">
            <v>Nguyễn Anh Khoa</v>
          </cell>
          <cell r="Z29" t="str">
            <v>4,500,000</v>
          </cell>
          <cell r="AA29" t="str">
            <v>4,500,000</v>
          </cell>
          <cell r="AB29">
            <v>12600000</v>
          </cell>
          <cell r="AC29">
            <v>0</v>
          </cell>
          <cell r="AD29" t="str">
            <v>Chưa update</v>
          </cell>
          <cell r="AE29" t="str">
            <v>Từ khi trạm PS</v>
          </cell>
          <cell r="AF29" t="str">
            <v>3 tháng</v>
          </cell>
          <cell r="AH29" t="str">
            <v>2200116730002</v>
          </cell>
          <cell r="AI29" t="str">
            <v>Nguyễn Anh Khoa</v>
          </cell>
          <cell r="AJ29" t="str">
            <v>MB Bank</v>
          </cell>
          <cell r="AK29" t="str">
            <v>H4332-VT/DKV/2022</v>
          </cell>
        </row>
        <row r="30">
          <cell r="B30" t="str">
            <v>SGN0789</v>
          </cell>
          <cell r="C30" t="str">
            <v>Q.04</v>
          </cell>
          <cell r="D30">
            <v>106.704082</v>
          </cell>
          <cell r="E30">
            <v>10.758376</v>
          </cell>
          <cell r="F30" t="str">
            <v>Thửa đất số 79, Tờ số bản đồ số 14, địa chỉ: 122/27/109 Tôn Đản, Phường 8, Quận 4, Tp.HCM.</v>
          </cell>
          <cell r="G30" t="str">
            <v>Macro</v>
          </cell>
          <cell r="H30" t="str">
            <v>Không có</v>
          </cell>
          <cell r="I30" t="str">
            <v>Không có</v>
          </cell>
          <cell r="J30">
            <v>44727</v>
          </cell>
          <cell r="K30">
            <v>46552</v>
          </cell>
          <cell r="L30" t="str">
            <v>hoàn thành</v>
          </cell>
          <cell r="M30">
            <v>44757</v>
          </cell>
          <cell r="N30" t="str">
            <v>chưa nhận</v>
          </cell>
          <cell r="Y30" t="str">
            <v>Nguyễn Đắc Duy_0934078686</v>
          </cell>
          <cell r="Z30" t="str">
            <v>5,750,000</v>
          </cell>
          <cell r="AA30" t="str">
            <v>6,500,000</v>
          </cell>
          <cell r="AB30">
            <v>10700000</v>
          </cell>
          <cell r="AC30">
            <v>0</v>
          </cell>
          <cell r="AD30">
            <v>0</v>
          </cell>
          <cell r="AE30" t="str">
            <v>Từ khi trạm PS, k quá 2 tháng</v>
          </cell>
          <cell r="AF30" t="str">
            <v>3 tháng</v>
          </cell>
          <cell r="AH30" t="str">
            <v>13212000002119</v>
          </cell>
          <cell r="AI30" t="str">
            <v>Nguyễn Đắc Duy</v>
          </cell>
          <cell r="AJ30" t="str">
            <v>BIDV</v>
          </cell>
          <cell r="AK30" t="str">
            <v>S0789-VT/DKV/2022</v>
          </cell>
        </row>
        <row r="31">
          <cell r="B31" t="str">
            <v>SGN0580</v>
          </cell>
          <cell r="C31" t="str">
            <v>H.Bình Chánh</v>
          </cell>
          <cell r="D31">
            <v>106.5466876</v>
          </cell>
          <cell r="E31">
            <v>10.7735138</v>
          </cell>
          <cell r="F31" t="str">
            <v>Thửa đất số 733, tờ bản đồ số 122, địa chỉ: 2A24 Ấp 2, Xã Phạm Văn Hai, Huyện Bình Chánh, Tp.Hồ Chí Minh</v>
          </cell>
          <cell r="G31" t="str">
            <v>Macro</v>
          </cell>
          <cell r="H31" t="str">
            <v>Có</v>
          </cell>
          <cell r="I31" t="str">
            <v>Không có</v>
          </cell>
          <cell r="J31">
            <v>46023</v>
          </cell>
          <cell r="K31">
            <v>47848</v>
          </cell>
          <cell r="L31" t="str">
            <v>hoàn thành</v>
          </cell>
          <cell r="M31">
            <v>44788</v>
          </cell>
          <cell r="Y31" t="str">
            <v>Đinh Thái Lâm</v>
          </cell>
          <cell r="Z31">
            <v>5000000</v>
          </cell>
          <cell r="AA31">
            <v>6300000</v>
          </cell>
          <cell r="AB31">
            <v>10200000</v>
          </cell>
          <cell r="AC31">
            <v>0</v>
          </cell>
          <cell r="AD31">
            <v>0</v>
          </cell>
          <cell r="AE31" t="str">
            <v>Từ khi PS không quá 3 tháng</v>
          </cell>
          <cell r="AF31" t="str">
            <v>6 tháng</v>
          </cell>
          <cell r="AH31" t="str">
            <v>060252739761</v>
          </cell>
          <cell r="AI31" t="str">
            <v>Đinh Thái Lâm</v>
          </cell>
          <cell r="AJ31" t="str">
            <v>Sacombank</v>
          </cell>
          <cell r="AK31" t="str">
            <v>S0580-VT/DKV/2022</v>
          </cell>
        </row>
        <row r="32">
          <cell r="B32" t="str">
            <v>HCM1550-11</v>
          </cell>
          <cell r="C32" t="str">
            <v>H.Hóc Môn</v>
          </cell>
          <cell r="D32">
            <v>106.5781636</v>
          </cell>
          <cell r="E32">
            <v>10.854782500000001</v>
          </cell>
          <cell r="F32" t="str">
            <v>Thửa đất số 450, tờ bản đồ số 38, 84/12 ấp 2, Xuân Thới Thượng, Hóc Môn, TP.HCM</v>
          </cell>
          <cell r="G32" t="str">
            <v>RRU</v>
          </cell>
          <cell r="H32" t="str">
            <v>Không có</v>
          </cell>
          <cell r="I32" t="str">
            <v>Không có</v>
          </cell>
          <cell r="J32">
            <v>44772</v>
          </cell>
          <cell r="K32">
            <v>46597</v>
          </cell>
          <cell r="L32" t="str">
            <v>hoàn thành</v>
          </cell>
          <cell r="M32">
            <v>44824</v>
          </cell>
          <cell r="Y32" t="str">
            <v>Hoàng Thị Thu Thuỷ_0902502539</v>
          </cell>
          <cell r="Z32">
            <v>3000000</v>
          </cell>
          <cell r="AB32">
            <v>5700000</v>
          </cell>
          <cell r="AC32">
            <v>0</v>
          </cell>
          <cell r="AD32">
            <v>0</v>
          </cell>
          <cell r="AE32" t="str">
            <v>Từ khi trạm PS</v>
          </cell>
          <cell r="AF32" t="str">
            <v>3 tháng</v>
          </cell>
          <cell r="AH32" t="str">
            <v>31810000230918</v>
          </cell>
          <cell r="AI32" t="str">
            <v>Hoàng Thị Thu Thuỷ</v>
          </cell>
          <cell r="AJ32" t="str">
            <v>NH BIDV</v>
          </cell>
          <cell r="AK32" t="str">
            <v>H1550-11/VT/DKV/2022</v>
          </cell>
        </row>
        <row r="33">
          <cell r="B33" t="str">
            <v>SGN0676</v>
          </cell>
          <cell r="C33" t="str">
            <v>Q.Thủ Đức</v>
          </cell>
          <cell r="D33">
            <v>106.73014000000001</v>
          </cell>
          <cell r="E33">
            <v>10.886240000000001</v>
          </cell>
          <cell r="F33" t="str">
            <v>Thửa đất số 79, tờ bản đồ số 22, địa chỉ: 1038/15 TL43, Kp1 P.Bình Chiểu, Thành Phố Thủ Đức, Thành phố Hồ Chí Minh</v>
          </cell>
          <cell r="G33" t="str">
            <v>Macro</v>
          </cell>
          <cell r="H33" t="str">
            <v>Không có</v>
          </cell>
          <cell r="I33" t="str">
            <v>Có</v>
          </cell>
          <cell r="J33">
            <v>44774</v>
          </cell>
          <cell r="K33">
            <v>46599</v>
          </cell>
          <cell r="L33" t="str">
            <v>hoàn thành</v>
          </cell>
          <cell r="M33">
            <v>44788</v>
          </cell>
          <cell r="Y33" t="str">
            <v>Nguyễn Hữu Hồng</v>
          </cell>
          <cell r="Z33" t="str">
            <v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v>
          </cell>
          <cell r="AA33">
            <v>8500000</v>
          </cell>
          <cell r="AB33">
            <v>12600000</v>
          </cell>
          <cell r="AC33">
            <v>7000000</v>
          </cell>
          <cell r="AD33">
            <v>0</v>
          </cell>
          <cell r="AE33" t="str">
            <v>Từ khi trạm PS</v>
          </cell>
          <cell r="AF33" t="str">
            <v>6 tháng</v>
          </cell>
          <cell r="AH33" t="str">
            <v>14010000654036</v>
          </cell>
          <cell r="AI33" t="str">
            <v>Nguyễn Hữu Hồng</v>
          </cell>
          <cell r="AJ33" t="str">
            <v>NH BIDV</v>
          </cell>
          <cell r="AK33" t="str">
            <v>S0676-VT/DKV/2022</v>
          </cell>
        </row>
        <row r="34">
          <cell r="B34" t="str">
            <v>SGN0443</v>
          </cell>
          <cell r="C34" t="str">
            <v>H.Hóc Môn</v>
          </cell>
          <cell r="D34">
            <v>106.58684599999999</v>
          </cell>
          <cell r="E34">
            <v>10.848431</v>
          </cell>
          <cell r="F34" t="str">
            <v>Thửa đất số 612, Tờ số bản đồ số 55, địa chỉ: 18/82F  ấp 7, Xuân Thới Thượng, Hóc Môn Tp.HCM</v>
          </cell>
          <cell r="G34" t="str">
            <v>Macro</v>
          </cell>
          <cell r="H34" t="str">
            <v>Không có</v>
          </cell>
          <cell r="I34" t="str">
            <v>Không có</v>
          </cell>
          <cell r="J34">
            <v>44781</v>
          </cell>
          <cell r="K34">
            <v>46606</v>
          </cell>
          <cell r="L34" t="str">
            <v>hoàn thành</v>
          </cell>
          <cell r="M34">
            <v>44784</v>
          </cell>
          <cell r="Y34" t="str">
            <v>Nguyễn Thị Hồng Liên, a Cường_0764088296_0979141745</v>
          </cell>
          <cell r="Z34">
            <v>5000000</v>
          </cell>
          <cell r="AB34">
            <v>10000000</v>
          </cell>
          <cell r="AC34">
            <v>0</v>
          </cell>
          <cell r="AD34">
            <v>0</v>
          </cell>
          <cell r="AE34" t="str">
            <v>Khi trạm PS không quá 2 tháng</v>
          </cell>
          <cell r="AF34" t="str">
            <v>3 tháng</v>
          </cell>
          <cell r="AH34" t="str">
            <v>31810000506628</v>
          </cell>
          <cell r="AI34" t="str">
            <v>Đặng Kiên Cường</v>
          </cell>
          <cell r="AJ34" t="str">
            <v>BIDV</v>
          </cell>
          <cell r="AK34" t="str">
            <v>S0443-VT/DKV/2022</v>
          </cell>
        </row>
        <row r="35">
          <cell r="B35" t="str">
            <v>SGN0754</v>
          </cell>
          <cell r="C35" t="str">
            <v>Q.Bình Thạnh</v>
          </cell>
          <cell r="D35">
            <v>106.720461</v>
          </cell>
          <cell r="E35">
            <v>10.801625</v>
          </cell>
          <cell r="F35" t="str">
            <v>thửa đất số 26, tờ BĐ số 99, 96/50 đường D1, P.25, Quận Bình Thạnh TP.HCM.</v>
          </cell>
          <cell r="G35" t="str">
            <v>Macro</v>
          </cell>
          <cell r="H35" t="str">
            <v>Không có</v>
          </cell>
          <cell r="I35" t="str">
            <v>Không có</v>
          </cell>
          <cell r="J35">
            <v>44784</v>
          </cell>
          <cell r="K35">
            <v>46609</v>
          </cell>
          <cell r="L35" t="str">
            <v>hoàn thành</v>
          </cell>
          <cell r="M35">
            <v>44805</v>
          </cell>
          <cell r="Y35" t="str">
            <v>Kiều Thị Thuý Nga</v>
          </cell>
          <cell r="Z35">
            <v>7000000</v>
          </cell>
          <cell r="AA35">
            <v>7600000</v>
          </cell>
          <cell r="AB35">
            <v>12000000</v>
          </cell>
          <cell r="AC35">
            <v>0</v>
          </cell>
          <cell r="AD35">
            <v>0</v>
          </cell>
          <cell r="AE35" t="str">
            <v>Từ khi trạm PS</v>
          </cell>
          <cell r="AF35" t="str">
            <v>3 tháng</v>
          </cell>
          <cell r="AH35" t="str">
            <v>101006160611</v>
          </cell>
          <cell r="AI35" t="str">
            <v>Kiều Thị Thuý Nga</v>
          </cell>
          <cell r="AJ35" t="str">
            <v>Viettinbank</v>
          </cell>
          <cell r="AK35" t="str">
            <v>S0754-VN/DKV/2022</v>
          </cell>
        </row>
        <row r="36">
          <cell r="B36" t="str">
            <v>HCM2331-11</v>
          </cell>
          <cell r="C36" t="str">
            <v>H.Củ Chi</v>
          </cell>
          <cell r="D36">
            <v>106.5579609</v>
          </cell>
          <cell r="E36">
            <v>10.9276526</v>
          </cell>
          <cell r="F36" t="str">
            <v>Số 42 Quốc Lộ 22, Ấp Chợ, Xã Tân Phú Trung H. Củ Chi, TP. Hồ Chí Minh</v>
          </cell>
          <cell r="G36" t="str">
            <v>RRU</v>
          </cell>
          <cell r="H36" t="str">
            <v>Không có</v>
          </cell>
          <cell r="I36" t="str">
            <v>Có</v>
          </cell>
          <cell r="J36">
            <v>44774</v>
          </cell>
          <cell r="K36">
            <v>46599</v>
          </cell>
          <cell r="L36" t="str">
            <v>hoàn thành</v>
          </cell>
          <cell r="M36">
            <v>44774</v>
          </cell>
          <cell r="Y36" t="str">
            <v>BV Xuyên Á</v>
          </cell>
          <cell r="Z36">
            <v>5000000</v>
          </cell>
          <cell r="AB36">
            <v>7500000</v>
          </cell>
          <cell r="AC36">
            <v>6820000.0000000009</v>
          </cell>
          <cell r="AD36">
            <v>0</v>
          </cell>
          <cell r="AE36" t="str">
            <v>Từ khi trạm PS</v>
          </cell>
          <cell r="AF36" t="str">
            <v>3 tháng</v>
          </cell>
          <cell r="AH36" t="str">
            <v>6120201006313</v>
          </cell>
          <cell r="AI36" t="str">
            <v>Nguyễn Văn Châu</v>
          </cell>
          <cell r="AJ36" t="str">
            <v>NH Agribank</v>
          </cell>
          <cell r="AK36" t="str">
            <v>H2331-11/VT/DKV/2022</v>
          </cell>
        </row>
        <row r="37">
          <cell r="B37" t="str">
            <v>SGN0480</v>
          </cell>
          <cell r="C37" t="str">
            <v>Q.12</v>
          </cell>
          <cell r="D37">
            <v>106.64084200000001</v>
          </cell>
          <cell r="E37">
            <v>10.874141</v>
          </cell>
          <cell r="F37" t="str">
            <v>Thửa đất số 754, Tờ số bản đồ số 27, địa chỉ: 117 Đường HT19, Khu phố 6, Phường Hiệp Thành, Quận 12, Tp.HCM</v>
          </cell>
          <cell r="G37" t="str">
            <v>Macro</v>
          </cell>
          <cell r="H37" t="str">
            <v>Không có</v>
          </cell>
          <cell r="I37" t="str">
            <v>Không có</v>
          </cell>
          <cell r="J37">
            <v>44826</v>
          </cell>
          <cell r="K37">
            <v>46651</v>
          </cell>
          <cell r="L37" t="str">
            <v>hoàn thành</v>
          </cell>
          <cell r="Y37" t="str">
            <v>Chị Nga_0975014207</v>
          </cell>
          <cell r="Z37">
            <v>5000000</v>
          </cell>
          <cell r="AA37">
            <v>6500000</v>
          </cell>
          <cell r="AB37">
            <v>10500000</v>
          </cell>
          <cell r="AC37">
            <v>0</v>
          </cell>
          <cell r="AD37">
            <v>0</v>
          </cell>
          <cell r="AE37">
            <v>44896</v>
          </cell>
          <cell r="AF37" t="str">
            <v>3 tháng</v>
          </cell>
          <cell r="AH37" t="str">
            <v>0109536714</v>
          </cell>
          <cell r="AI37" t="str">
            <v xml:space="preserve">Hà Thị Nga </v>
          </cell>
          <cell r="AJ37" t="str">
            <v>Ngân hàng Đông Á</v>
          </cell>
          <cell r="AK37" t="str">
            <v>S0480 -VT/DKV/2022</v>
          </cell>
        </row>
        <row r="38">
          <cell r="B38" t="str">
            <v>SGN0504</v>
          </cell>
          <cell r="C38" t="str">
            <v>Q.Tân Phú</v>
          </cell>
          <cell r="D38">
            <v>106.619451</v>
          </cell>
          <cell r="E38">
            <v>10.787967</v>
          </cell>
          <cell r="F38" t="str">
            <v>Thửa đất số 1, Tờ số bản đồ số 32, địa chỉ: 177 Lê Thúc Hoạch, Phường Phú Thọ Hòa, Quận Tân Phú, Tp.HCM</v>
          </cell>
          <cell r="G38" t="str">
            <v>c</v>
          </cell>
          <cell r="H38" t="str">
            <v>Không có</v>
          </cell>
          <cell r="I38" t="str">
            <v>Không có</v>
          </cell>
          <cell r="J38">
            <v>44828</v>
          </cell>
          <cell r="K38">
            <v>46653</v>
          </cell>
          <cell r="L38" t="str">
            <v>hoàn thành</v>
          </cell>
          <cell r="Y38" t="str">
            <v>Chưa update</v>
          </cell>
          <cell r="Z38">
            <v>5500000</v>
          </cell>
          <cell r="AA38">
            <v>6800000</v>
          </cell>
          <cell r="AB38">
            <v>11000000</v>
          </cell>
          <cell r="AC38">
            <v>0</v>
          </cell>
          <cell r="AD38">
            <v>0</v>
          </cell>
          <cell r="AE38">
            <v>44896</v>
          </cell>
          <cell r="AF38" t="str">
            <v>3 tháng</v>
          </cell>
          <cell r="AH38" t="str">
            <v>060234285591</v>
          </cell>
          <cell r="AI38" t="str">
            <v xml:space="preserve">Duong Thai Anh </v>
          </cell>
          <cell r="AJ38" t="str">
            <v>Ngân hàng Sacombank</v>
          </cell>
          <cell r="AK38" t="str">
            <v>S0504 -VT/DKV/2022</v>
          </cell>
        </row>
        <row r="39">
          <cell r="B39" t="str">
            <v>SGN0160</v>
          </cell>
          <cell r="C39" t="str">
            <v>Q.Gò Vấp</v>
          </cell>
          <cell r="D39">
            <v>106.674189</v>
          </cell>
          <cell r="E39">
            <v>10.830633000000001</v>
          </cell>
          <cell r="F39" t="str">
            <v>Công ty Cổ phần 32, địa chỉ: 170 Quang Trung, Phường 10, Gò Vấp Tp.HCM.</v>
          </cell>
          <cell r="G39" t="str">
            <v>Macro</v>
          </cell>
          <cell r="H39" t="str">
            <v>Không có</v>
          </cell>
          <cell r="I39" t="str">
            <v>Không có</v>
          </cell>
          <cell r="J39">
            <v>44813</v>
          </cell>
          <cell r="K39">
            <v>46638</v>
          </cell>
          <cell r="L39" t="str">
            <v>hoàn thành</v>
          </cell>
          <cell r="Y39" t="str">
            <v>Chưa update</v>
          </cell>
          <cell r="Z39">
            <v>7700000</v>
          </cell>
          <cell r="AA39">
            <v>7700000</v>
          </cell>
          <cell r="AB39">
            <v>11400000</v>
          </cell>
          <cell r="AC39">
            <v>7400000</v>
          </cell>
          <cell r="AD39">
            <v>0</v>
          </cell>
          <cell r="AE39" t="str">
            <v>PS</v>
          </cell>
          <cell r="AF39" t="str">
            <v>3 tháng</v>
          </cell>
          <cell r="AH39" t="str">
            <v>20111 0000 3006</v>
          </cell>
          <cell r="AI39" t="str">
            <v>Công ty CP 32</v>
          </cell>
          <cell r="AJ39" t="str">
            <v>TMCP Quân Đội - Bắc SG</v>
          </cell>
          <cell r="AK39" t="str">
            <v>S0160 -VT/DKV/2022</v>
          </cell>
        </row>
        <row r="40">
          <cell r="B40" t="str">
            <v>SGN0792</v>
          </cell>
          <cell r="C40" t="str">
            <v>Q.Bình Tân</v>
          </cell>
          <cell r="D40">
            <v>106.59792899999999</v>
          </cell>
          <cell r="E40">
            <v>10.821275999999999</v>
          </cell>
          <cell r="F40" t="str">
            <v>Thửa đất số 59, Tờ số bản đồ số 12, địa chỉ: 140 Bùi Dương Lịch, Phường Bình Hưng Hòa B, Quận Bình Tân, Tp.HCM.</v>
          </cell>
          <cell r="G40" t="str">
            <v>Macro</v>
          </cell>
          <cell r="H40" t="str">
            <v>Không có</v>
          </cell>
          <cell r="I40" t="str">
            <v>Không có</v>
          </cell>
          <cell r="J40">
            <v>44835</v>
          </cell>
          <cell r="K40">
            <v>46660</v>
          </cell>
          <cell r="L40" t="str">
            <v>hoàn thành</v>
          </cell>
          <cell r="M40">
            <v>44844</v>
          </cell>
          <cell r="Y40" t="str">
            <v>Anh Quế_0373839678</v>
          </cell>
          <cell r="Z40">
            <v>6000000</v>
          </cell>
          <cell r="AB40">
            <v>12100000</v>
          </cell>
          <cell r="AC40">
            <v>0</v>
          </cell>
          <cell r="AD40">
            <v>0</v>
          </cell>
          <cell r="AE40">
            <v>44896</v>
          </cell>
          <cell r="AF40" t="str">
            <v>6 tháng</v>
          </cell>
          <cell r="AH40" t="str">
            <v>6360903176599</v>
          </cell>
          <cell r="AI40" t="str">
            <v>Nguyễn Văn Quế</v>
          </cell>
          <cell r="AJ40" t="str">
            <v>Ngân hàng Agribank</v>
          </cell>
          <cell r="AK40" t="str">
            <v>S0792 -VT/DKV/2022</v>
          </cell>
        </row>
        <row r="41">
          <cell r="B41" t="str">
            <v>HCM3266</v>
          </cell>
          <cell r="C41" t="str">
            <v>Q.Bình Thạnh</v>
          </cell>
          <cell r="D41">
            <v>106.687494</v>
          </cell>
          <cell r="E41">
            <v>10.810822</v>
          </cell>
          <cell r="F41" t="str">
            <v>Thửa đất số 424, Tờ số bản đồ số 31, địa chỉ: 19/34 Trần Bình Trọng, Phường 5, Quận Bình Thạnh, Tp.HCM</v>
          </cell>
          <cell r="G41" t="str">
            <v>Macro</v>
          </cell>
          <cell r="H41" t="str">
            <v>Không có</v>
          </cell>
          <cell r="I41" t="str">
            <v>Không có</v>
          </cell>
          <cell r="J41">
            <v>44859</v>
          </cell>
          <cell r="K41">
            <v>46684</v>
          </cell>
          <cell r="L41" t="str">
            <v>hoàn thành</v>
          </cell>
          <cell r="Y41" t="str">
            <v>Chưa update</v>
          </cell>
          <cell r="Z41">
            <v>7000000</v>
          </cell>
          <cell r="AB41">
            <v>11900000</v>
          </cell>
          <cell r="AC41">
            <v>0</v>
          </cell>
          <cell r="AD41">
            <v>0</v>
          </cell>
          <cell r="AE41" t="str">
            <v>PS</v>
          </cell>
          <cell r="AF41" t="str">
            <v>6 tháng</v>
          </cell>
          <cell r="AH41" t="str">
            <v>0531002535283</v>
          </cell>
          <cell r="AI41" t="str">
            <v>Hồ Hoàng Nam</v>
          </cell>
          <cell r="AJ41" t="str">
            <v>Ngân hàng Vietcombank</v>
          </cell>
          <cell r="AK41" t="str">
            <v>H3266-VT/DKV/2022</v>
          </cell>
        </row>
        <row r="42">
          <cell r="B42" t="str">
            <v>SGN0862</v>
          </cell>
          <cell r="C42" t="str">
            <v>Q.Bình Thạnh</v>
          </cell>
          <cell r="D42">
            <v>106.719729</v>
          </cell>
          <cell r="E42">
            <v>10.806206</v>
          </cell>
          <cell r="F42" t="str">
            <v>Thửa đất số 11, Tờ số bản đồ số 34, địa chỉ: 170 Ung Văn Khiêm, Phường 25, Quận Bình Thạnh, Tp.HCM</v>
          </cell>
          <cell r="G42" t="str">
            <v>Macro</v>
          </cell>
          <cell r="H42" t="str">
            <v>Không có</v>
          </cell>
          <cell r="I42" t="str">
            <v>Không có</v>
          </cell>
          <cell r="J42">
            <v>44881</v>
          </cell>
          <cell r="K42">
            <v>46706</v>
          </cell>
          <cell r="Y42" t="str">
            <v>Chưa update</v>
          </cell>
          <cell r="Z42">
            <v>8000000</v>
          </cell>
          <cell r="AB42">
            <v>12600000</v>
          </cell>
          <cell r="AC42">
            <v>0</v>
          </cell>
          <cell r="AD42">
            <v>0</v>
          </cell>
          <cell r="AE42" t="str">
            <v>PS</v>
          </cell>
          <cell r="AF42" t="str">
            <v>3 tháng</v>
          </cell>
          <cell r="AH42" t="str">
            <v>2310718</v>
          </cell>
          <cell r="AI42" t="str">
            <v xml:space="preserve">Nguyễn Khắc Anh </v>
          </cell>
          <cell r="AJ42" t="str">
            <v>Ngân hàng ACB Chi nhánh Bình Thạnh</v>
          </cell>
          <cell r="AK42" t="str">
            <v>S862-VT/DKV/2022</v>
          </cell>
        </row>
        <row r="43">
          <cell r="B43" t="str">
            <v>HCM1636-12</v>
          </cell>
          <cell r="C43" t="str">
            <v>Q.Gò Vấp</v>
          </cell>
          <cell r="D43">
            <v>106.697784</v>
          </cell>
          <cell r="E43">
            <v>10.826632999999999</v>
          </cell>
          <cell r="F43" t="str">
            <v>Thửa đất số 501, Tờ số bản đồ số 99, địa chỉ: 56 Đường số 6, Phường 05, Quận Gò Vấp, Tp.HCM</v>
          </cell>
          <cell r="G43" t="str">
            <v>RRU</v>
          </cell>
          <cell r="H43" t="str">
            <v>Không có</v>
          </cell>
          <cell r="I43" t="str">
            <v>Có</v>
          </cell>
          <cell r="J43">
            <v>44885</v>
          </cell>
          <cell r="K43">
            <v>46710</v>
          </cell>
          <cell r="Y43" t="str">
            <v>Chưa update</v>
          </cell>
          <cell r="Z43">
            <v>7000000</v>
          </cell>
          <cell r="AA43">
            <v>5300000</v>
          </cell>
          <cell r="AB43">
            <v>8000000</v>
          </cell>
          <cell r="AC43">
            <v>6500000</v>
          </cell>
          <cell r="AD43">
            <v>0</v>
          </cell>
          <cell r="AE43" t="str">
            <v>PS</v>
          </cell>
          <cell r="AF43" t="str">
            <v>3 tháng</v>
          </cell>
          <cell r="AH43" t="str">
            <v>19033785562018</v>
          </cell>
          <cell r="AI43" t="str">
            <v>Đặng Ngọc Phúc</v>
          </cell>
          <cell r="AJ43" t="str">
            <v>Ngân hàng Techcombank</v>
          </cell>
          <cell r="AK43" t="str">
            <v>H1636-12-VT/DKV/2022</v>
          </cell>
        </row>
        <row r="44">
          <cell r="B44" t="str">
            <v>SGN1092</v>
          </cell>
          <cell r="C44" t="str">
            <v>Q.09</v>
          </cell>
          <cell r="D44">
            <v>106.80708300000001</v>
          </cell>
          <cell r="E44">
            <v>10.852672999999999</v>
          </cell>
          <cell r="F44" t="str">
            <v>614/39 đường 614, P.Phước Long B, TP.Thủ Đức, TPHCM. Thửa đất số 65, Tờ số bản đồ số 618, địa chỉ Phường Tân Phú, Quận 9, Tp.HCM</v>
          </cell>
          <cell r="G44" t="str">
            <v>Macro</v>
          </cell>
          <cell r="H44" t="str">
            <v>Không có</v>
          </cell>
          <cell r="I44" t="str">
            <v>Không có</v>
          </cell>
          <cell r="J44">
            <v>44985</v>
          </cell>
          <cell r="K44">
            <v>46810</v>
          </cell>
          <cell r="Y44" t="str">
            <v>Chưa update</v>
          </cell>
          <cell r="Z44">
            <v>6500000</v>
          </cell>
          <cell r="AB44">
            <v>11400000</v>
          </cell>
          <cell r="AC44">
            <v>0</v>
          </cell>
          <cell r="AD44">
            <v>0</v>
          </cell>
          <cell r="AE44" t="str">
            <v>PS</v>
          </cell>
          <cell r="AF44" t="str">
            <v>3 tháng</v>
          </cell>
          <cell r="AH44" t="str">
            <v>22097788</v>
          </cell>
          <cell r="AI44" t="str">
            <v>Hà Thị Thuý Nga</v>
          </cell>
          <cell r="AJ44" t="str">
            <v>Ngân hàng ACB</v>
          </cell>
          <cell r="AK44" t="str">
            <v>S1092 -VT/DKV/2023</v>
          </cell>
        </row>
        <row r="45">
          <cell r="B45" t="str">
            <v>HCM4639</v>
          </cell>
          <cell r="C45" t="str">
            <v>Q.Bình Tân</v>
          </cell>
          <cell r="D45">
            <v>106.58574299999999</v>
          </cell>
          <cell r="E45">
            <v>10.793623999999999</v>
          </cell>
          <cell r="F45" t="str">
            <v>Thửa đất số 391, Tờ số bản đồ số 131, địa chỉ: 184A đường số 6, Phường Bình Hưng Hòa, Q.Bình Tân, Tp.HCM</v>
          </cell>
          <cell r="G45" t="str">
            <v>Macro</v>
          </cell>
          <cell r="H45" t="str">
            <v>Không có</v>
          </cell>
          <cell r="I45" t="str">
            <v>Không có</v>
          </cell>
          <cell r="J45">
            <v>45001</v>
          </cell>
          <cell r="K45">
            <v>46827</v>
          </cell>
          <cell r="Y45" t="str">
            <v>Chưa update</v>
          </cell>
          <cell r="Z45">
            <v>6000000</v>
          </cell>
          <cell r="AB45">
            <v>11000000</v>
          </cell>
          <cell r="AC45">
            <v>0</v>
          </cell>
          <cell r="AD45">
            <v>0</v>
          </cell>
          <cell r="AF45" t="str">
            <v>3 tháng</v>
          </cell>
          <cell r="AH45" t="str">
            <v>060140286845</v>
          </cell>
          <cell r="AI45" t="str">
            <v>Nguyễn Ngọc Cương</v>
          </cell>
          <cell r="AJ45" t="str">
            <v>Sacombank</v>
          </cell>
          <cell r="AK45" t="str">
            <v>H4639 -VT/DKV/2023</v>
          </cell>
        </row>
        <row r="46">
          <cell r="B46" t="str">
            <v>HCM1041-13</v>
          </cell>
          <cell r="C46" t="str">
            <v>Q.03</v>
          </cell>
          <cell r="D46">
            <v>106.67829</v>
          </cell>
          <cell r="E46">
            <v>10.7887</v>
          </cell>
          <cell r="F46" t="str">
            <v>Thửa đất số 87, tờ bản đồ số 16, địa chỉ: 44 Trần Quang Diệu, Phường 14, Quận 3, TpHCM</v>
          </cell>
          <cell r="G46" t="str">
            <v>RRU</v>
          </cell>
          <cell r="H46" t="str">
            <v>Không có</v>
          </cell>
          <cell r="I46" t="str">
            <v>Không có</v>
          </cell>
          <cell r="J46">
            <v>44985</v>
          </cell>
          <cell r="K46">
            <v>46810</v>
          </cell>
          <cell r="Y46" t="str">
            <v>Anh Khoa</v>
          </cell>
          <cell r="Z46">
            <v>0</v>
          </cell>
          <cell r="AB46">
            <v>6500000</v>
          </cell>
          <cell r="AC46">
            <v>0</v>
          </cell>
          <cell r="AD46">
            <v>0</v>
          </cell>
          <cell r="AF46" t="str">
            <v>3 tháng</v>
          </cell>
          <cell r="AH46" t="str">
            <v>1010127605008</v>
          </cell>
          <cell r="AI46" t="str">
            <v>Nguyễn Thảo Quyên</v>
          </cell>
          <cell r="AJ46" t="str">
            <v>MB Bank</v>
          </cell>
          <cell r="AK46" t="str">
            <v>H1041-13 -VT/DKV/2023</v>
          </cell>
        </row>
        <row r="47">
          <cell r="B47" t="str">
            <v>SGN0339_a Dũng</v>
          </cell>
          <cell r="C47" t="str">
            <v>Q.Bình Thạnh</v>
          </cell>
          <cell r="D47">
            <v>106.71091</v>
          </cell>
          <cell r="E47">
            <v>10.79884</v>
          </cell>
          <cell r="F47" t="str">
            <v>Thửa đất số 59, Tờ BĐ số 10, 163 Xô Viết Nghệ Tĩnh P17 Quận Bình Thạnh HCM</v>
          </cell>
          <cell r="G47" t="str">
            <v>Macro</v>
          </cell>
          <cell r="H47" t="str">
            <v>Không có</v>
          </cell>
          <cell r="I47" t="str">
            <v>Không có</v>
          </cell>
          <cell r="J47" t="str">
            <v>Chưa update</v>
          </cell>
          <cell r="K47" t="str">
            <v>Chưa update</v>
          </cell>
          <cell r="M47">
            <v>44510</v>
          </cell>
          <cell r="Y47" t="str">
            <v>A Dũng</v>
          </cell>
          <cell r="Z47">
            <v>0</v>
          </cell>
          <cell r="AB47">
            <v>10700000</v>
          </cell>
          <cell r="AC47">
            <v>0</v>
          </cell>
          <cell r="AD47">
            <v>0</v>
          </cell>
          <cell r="AF47" t="str">
            <v>6 tháng</v>
          </cell>
          <cell r="AH47" t="str">
            <v>100.000.136.053</v>
          </cell>
          <cell r="AI47" t="str">
            <v>Nguyễn Thị Ấm</v>
          </cell>
          <cell r="AJ47" t="str">
            <v xml:space="preserve">NH Vietinbank </v>
          </cell>
          <cell r="AK47" t="str">
            <v>H0339</v>
          </cell>
        </row>
        <row r="48">
          <cell r="B48" t="str">
            <v>HCM0926-11</v>
          </cell>
          <cell r="C48" t="str">
            <v>Q.Tân Phú</v>
          </cell>
          <cell r="D48">
            <v>106.627933</v>
          </cell>
          <cell r="E48">
            <v>10.788978999999999</v>
          </cell>
          <cell r="F48" t="str">
            <v>Thửa đất số 343, tờ bản đồ số 58, 196/42 Vườn Lài, Phường Tân Thành, Quận Tân Phú, TpHCM</v>
          </cell>
          <cell r="G48" t="str">
            <v>RRU</v>
          </cell>
          <cell r="H48" t="str">
            <v>Không có</v>
          </cell>
          <cell r="I48" t="str">
            <v>Không có</v>
          </cell>
          <cell r="J48">
            <v>45102</v>
          </cell>
          <cell r="K48">
            <v>46928</v>
          </cell>
          <cell r="Y48" t="str">
            <v>a Thắng_0916285729</v>
          </cell>
          <cell r="Z48">
            <v>4300000</v>
          </cell>
          <cell r="AA48">
            <v>4500000</v>
          </cell>
          <cell r="AB48">
            <v>6500000</v>
          </cell>
          <cell r="AC48">
            <v>0</v>
          </cell>
          <cell r="AD48">
            <v>0</v>
          </cell>
          <cell r="AF48" t="str">
            <v>6 tháng</v>
          </cell>
          <cell r="AH48" t="str">
            <v>1603205228943</v>
          </cell>
          <cell r="AI48" t="str">
            <v>Nguyễn Hoàng Yến</v>
          </cell>
          <cell r="AJ48" t="str">
            <v xml:space="preserve">Agribank </v>
          </cell>
          <cell r="AK48" t="str">
            <v>H0926-11 -VT/DKV/2023</v>
          </cell>
        </row>
        <row r="49">
          <cell r="B49" t="str">
            <v>SGN1007</v>
          </cell>
          <cell r="C49" t="str">
            <v>Tp.Thủ Đức</v>
          </cell>
          <cell r="D49">
            <v>106.7666253</v>
          </cell>
          <cell r="E49">
            <v>10.8351422</v>
          </cell>
          <cell r="F49" t="str">
            <v>Thửa đất số 41, Tờ bản đồ số 04 BĐC xã Phước Long, địa chỉ: 21 Đỗ Xuân Hợp, Phước Long B, Tp.Thủ Đức, Hồ Chí Minh</v>
          </cell>
          <cell r="G49" t="str">
            <v>Macro</v>
          </cell>
          <cell r="H49" t="str">
            <v>Không có</v>
          </cell>
          <cell r="I49" t="str">
            <v>Không có</v>
          </cell>
          <cell r="J49">
            <v>45061</v>
          </cell>
          <cell r="K49">
            <v>46887</v>
          </cell>
          <cell r="Y49" t="str">
            <v>Chưa update</v>
          </cell>
          <cell r="Z49">
            <v>6000000</v>
          </cell>
          <cell r="AB49">
            <v>11200000</v>
          </cell>
          <cell r="AC49">
            <v>0</v>
          </cell>
          <cell r="AD49">
            <v>0</v>
          </cell>
          <cell r="AF49" t="str">
            <v>6 tháng</v>
          </cell>
          <cell r="AH49" t="str">
            <v>1020192779779</v>
          </cell>
          <cell r="AI49" t="str">
            <v>Trần Phú Lâm</v>
          </cell>
          <cell r="AJ49" t="str">
            <v>MB Bank</v>
          </cell>
          <cell r="AK49" t="str">
            <v>S1007-VT/DKV/2023</v>
          </cell>
        </row>
        <row r="50">
          <cell r="B50" t="str">
            <v>HCM1065-11</v>
          </cell>
          <cell r="C50" t="str">
            <v>Q.10</v>
          </cell>
          <cell r="D50">
            <v>106.663482</v>
          </cell>
          <cell r="E50">
            <v>10.76826</v>
          </cell>
          <cell r="F50" t="str">
            <v>Thửa đất số 13, tờ bản đồ số 49, địa chỉ: 100/22 Nguyễn Ngọc Lộc, Phường 14, Quận 10, TpHCM</v>
          </cell>
          <cell r="G50" t="str">
            <v>RRU</v>
          </cell>
          <cell r="H50" t="str">
            <v>Không có</v>
          </cell>
          <cell r="I50" t="str">
            <v>Không có</v>
          </cell>
          <cell r="J50">
            <v>45078</v>
          </cell>
          <cell r="K50">
            <v>46904</v>
          </cell>
          <cell r="Y50" t="str">
            <v>Chưa update</v>
          </cell>
          <cell r="Z50">
            <v>4000000</v>
          </cell>
          <cell r="AA50">
            <v>5000000</v>
          </cell>
          <cell r="AB50">
            <v>7000000</v>
          </cell>
          <cell r="AC50">
            <v>0</v>
          </cell>
          <cell r="AD50">
            <v>0</v>
          </cell>
          <cell r="AF50" t="str">
            <v>6 tháng</v>
          </cell>
          <cell r="AH50" t="str">
            <v>060141139919</v>
          </cell>
          <cell r="AI50" t="str">
            <v>Nguyễn Thị Dung</v>
          </cell>
          <cell r="AJ50" t="str">
            <v>Sacombank</v>
          </cell>
          <cell r="AK50" t="str">
            <v>H1065-11-VT/DKV/2023</v>
          </cell>
        </row>
        <row r="51">
          <cell r="B51" t="str">
            <v>HCM1074-12</v>
          </cell>
          <cell r="C51" t="str">
            <v>Q.10</v>
          </cell>
          <cell r="D51">
            <v>106.66824699999999</v>
          </cell>
          <cell r="E51">
            <v>10.784117</v>
          </cell>
          <cell r="F51" t="str">
            <v>Thửa đất số 26, tờ bản đồ số 30, địa chỉ: 601/8/9 CMT8, Phường 15, Quận 10, TpHCM</v>
          </cell>
          <cell r="G51" t="str">
            <v>RRU</v>
          </cell>
          <cell r="H51" t="str">
            <v>Không có</v>
          </cell>
          <cell r="I51" t="str">
            <v>Không có</v>
          </cell>
          <cell r="J51">
            <v>45078</v>
          </cell>
          <cell r="K51">
            <v>46904</v>
          </cell>
          <cell r="Y51" t="str">
            <v>Chị Linh_0938089918</v>
          </cell>
          <cell r="Z51">
            <v>4000000</v>
          </cell>
          <cell r="AA51">
            <v>5000000</v>
          </cell>
          <cell r="AB51">
            <v>7000000</v>
          </cell>
          <cell r="AC51">
            <v>0</v>
          </cell>
          <cell r="AD51">
            <v>0</v>
          </cell>
          <cell r="AF51" t="str">
            <v>6 tháng</v>
          </cell>
          <cell r="AH51" t="str">
            <v>0938089918</v>
          </cell>
          <cell r="AI51" t="str">
            <v>Nguyễn Ngọc Diệp Phương Linh</v>
          </cell>
          <cell r="AJ51" t="str">
            <v>Mbbank</v>
          </cell>
          <cell r="AK51" t="str">
            <v>H1074-12-VT/DKV/2023</v>
          </cell>
        </row>
        <row r="52">
          <cell r="B52" t="str">
            <v>SGN0203</v>
          </cell>
          <cell r="C52" t="str">
            <v>Q.Tân Phú</v>
          </cell>
          <cell r="D52">
            <v>106.636156</v>
          </cell>
          <cell r="E52">
            <v>10.783979</v>
          </cell>
          <cell r="F52" t="str">
            <v>Thửa đất số 45, Tờ số bản đồ số 16, địa chỉ: 763 Luỹ Bán Bích, Phường Phú Thọ Hòa, Quân Tân Phú, TP.HCM.</v>
          </cell>
          <cell r="G52" t="str">
            <v>Macro</v>
          </cell>
          <cell r="H52" t="str">
            <v>Không có</v>
          </cell>
          <cell r="I52" t="str">
            <v>Không có</v>
          </cell>
          <cell r="J52">
            <v>45073</v>
          </cell>
          <cell r="K52">
            <v>46899</v>
          </cell>
          <cell r="Y52" t="str">
            <v>Chưa update</v>
          </cell>
          <cell r="Z52">
            <v>6500000</v>
          </cell>
          <cell r="AB52">
            <v>10100000</v>
          </cell>
          <cell r="AC52">
            <v>0</v>
          </cell>
          <cell r="AD52">
            <v>0</v>
          </cell>
          <cell r="AF52" t="str">
            <v>6 tháng</v>
          </cell>
          <cell r="AH52" t="str">
            <v>000001927590</v>
          </cell>
          <cell r="AI52" t="str">
            <v xml:space="preserve">Lê Văn Thành  </v>
          </cell>
          <cell r="AJ52" t="str">
            <v>VietBank</v>
          </cell>
          <cell r="AK52" t="str">
            <v>S0203 -VT/DKV/2023</v>
          </cell>
        </row>
        <row r="53">
          <cell r="B53" t="str">
            <v>SGN1012</v>
          </cell>
          <cell r="C53" t="str">
            <v>Tp.Thủ Đức</v>
          </cell>
          <cell r="D53">
            <v>106.732218</v>
          </cell>
          <cell r="E53">
            <v>10.863514</v>
          </cell>
          <cell r="F53" t="str">
            <v>Thửa đất số 597, tờ bản đồ số 108, địa chỉ: G5 Đường số 5, Khu dân cư Tam Bình, KP4, Phường Tam Bình, TP.Thủ Đức, TP.HCM</v>
          </cell>
          <cell r="G53" t="str">
            <v>Macro</v>
          </cell>
          <cell r="H53" t="str">
            <v>Không có</v>
          </cell>
          <cell r="I53" t="str">
            <v>Không có</v>
          </cell>
          <cell r="J53">
            <v>45232</v>
          </cell>
          <cell r="K53">
            <v>47058</v>
          </cell>
          <cell r="Y53" t="str">
            <v>Chưa update</v>
          </cell>
          <cell r="Z53">
            <v>6000000</v>
          </cell>
          <cell r="AA53">
            <v>7000000</v>
          </cell>
          <cell r="AB53">
            <v>10200000</v>
          </cell>
          <cell r="AC53">
            <v>0</v>
          </cell>
          <cell r="AD53">
            <v>0</v>
          </cell>
          <cell r="AF53" t="str">
            <v>6 tháng</v>
          </cell>
          <cell r="AH53" t="str">
            <v>686861972</v>
          </cell>
          <cell r="AI53" t="str">
            <v>Nguyễn Minh Đức</v>
          </cell>
          <cell r="AJ53" t="str">
            <v>Mbbank</v>
          </cell>
          <cell r="AK53" t="str">
            <v>S1012 -VT/DKV/2023</v>
          </cell>
        </row>
        <row r="54">
          <cell r="B54" t="str">
            <v>SGN1008</v>
          </cell>
          <cell r="C54" t="str">
            <v>Tp.Thủ Đức</v>
          </cell>
          <cell r="D54">
            <v>106.755152</v>
          </cell>
          <cell r="E54">
            <v>10.838282</v>
          </cell>
          <cell r="F54" t="str">
            <v>Thửa đất số 607, tờ bản đồ số 66, địa chỉ: 44C Đường số 12, KP9, Phường Trường Thọ, TP.Thủ Đức, TP.HCM</v>
          </cell>
          <cell r="G54" t="str">
            <v>Macro</v>
          </cell>
          <cell r="H54" t="str">
            <v>Không có</v>
          </cell>
          <cell r="I54" t="str">
            <v>Không có</v>
          </cell>
          <cell r="J54">
            <v>45216</v>
          </cell>
          <cell r="K54">
            <v>47042</v>
          </cell>
          <cell r="Y54" t="str">
            <v>Chưa update</v>
          </cell>
          <cell r="Z54">
            <v>6000000</v>
          </cell>
          <cell r="AA54">
            <v>7000000</v>
          </cell>
          <cell r="AB54">
            <v>11300000</v>
          </cell>
          <cell r="AC54">
            <v>0</v>
          </cell>
          <cell r="AD54">
            <v>0</v>
          </cell>
          <cell r="AF54" t="str">
            <v>6 tháng</v>
          </cell>
          <cell r="AH54" t="str">
            <v>072100058574</v>
          </cell>
          <cell r="AI54" t="str">
            <v>Hồ Hữu Hải</v>
          </cell>
          <cell r="AJ54" t="str">
            <v>VietComBank chi nhánh Kỳ Đồng</v>
          </cell>
          <cell r="AK54" t="str">
            <v>S10008 -VT/DKV/2023</v>
          </cell>
        </row>
        <row r="55">
          <cell r="B55" t="str">
            <v>SGN1273</v>
          </cell>
          <cell r="C55" t="str">
            <v>Tp.Thủ Đức</v>
          </cell>
          <cell r="D55">
            <v>106.832753</v>
          </cell>
          <cell r="E55">
            <v>10.887543000000001</v>
          </cell>
          <cell r="F55" t="str">
            <v>Thửa đất số 457, Tờ bản đồ số 17, địa chỉ: Số 3 Đường Số 1 Khu Tái Định Cư Long Sơn Phường Long Bình Tp. Thủ Đức (Quận 9 cũ)</v>
          </cell>
          <cell r="G55" t="str">
            <v>Macro</v>
          </cell>
          <cell r="H55" t="str">
            <v>Không có</v>
          </cell>
          <cell r="I55" t="str">
            <v>Không có</v>
          </cell>
          <cell r="J55">
            <v>45164</v>
          </cell>
          <cell r="K55">
            <v>46990</v>
          </cell>
          <cell r="Y55" t="str">
            <v>Chưa update</v>
          </cell>
          <cell r="Z55">
            <v>6000000</v>
          </cell>
          <cell r="AB55">
            <v>12000000</v>
          </cell>
          <cell r="AC55">
            <v>0</v>
          </cell>
          <cell r="AD55">
            <v>0</v>
          </cell>
          <cell r="AF55" t="str">
            <v>6 tháng</v>
          </cell>
          <cell r="AH55" t="str">
            <v>0381000416443</v>
          </cell>
          <cell r="AI55" t="str">
            <v>Trương Minh Hùng</v>
          </cell>
          <cell r="AJ55" t="str">
            <v>Ngân hàng Vietcombank CN Thủ Đức</v>
          </cell>
          <cell r="AK55" t="str">
            <v>S1273 -VT/DKV/2023</v>
          </cell>
        </row>
        <row r="56">
          <cell r="B56" t="str">
            <v>HCM2434-11</v>
          </cell>
          <cell r="C56" t="str">
            <v>Q.03</v>
          </cell>
          <cell r="D56">
            <v>106.67816500000001</v>
          </cell>
          <cell r="E56">
            <v>10.767367</v>
          </cell>
          <cell r="F56" t="str">
            <v>Thửa đất số 6, tờ bản đồ số 18, địa chỉ: 166/5/63 Lý Thái Tổ, Phường 1, Quận 3, TP. Hồ Chí Minh.</v>
          </cell>
          <cell r="G56" t="str">
            <v>RRU</v>
          </cell>
          <cell r="H56" t="str">
            <v>Không có</v>
          </cell>
          <cell r="I56" t="str">
            <v>Không có</v>
          </cell>
          <cell r="J56">
            <v>45225</v>
          </cell>
          <cell r="K56">
            <v>47051</v>
          </cell>
          <cell r="Y56" t="str">
            <v>Chưa update</v>
          </cell>
          <cell r="Z56">
            <v>4000000</v>
          </cell>
          <cell r="AB56">
            <v>6600000</v>
          </cell>
          <cell r="AC56">
            <v>0</v>
          </cell>
          <cell r="AD56">
            <v>0</v>
          </cell>
          <cell r="AF56" t="str">
            <v>6 tháng</v>
          </cell>
          <cell r="AH56" t="str">
            <v>0031000141408</v>
          </cell>
          <cell r="AI56" t="str">
            <v>Bùi Thế Đích</v>
          </cell>
          <cell r="AJ56" t="str">
            <v>Vietcombank</v>
          </cell>
          <cell r="AK56" t="str">
            <v>H2434-11-VT/DKV/2023</v>
          </cell>
        </row>
        <row r="57">
          <cell r="B57" t="str">
            <v>HCM0498-15</v>
          </cell>
          <cell r="C57" t="str">
            <v>Q.10</v>
          </cell>
          <cell r="D57">
            <v>106.662549</v>
          </cell>
          <cell r="E57">
            <v>10.771064000000001</v>
          </cell>
          <cell r="F57" t="str">
            <v>Thửa đất số 401, tờ bản đồ số 33, địa chỉ: Lô A4, hẻm 557, Nguyễn Tri Phương, Phường 14, Quận 10, TP. Hồ Chí Minh.</v>
          </cell>
          <cell r="G57" t="str">
            <v>RRU</v>
          </cell>
          <cell r="H57" t="str">
            <v>Không có</v>
          </cell>
          <cell r="I57" t="str">
            <v>Không có</v>
          </cell>
          <cell r="J57">
            <v>45231</v>
          </cell>
          <cell r="K57">
            <v>47057</v>
          </cell>
          <cell r="Y57" t="str">
            <v>Chưa update</v>
          </cell>
          <cell r="Z57">
            <v>4500000</v>
          </cell>
          <cell r="AB57">
            <v>6700000</v>
          </cell>
          <cell r="AC57">
            <v>0</v>
          </cell>
          <cell r="AD57">
            <v>0</v>
          </cell>
          <cell r="AF57" t="str">
            <v>6 tháng</v>
          </cell>
          <cell r="AH57" t="str">
            <v>1010115364005</v>
          </cell>
          <cell r="AI57" t="str">
            <v>Võ Minh Trí</v>
          </cell>
          <cell r="AJ57" t="str">
            <v>Mbbank</v>
          </cell>
          <cell r="AK57" t="str">
            <v>H0498-15-VT/DKV/2023</v>
          </cell>
        </row>
        <row r="58">
          <cell r="B58" t="str">
            <v>HCM0612-12</v>
          </cell>
          <cell r="C58" t="str">
            <v>Q.Gò Vấp</v>
          </cell>
          <cell r="D58">
            <v>106.68352400000001</v>
          </cell>
          <cell r="E58">
            <v>10.845613</v>
          </cell>
          <cell r="F58" t="str">
            <v>Thửa đất số 115, tờ bản đồ số 18, địa chỉ: 219 đường số 28, Phường 6, Quận Gò Vấp, TpHCM</v>
          </cell>
          <cell r="G58" t="str">
            <v>RRU</v>
          </cell>
          <cell r="H58" t="str">
            <v>Không có</v>
          </cell>
          <cell r="I58" t="str">
            <v>Không có</v>
          </cell>
          <cell r="J58">
            <v>45295</v>
          </cell>
          <cell r="K58">
            <v>47121</v>
          </cell>
          <cell r="Y58" t="str">
            <v>Chưa update</v>
          </cell>
          <cell r="Z58">
            <v>4000000</v>
          </cell>
          <cell r="AA58">
            <v>4600000</v>
          </cell>
          <cell r="AB58">
            <v>6500000</v>
          </cell>
          <cell r="AC58">
            <v>0</v>
          </cell>
          <cell r="AD58">
            <v>0</v>
          </cell>
          <cell r="AF58" t="str">
            <v>6 tháng</v>
          </cell>
          <cell r="AH58" t="str">
            <v>1709.1965.99999</v>
          </cell>
          <cell r="AI58" t="str">
            <v>Nguyễn Thái Thìn</v>
          </cell>
          <cell r="AJ58" t="str">
            <v>MB Bank</v>
          </cell>
          <cell r="AK58" t="str">
            <v>H0612-12-VT/DKV/2024</v>
          </cell>
        </row>
        <row r="59">
          <cell r="B59" t="str">
            <v>HCM1096-11</v>
          </cell>
          <cell r="C59" t="str">
            <v>Q.Bình Thạnh</v>
          </cell>
          <cell r="D59">
            <v>106.68946819999999</v>
          </cell>
          <cell r="E59">
            <v>10.8050829</v>
          </cell>
          <cell r="F59" t="str">
            <v>12 Nguyễn Huy Tưởng, Phường 06, Quận Bình Thạnh, TP.HCM</v>
          </cell>
          <cell r="G59" t="str">
            <v>RRU</v>
          </cell>
          <cell r="H59" t="str">
            <v>Không có</v>
          </cell>
          <cell r="I59" t="str">
            <v>Không có</v>
          </cell>
          <cell r="J59">
            <v>45309</v>
          </cell>
          <cell r="K59">
            <v>47135</v>
          </cell>
          <cell r="Y59" t="str">
            <v>Chưa update</v>
          </cell>
          <cell r="Z59">
            <v>4000000</v>
          </cell>
          <cell r="AB59">
            <v>6700000</v>
          </cell>
          <cell r="AC59">
            <v>0</v>
          </cell>
          <cell r="AD59">
            <v>0</v>
          </cell>
          <cell r="AF59" t="str">
            <v>6 tháng</v>
          </cell>
          <cell r="AH59" t="str">
            <v>13610000117945</v>
          </cell>
          <cell r="AI59" t="str">
            <v xml:space="preserve">Nguyen Vinh Thuy </v>
          </cell>
          <cell r="AJ59" t="str">
            <v>BIDV</v>
          </cell>
          <cell r="AK59" t="str">
            <v>H1096-11-VT/DKV/2024</v>
          </cell>
        </row>
        <row r="60">
          <cell r="B60" t="str">
            <v>HCM0373-15</v>
          </cell>
          <cell r="C60" t="str">
            <v>Q.10</v>
          </cell>
          <cell r="D60">
            <v>106.67948699999999</v>
          </cell>
          <cell r="E60">
            <v>10.778354</v>
          </cell>
          <cell r="F60" t="str">
            <v>Thửa đất số 452, tờ bản đồ số 39, địa chỉ: 283/14 CMT8, P.12, Q.10, TpHCM</v>
          </cell>
          <cell r="G60" t="str">
            <v>RRU</v>
          </cell>
          <cell r="H60" t="str">
            <v>Không có</v>
          </cell>
          <cell r="I60" t="str">
            <v>Không có</v>
          </cell>
          <cell r="J60">
            <v>45310</v>
          </cell>
          <cell r="K60">
            <v>47136</v>
          </cell>
          <cell r="Y60" t="str">
            <v>Chưa update</v>
          </cell>
          <cell r="Z60">
            <v>4000000</v>
          </cell>
          <cell r="AB60">
            <v>6700000</v>
          </cell>
          <cell r="AC60">
            <v>0</v>
          </cell>
          <cell r="AD60">
            <v>0</v>
          </cell>
          <cell r="AF60" t="str">
            <v>6 tháng</v>
          </cell>
          <cell r="AH60" t="str">
            <v>933007020</v>
          </cell>
          <cell r="AI60" t="str">
            <v>Cao Kế Siêu</v>
          </cell>
          <cell r="AJ60" t="str">
            <v>VIB Bank</v>
          </cell>
          <cell r="AK60" t="str">
            <v>H0373-15-VT/DKV/2024</v>
          </cell>
        </row>
        <row r="61">
          <cell r="B61" t="str">
            <v>HCM0354-15</v>
          </cell>
          <cell r="C61" t="str">
            <v>Q.Tân Bình</v>
          </cell>
          <cell r="D61">
            <v>106.64586</v>
          </cell>
          <cell r="E61">
            <v>10.80012</v>
          </cell>
          <cell r="F61" t="str">
            <v>Thửa đất số 115, tờ bản đồ số 95,  27/17 Đồng Xoài, Phường 13, Quận Tân Bình, TP.HCM</v>
          </cell>
          <cell r="G61" t="str">
            <v>RRU</v>
          </cell>
          <cell r="H61" t="str">
            <v>Không có</v>
          </cell>
          <cell r="I61" t="str">
            <v>Không có</v>
          </cell>
          <cell r="J61">
            <v>45345</v>
          </cell>
          <cell r="K61">
            <v>47171</v>
          </cell>
          <cell r="Y61" t="str">
            <v>Chưa update</v>
          </cell>
          <cell r="Z61">
            <v>4000000</v>
          </cell>
          <cell r="AB61">
            <v>6700000</v>
          </cell>
          <cell r="AC61">
            <v>0</v>
          </cell>
          <cell r="AD61">
            <v>0</v>
          </cell>
          <cell r="AF61" t="str">
            <v>6 tháng</v>
          </cell>
        </row>
        <row r="62">
          <cell r="B62" t="str">
            <v>HCM2406-15</v>
          </cell>
          <cell r="C62" t="str">
            <v>Q.Tân Bình</v>
          </cell>
          <cell r="D62">
            <v>106.64458</v>
          </cell>
          <cell r="E62">
            <v>10.80631</v>
          </cell>
          <cell r="F62" t="str">
            <v>58 Trần Khánh Dư, Phường 13, Quận Tân Bình</v>
          </cell>
          <cell r="G62" t="str">
            <v>RRU</v>
          </cell>
          <cell r="H62" t="str">
            <v>Không có</v>
          </cell>
          <cell r="I62" t="str">
            <v>Không có</v>
          </cell>
          <cell r="J62">
            <v>45352</v>
          </cell>
          <cell r="K62">
            <v>47177</v>
          </cell>
          <cell r="Y62" t="str">
            <v>Chị Xuân_0945386833</v>
          </cell>
          <cell r="Z62">
            <v>4000000</v>
          </cell>
          <cell r="AB62">
            <v>6600000</v>
          </cell>
          <cell r="AC62">
            <v>0</v>
          </cell>
          <cell r="AD62">
            <v>0</v>
          </cell>
          <cell r="AF62" t="str">
            <v>6 tháng</v>
          </cell>
        </row>
        <row r="63">
          <cell r="B63" t="str">
            <v>SGN1353</v>
          </cell>
          <cell r="C63" t="str">
            <v>Q.12</v>
          </cell>
          <cell r="D63">
            <v>106.6938191</v>
          </cell>
          <cell r="E63">
            <v>10.8678408</v>
          </cell>
          <cell r="F63" t="str">
            <v>Thửa đất số 616, Tờ số bản đồ số 1, địa chỉ: 442/119/31/24 Quốc Lộ 1, Khu phố 3, Phường An Phú Đông, Quận 12, Tp.HCM</v>
          </cell>
          <cell r="G63" t="str">
            <v>Macro</v>
          </cell>
          <cell r="H63" t="str">
            <v>Không có</v>
          </cell>
          <cell r="I63" t="str">
            <v>Không có</v>
          </cell>
          <cell r="J63">
            <v>45392</v>
          </cell>
          <cell r="K63">
            <v>47217</v>
          </cell>
          <cell r="Y63" t="str">
            <v>A Sáng_0983888779</v>
          </cell>
          <cell r="Z63">
            <v>5500000</v>
          </cell>
          <cell r="AB63">
            <v>11300000</v>
          </cell>
          <cell r="AC63">
            <v>0</v>
          </cell>
          <cell r="AD63">
            <v>0</v>
          </cell>
          <cell r="AE63" t="str">
            <v>10 tháng 06 năm 2024 trở đi</v>
          </cell>
          <cell r="AF63" t="str">
            <v>6 tháng</v>
          </cell>
        </row>
        <row r="64">
          <cell r="B64" t="str">
            <v>SGN1164</v>
          </cell>
          <cell r="C64" t="str">
            <v>Q.12</v>
          </cell>
          <cell r="D64">
            <v>106.643762</v>
          </cell>
          <cell r="E64">
            <v>10.889957000000001</v>
          </cell>
          <cell r="F64" t="str">
            <v>Thửa đất số 930, Tờ số bản đồ số 3, địa chỉ: 563/75 Lê Văn Khương, Khu Phố 7, Phường Hiệp Thành, Quận 12, Tp.HCM</v>
          </cell>
          <cell r="G64" t="str">
            <v>Macro</v>
          </cell>
          <cell r="H64" t="str">
            <v>Không có</v>
          </cell>
          <cell r="I64" t="str">
            <v>Có</v>
          </cell>
          <cell r="J64">
            <v>45402</v>
          </cell>
          <cell r="K64">
            <v>47227</v>
          </cell>
          <cell r="Y64" t="str">
            <v>A Hùng_0972712569</v>
          </cell>
          <cell r="Z64">
            <v>5000000</v>
          </cell>
          <cell r="AB64">
            <v>9800000</v>
          </cell>
          <cell r="AC64">
            <v>8000000</v>
          </cell>
          <cell r="AD64">
            <v>0</v>
          </cell>
          <cell r="AE64" t="str">
            <v>20 tháng 06 năm 2024 trở đi</v>
          </cell>
          <cell r="AF64" t="str">
            <v>6 tháng</v>
          </cell>
        </row>
        <row r="65">
          <cell r="B65" t="str">
            <v>HCM3817</v>
          </cell>
          <cell r="C65" t="str">
            <v>Q.Bình Thạnh</v>
          </cell>
          <cell r="D65">
            <v>106.722944</v>
          </cell>
          <cell r="E65">
            <v>10.80025</v>
          </cell>
          <cell r="F65" t="str">
            <v>348/13A Ung Văn Khiêm, Phường 25, Q. Bình Thạnh, TP.HCM</v>
          </cell>
          <cell r="G65" t="str">
            <v>Macro</v>
          </cell>
          <cell r="H65" t="str">
            <v>Không có</v>
          </cell>
          <cell r="I65" t="str">
            <v>Không có</v>
          </cell>
          <cell r="J65">
            <v>45422</v>
          </cell>
          <cell r="K65">
            <v>47247</v>
          </cell>
          <cell r="Y65" t="str">
            <v>Chưa update</v>
          </cell>
          <cell r="Z65">
            <v>7500000</v>
          </cell>
          <cell r="AB65">
            <v>13300000</v>
          </cell>
          <cell r="AC65">
            <v>0</v>
          </cell>
          <cell r="AD65">
            <v>0</v>
          </cell>
          <cell r="AE65" t="str">
            <v>10/07/2024 trở đi</v>
          </cell>
          <cell r="AF65" t="str">
            <v>6 tháng</v>
          </cell>
        </row>
        <row r="66">
          <cell r="B66" t="str">
            <v>SGN1001</v>
          </cell>
          <cell r="C66" t="str">
            <v>Q.Bình Tân</v>
          </cell>
          <cell r="D66">
            <v>106.577326</v>
          </cell>
          <cell r="E66">
            <v>10.760555999999999</v>
          </cell>
          <cell r="F66" t="str">
            <v>Thửa đất số 752, Tờ số bản đồ số 24, địa chỉ: 1788/19/14/A4 Tỉnh Lộ 10, Khu phố 1, Phường Tân Tạo, Q.Bình Tân, Tp.HCM.</v>
          </cell>
          <cell r="G66" t="str">
            <v>Macro</v>
          </cell>
          <cell r="H66" t="str">
            <v>Không có</v>
          </cell>
          <cell r="I66" t="str">
            <v>Không có</v>
          </cell>
          <cell r="J66">
            <v>45430</v>
          </cell>
          <cell r="K66">
            <v>47255</v>
          </cell>
          <cell r="Y66" t="str">
            <v>A Đức_0785916179</v>
          </cell>
          <cell r="Z66">
            <v>5000000</v>
          </cell>
          <cell r="AB66">
            <v>10000000</v>
          </cell>
          <cell r="AC66">
            <v>0</v>
          </cell>
          <cell r="AD66">
            <v>0</v>
          </cell>
          <cell r="AE66" t="str">
            <v>18/07/2024 trở đi</v>
          </cell>
          <cell r="AF66" t="str">
            <v>6 tháng</v>
          </cell>
        </row>
        <row r="67">
          <cell r="B67" t="str">
            <v>SGN1364</v>
          </cell>
          <cell r="C67" t="str">
            <v>H.Hóc Môn</v>
          </cell>
          <cell r="D67">
            <v>106.610331</v>
          </cell>
          <cell r="E67">
            <v>10.845826000000001</v>
          </cell>
          <cell r="F67" t="str">
            <v>Thửa đất số 762, Tờ số bản đồ số 37 , địa chỉ: 82 Nguyễn Thị Huê, Ấp Đông Lân,  Xã Bà Điểm, Huyện Hóc Môn, Tp.HCM</v>
          </cell>
          <cell r="G67" t="str">
            <v>Macro</v>
          </cell>
          <cell r="H67" t="str">
            <v>Không có</v>
          </cell>
          <cell r="I67" t="str">
            <v>Có</v>
          </cell>
          <cell r="J67">
            <v>45397</v>
          </cell>
          <cell r="K67">
            <v>47222</v>
          </cell>
          <cell r="Y67" t="str">
            <v>A Hanh_0974623456; a Tứ em trai_0977869616</v>
          </cell>
          <cell r="Z67">
            <v>5000000</v>
          </cell>
          <cell r="AB67">
            <v>9500000</v>
          </cell>
          <cell r="AC67">
            <v>0</v>
          </cell>
          <cell r="AD67">
            <v>0</v>
          </cell>
          <cell r="AE67" t="str">
            <v>15/06/2024 trở đi</v>
          </cell>
          <cell r="AF67" t="str">
            <v>6 tháng</v>
          </cell>
        </row>
        <row r="68">
          <cell r="B68" t="str">
            <v>HCM1527-12</v>
          </cell>
          <cell r="C68" t="str">
            <v>Q.12</v>
          </cell>
          <cell r="D68">
            <v>106.695172</v>
          </cell>
          <cell r="E68">
            <v>10.842267</v>
          </cell>
          <cell r="F68" t="str">
            <v>Thửa đất số 520, tờ bản đồ số 52; địa chỉ: 251/11 Vườn Lài, Phường An Phú Đông,
Quận 12, TPHCM</v>
          </cell>
          <cell r="G68" t="str">
            <v>RRU</v>
          </cell>
          <cell r="H68" t="str">
            <v>Không có</v>
          </cell>
          <cell r="I68" t="str">
            <v>Không có</v>
          </cell>
          <cell r="J68">
            <v>45388</v>
          </cell>
          <cell r="K68">
            <v>47213</v>
          </cell>
          <cell r="Y68" t="str">
            <v>Chưa update</v>
          </cell>
          <cell r="Z68">
            <v>4000000</v>
          </cell>
          <cell r="AB68">
            <v>6400000</v>
          </cell>
          <cell r="AC68">
            <v>0</v>
          </cell>
          <cell r="AD68">
            <v>0</v>
          </cell>
          <cell r="AE68" t="str">
            <v>6/6/2024 trở đi</v>
          </cell>
          <cell r="AF68" t="str">
            <v>6 tháng</v>
          </cell>
        </row>
        <row r="69">
          <cell r="B69" t="str">
            <v>SGN1378</v>
          </cell>
          <cell r="C69" t="str">
            <v>H.Hóc Môn</v>
          </cell>
          <cell r="D69">
            <v>106.608891</v>
          </cell>
          <cell r="E69">
            <v>10.858193999999999</v>
          </cell>
          <cell r="F69" t="str">
            <v>Thửa đất số 267, Tờ số bản đồ số 32, địa chỉ: 150/1B Ấp Trung Chánh 2, Xã Trung Chánh, Huyện Hóc Môn, Tp.HCM</v>
          </cell>
          <cell r="G69" t="str">
            <v>Macro</v>
          </cell>
          <cell r="H69" t="str">
            <v>Không có</v>
          </cell>
          <cell r="I69" t="str">
            <v>Không có</v>
          </cell>
          <cell r="J69">
            <v>45465</v>
          </cell>
          <cell r="K69">
            <v>47290</v>
          </cell>
          <cell r="Y69" t="str">
            <v>A Phương_0908196014</v>
          </cell>
          <cell r="Z69">
            <v>5000000</v>
          </cell>
          <cell r="AB69">
            <v>9000000</v>
          </cell>
          <cell r="AC69">
            <v>0</v>
          </cell>
          <cell r="AD69">
            <v>0</v>
          </cell>
          <cell r="AE69" t="str">
            <v>22/8/2024 trở đi</v>
          </cell>
          <cell r="AF69" t="str">
            <v>6 tháng</v>
          </cell>
        </row>
        <row r="70">
          <cell r="B70" t="str">
            <v>HCM2187-11</v>
          </cell>
          <cell r="C70" t="str">
            <v>H.Bình Chánh</v>
          </cell>
          <cell r="D70">
            <v>106.58026</v>
          </cell>
          <cell r="E70">
            <v>10.693832</v>
          </cell>
          <cell r="F70" t="str">
            <v>Thửa đất số 313 tờ bản đồ số 2, địa chỉ: A2/10 Ấp 1, Thị trấn Tân Túc, Huyện Bình Chánh, TP Hồ Chí Minh</v>
          </cell>
          <cell r="G70" t="str">
            <v>RRU</v>
          </cell>
          <cell r="H70" t="str">
            <v>Không có</v>
          </cell>
          <cell r="I70" t="str">
            <v>Không có</v>
          </cell>
          <cell r="J70">
            <v>45469</v>
          </cell>
          <cell r="K70">
            <v>47294</v>
          </cell>
          <cell r="Y70" t="str">
            <v>Chưa update</v>
          </cell>
          <cell r="Z70">
            <v>4500000</v>
          </cell>
          <cell r="AB70">
            <v>6400000</v>
          </cell>
          <cell r="AC70">
            <v>0</v>
          </cell>
          <cell r="AD70">
            <v>0</v>
          </cell>
          <cell r="AF70" t="str">
            <v>6 tháng</v>
          </cell>
        </row>
        <row r="71">
          <cell r="B71" t="str">
            <v>SGN1061</v>
          </cell>
          <cell r="C71" t="str">
            <v>H.Hóc Môn</v>
          </cell>
          <cell r="D71">
            <v>106.648195</v>
          </cell>
          <cell r="E71">
            <v>10.901745</v>
          </cell>
          <cell r="F71" t="str">
            <v>Thửa đất số 280, Tờ bản đồ số 57 (TL-2004), địa chỉ: 133/75, Ấp 5, Xã Đông Thạnh, H.Hóc Môn, Tp.HCM</v>
          </cell>
          <cell r="G71" t="str">
            <v>Macro</v>
          </cell>
          <cell r="H71" t="str">
            <v>Không có</v>
          </cell>
          <cell r="I71" t="str">
            <v>Không có</v>
          </cell>
          <cell r="J71">
            <v>45483</v>
          </cell>
          <cell r="K71">
            <v>47308</v>
          </cell>
          <cell r="Y71" t="str">
            <v>Chưa update</v>
          </cell>
          <cell r="Z71">
            <v>5500000</v>
          </cell>
          <cell r="AB71">
            <v>9400000</v>
          </cell>
          <cell r="AC71">
            <v>0</v>
          </cell>
          <cell r="AD71">
            <v>0</v>
          </cell>
          <cell r="AF71" t="str">
            <v>6 tháng</v>
          </cell>
        </row>
        <row r="72">
          <cell r="B72" t="str">
            <v>SGN1379</v>
          </cell>
          <cell r="C72" t="str">
            <v>Q.Bình Tân</v>
          </cell>
          <cell r="D72">
            <v>106.599693</v>
          </cell>
          <cell r="E72">
            <v>10.779717</v>
          </cell>
          <cell r="F72" t="str">
            <v>Thửa đất số 23, Tờ bản đồ số 242 (TL-2005), địa chỉ: 46 đường số 18B, Phường Bình Hưng Hòa A, Q.Bình Tân, Tp.HCM</v>
          </cell>
          <cell r="G72" t="str">
            <v>Macro</v>
          </cell>
          <cell r="H72" t="str">
            <v>Không có</v>
          </cell>
          <cell r="I72" t="str">
            <v>Không có</v>
          </cell>
          <cell r="J72">
            <v>45483</v>
          </cell>
          <cell r="K72">
            <v>47308</v>
          </cell>
          <cell r="Y72" t="str">
            <v>Chưa update</v>
          </cell>
          <cell r="Z72">
            <v>5000000</v>
          </cell>
          <cell r="AB72">
            <v>9400000</v>
          </cell>
          <cell r="AC72">
            <v>0</v>
          </cell>
          <cell r="AD72">
            <v>0</v>
          </cell>
          <cell r="AF72" t="str">
            <v>6 tháng</v>
          </cell>
        </row>
        <row r="73">
          <cell r="B73" t="str">
            <v>HCM1738-12</v>
          </cell>
          <cell r="C73" t="str">
            <v>Q.Bình Thạnh</v>
          </cell>
          <cell r="D73">
            <v>106.699208</v>
          </cell>
          <cell r="E73">
            <v>10.805695099999999</v>
          </cell>
          <cell r="F73" t="str">
            <v>Thửa đất số 806, TBĐ số 1, 22B Nguyễn Thiện Thuật, P.24, Q.Bình Thạnh, Tp.HCM</v>
          </cell>
          <cell r="G73" t="str">
            <v>RRU</v>
          </cell>
          <cell r="H73" t="str">
            <v>Không có</v>
          </cell>
          <cell r="I73" t="str">
            <v>Không có</v>
          </cell>
          <cell r="J73">
            <v>45373</v>
          </cell>
          <cell r="K73">
            <v>47198</v>
          </cell>
          <cell r="Y73" t="str">
            <v>Chưa update</v>
          </cell>
          <cell r="Z73">
            <v>4000000</v>
          </cell>
          <cell r="AB73">
            <v>6700000</v>
          </cell>
          <cell r="AC73">
            <v>0</v>
          </cell>
          <cell r="AD73">
            <v>0</v>
          </cell>
          <cell r="AF73" t="str">
            <v>6 tháng</v>
          </cell>
        </row>
        <row r="74">
          <cell r="B74" t="str">
            <v>HCM3570-16</v>
          </cell>
          <cell r="C74" t="str">
            <v>Q.01</v>
          </cell>
          <cell r="D74">
            <v>106.69146499999999</v>
          </cell>
          <cell r="E74">
            <v>10.760405</v>
          </cell>
          <cell r="F74" t="str">
            <v>33 Trần Đình Xu, P. Cầu Kho, Q.01</v>
          </cell>
          <cell r="G74" t="str">
            <v>RRU</v>
          </cell>
          <cell r="H74" t="str">
            <v>Không có</v>
          </cell>
          <cell r="I74" t="str">
            <v>Không có</v>
          </cell>
          <cell r="J74">
            <v>45078</v>
          </cell>
          <cell r="K74">
            <v>46904</v>
          </cell>
          <cell r="Y74" t="str">
            <v>Chưa update</v>
          </cell>
          <cell r="Z74">
            <v>5500000</v>
          </cell>
          <cell r="AB74">
            <v>7500000</v>
          </cell>
          <cell r="AC74">
            <v>0</v>
          </cell>
          <cell r="AD74">
            <v>0</v>
          </cell>
          <cell r="AF74" t="str">
            <v>6 tháng</v>
          </cell>
        </row>
        <row r="75">
          <cell r="B75" t="str">
            <v>SGN1411</v>
          </cell>
          <cell r="C75" t="str">
            <v>Q.Bình Thạnh</v>
          </cell>
          <cell r="D75">
            <v>106.70027</v>
          </cell>
          <cell r="E75">
            <v>10.828835</v>
          </cell>
          <cell r="F75" t="str">
            <v>Thửa đất số 1299, Tờ số bản đồ số 12 Bộ địa chính P12, địa chỉ: Anh DŨNG ĐIỀN.</v>
          </cell>
          <cell r="G75" t="str">
            <v>Macro</v>
          </cell>
          <cell r="H75" t="str">
            <v>Không có</v>
          </cell>
          <cell r="I75" t="str">
            <v>Không có</v>
          </cell>
          <cell r="J75">
            <v>45469</v>
          </cell>
          <cell r="K75">
            <v>47294</v>
          </cell>
          <cell r="Y75" t="str">
            <v>Chưa update</v>
          </cell>
          <cell r="Z75">
            <v>6000000</v>
          </cell>
          <cell r="AB75">
            <v>10500000</v>
          </cell>
          <cell r="AC75">
            <v>0</v>
          </cell>
          <cell r="AD75">
            <v>0</v>
          </cell>
          <cell r="AE75" t="str">
            <v>Sau 2 tháng</v>
          </cell>
          <cell r="AF75" t="str">
            <v>6 tháng</v>
          </cell>
        </row>
        <row r="76">
          <cell r="B76" t="str">
            <v>HCM0890-15</v>
          </cell>
          <cell r="C76" t="str">
            <v>Q.Tân Bình</v>
          </cell>
          <cell r="D76">
            <v>106.66424809999999</v>
          </cell>
          <cell r="E76">
            <v>10.790502399999999</v>
          </cell>
          <cell r="F76" t="str">
            <v>1237/11 Hoàng Sa, Phường 05, Quận Tân Bình, TP Hồ Chí Minh</v>
          </cell>
          <cell r="G76" t="str">
            <v>RRU</v>
          </cell>
          <cell r="H76" t="str">
            <v>Không có</v>
          </cell>
          <cell r="I76" t="str">
            <v>Không có</v>
          </cell>
          <cell r="J76" t="str">
            <v>Chưa update</v>
          </cell>
          <cell r="K76" t="str">
            <v>Chưa update</v>
          </cell>
          <cell r="Y76" t="str">
            <v>Chưa update</v>
          </cell>
          <cell r="Z76">
            <v>4000000</v>
          </cell>
          <cell r="AB76">
            <v>6400000</v>
          </cell>
          <cell r="AC76">
            <v>0</v>
          </cell>
          <cell r="AD76">
            <v>0</v>
          </cell>
          <cell r="AE76" t="str">
            <v>Sau 2 tháng</v>
          </cell>
          <cell r="AF76" t="str">
            <v>6 tháng</v>
          </cell>
        </row>
        <row r="77">
          <cell r="B77" t="str">
            <v>SGN1467</v>
          </cell>
          <cell r="C77" t="str">
            <v>Tp.Thủ Đức</v>
          </cell>
          <cell r="D77">
            <v>106.787966</v>
          </cell>
          <cell r="E77">
            <v>10.769964999999999</v>
          </cell>
          <cell r="F77" t="str">
            <v>Thửa đất số 150, Tờ số bản đồ số 37, địa chỉ: Số 51 đường 37-CL KDC Cát Lái, Lô B2-08, P.Cát Lái, Tp.Thủ Đức, Tp.HCM</v>
          </cell>
          <cell r="G77" t="str">
            <v>Macro</v>
          </cell>
          <cell r="H77" t="str">
            <v>Không có</v>
          </cell>
          <cell r="I77" t="str">
            <v>Không có</v>
          </cell>
          <cell r="J77">
            <v>45616</v>
          </cell>
          <cell r="K77">
            <v>47441</v>
          </cell>
          <cell r="Y77" t="str">
            <v>Chưa update</v>
          </cell>
          <cell r="Z77">
            <v>7000000</v>
          </cell>
          <cell r="AB77">
            <v>11400000</v>
          </cell>
          <cell r="AC77">
            <v>0</v>
          </cell>
          <cell r="AD77">
            <v>0</v>
          </cell>
          <cell r="AE77" t="str">
            <v>Sau 2 tháng</v>
          </cell>
          <cell r="AF77" t="str">
            <v>6 tháng</v>
          </cell>
        </row>
        <row r="78">
          <cell r="B78" t="str">
            <v>HCM3416-15</v>
          </cell>
          <cell r="C78" t="str">
            <v>Q.Bình Thạnh</v>
          </cell>
          <cell r="D78">
            <v>106.715318</v>
          </cell>
          <cell r="E78">
            <v>10.795153000000001</v>
          </cell>
          <cell r="F78" t="str">
            <v>Thửa đất số 27, TBĐ số 26. Địa chỉ: 117/128/7 Nguyễn Hữu Cảnh, Phường 22, Quận Bình Thạnh, TP Hồ Chí Minh</v>
          </cell>
          <cell r="G78" t="str">
            <v>RRU</v>
          </cell>
          <cell r="H78" t="str">
            <v>Không có</v>
          </cell>
          <cell r="I78" t="str">
            <v>Không có</v>
          </cell>
          <cell r="J78">
            <v>45638</v>
          </cell>
          <cell r="K78">
            <v>47463</v>
          </cell>
          <cell r="Y78" t="str">
            <v>Chưa update</v>
          </cell>
          <cell r="Z78">
            <v>4000000</v>
          </cell>
          <cell r="AA78">
            <v>4400000</v>
          </cell>
          <cell r="AB78">
            <v>6400000</v>
          </cell>
          <cell r="AC78">
            <v>0</v>
          </cell>
          <cell r="AD78">
            <v>0</v>
          </cell>
          <cell r="AE78" t="str">
            <v>45 ngày sau ký HĐ</v>
          </cell>
          <cell r="AF78" t="str">
            <v>6 tháng</v>
          </cell>
        </row>
        <row r="79">
          <cell r="B79" t="str">
            <v>HCM3125-15</v>
          </cell>
          <cell r="C79" t="str">
            <v>Q.Tân Bình</v>
          </cell>
          <cell r="D79">
            <v>106.6566996</v>
          </cell>
          <cell r="E79">
            <v>10.793421199999999</v>
          </cell>
          <cell r="F79" t="str">
            <v>Thửa đất số 29, tờ bản đồ số 91 (BĐĐC-2005) địa chỉ: 32 Lê Bình, Phường 04, Quận Tân Bình, TpHCM</v>
          </cell>
          <cell r="G79" t="str">
            <v>RRU</v>
          </cell>
          <cell r="H79" t="str">
            <v>Không có</v>
          </cell>
          <cell r="I79" t="str">
            <v>Không có</v>
          </cell>
          <cell r="J79" t="str">
            <v>Chưa update</v>
          </cell>
          <cell r="K79" t="str">
            <v>Chưa update</v>
          </cell>
          <cell r="Y79" t="str">
            <v>Chưa update</v>
          </cell>
          <cell r="Z79">
            <v>4000000</v>
          </cell>
          <cell r="AA79">
            <v>4500000</v>
          </cell>
          <cell r="AB79">
            <v>6500000</v>
          </cell>
          <cell r="AC79">
            <v>0</v>
          </cell>
          <cell r="AD79">
            <v>0</v>
          </cell>
          <cell r="AE79" t="str">
            <v>2 tháng</v>
          </cell>
          <cell r="AF79" t="str">
            <v>6 tháng</v>
          </cell>
        </row>
        <row r="80">
          <cell r="B80" t="str">
            <v>SGN1499</v>
          </cell>
          <cell r="C80" t="str">
            <v>H.Bình Chánh</v>
          </cell>
          <cell r="D80">
            <v>106.652019</v>
          </cell>
          <cell r="E80">
            <v>10.706345000000001</v>
          </cell>
          <cell r="F80" t="str">
            <v>16 Đường số 3A, KDC Gia Hoà, ấp 5, Xã Phong Phú, Huyện Bình Chánh, TP Hồ Chí Minh</v>
          </cell>
          <cell r="G80" t="str">
            <v>Macro</v>
          </cell>
          <cell r="H80" t="str">
            <v>Không có</v>
          </cell>
          <cell r="I80" t="str">
            <v>Không có</v>
          </cell>
          <cell r="J80">
            <v>45705</v>
          </cell>
          <cell r="K80">
            <v>47530</v>
          </cell>
          <cell r="Y80" t="str">
            <v>Chưa update</v>
          </cell>
          <cell r="Z80">
            <v>5000000</v>
          </cell>
          <cell r="AA80">
            <v>6500000</v>
          </cell>
          <cell r="AB80">
            <v>9300000</v>
          </cell>
          <cell r="AC80">
            <v>0</v>
          </cell>
          <cell r="AD80">
            <v>0</v>
          </cell>
          <cell r="AE80" t="str">
            <v>2 tháng</v>
          </cell>
          <cell r="AF80" t="str">
            <v>6 tháng</v>
          </cell>
        </row>
        <row r="81">
          <cell r="B81" t="str">
            <v>SGN0160-41</v>
          </cell>
          <cell r="C81" t="str">
            <v>Q.Gò Vấp</v>
          </cell>
          <cell r="D81" t="str">
            <v>106.6744</v>
          </cell>
          <cell r="E81" t="str">
            <v>10.82888</v>
          </cell>
          <cell r="F81" t="str">
            <v>Công ty Cổ phần 32, địa chỉ: 170 Quang Trung, Phường 10, Gò Vấp Tp.HCM.</v>
          </cell>
          <cell r="G81" t="str">
            <v>SMC</v>
          </cell>
          <cell r="H81" t="str">
            <v>Không có</v>
          </cell>
          <cell r="I81" t="str">
            <v>Không có</v>
          </cell>
          <cell r="J81" t="str">
            <v>Chưa update</v>
          </cell>
          <cell r="K81" t="str">
            <v>Chưa update</v>
          </cell>
          <cell r="Y81" t="str">
            <v>Chưa update</v>
          </cell>
          <cell r="Z81">
            <v>0</v>
          </cell>
          <cell r="AB81">
            <v>1500000</v>
          </cell>
          <cell r="AC81">
            <v>0</v>
          </cell>
          <cell r="AD81">
            <v>0</v>
          </cell>
          <cell r="AF81" t="str">
            <v>không cần trả</v>
          </cell>
        </row>
        <row r="82">
          <cell r="B82" t="str">
            <v>SGN0160-42</v>
          </cell>
          <cell r="C82" t="str">
            <v>Q.Gò Vấp</v>
          </cell>
          <cell r="D82" t="str">
            <v>106.67403</v>
          </cell>
          <cell r="E82" t="str">
            <v>10.82888</v>
          </cell>
          <cell r="F82" t="str">
            <v>Công ty Cổ phần 32, địa chỉ: 170 Quang Trung, Phường 10, Gò Vấp Tp.HCM.</v>
          </cell>
          <cell r="G82" t="str">
            <v>SMC</v>
          </cell>
          <cell r="H82" t="str">
            <v>Không có</v>
          </cell>
          <cell r="I82" t="str">
            <v>Không có</v>
          </cell>
          <cell r="J82" t="str">
            <v>Chưa update</v>
          </cell>
          <cell r="K82" t="str">
            <v>Chưa update</v>
          </cell>
          <cell r="Y82" t="str">
            <v>Chưa update</v>
          </cell>
          <cell r="Z82">
            <v>0</v>
          </cell>
          <cell r="AB82">
            <v>1500000</v>
          </cell>
          <cell r="AC82">
            <v>0</v>
          </cell>
          <cell r="AD82">
            <v>0</v>
          </cell>
          <cell r="AF82" t="str">
            <v>không cần trả</v>
          </cell>
        </row>
        <row r="83">
          <cell r="B83" t="str">
            <v>SGN0160-43</v>
          </cell>
          <cell r="C83" t="str">
            <v>Q.Gò Vấp</v>
          </cell>
          <cell r="D83" t="str">
            <v>106.67421</v>
          </cell>
          <cell r="E83" t="str">
            <v>10.82916</v>
          </cell>
          <cell r="F83" t="str">
            <v>Công ty Cổ phần 32, địa chỉ: 170 Quang Trung, Phường 10, Gò Vấp Tp.HCM.</v>
          </cell>
          <cell r="G83" t="str">
            <v>SMC</v>
          </cell>
          <cell r="H83" t="str">
            <v>Không có</v>
          </cell>
          <cell r="I83" t="str">
            <v>Không có</v>
          </cell>
          <cell r="J83" t="str">
            <v>Chưa update</v>
          </cell>
          <cell r="K83" t="str">
            <v>Chưa update</v>
          </cell>
          <cell r="Y83" t="str">
            <v>Chưa update</v>
          </cell>
          <cell r="Z83">
            <v>0</v>
          </cell>
          <cell r="AB83">
            <v>1500000</v>
          </cell>
          <cell r="AC83">
            <v>0</v>
          </cell>
          <cell r="AD83">
            <v>0</v>
          </cell>
          <cell r="AF83" t="str">
            <v>không cần trả</v>
          </cell>
        </row>
        <row r="84">
          <cell r="B84" t="str">
            <v>SGN0160-44</v>
          </cell>
          <cell r="C84" t="str">
            <v>Q.Gò Vấp</v>
          </cell>
          <cell r="D84" t="str">
            <v>106.67391</v>
          </cell>
          <cell r="E84" t="str">
            <v>10.82946</v>
          </cell>
          <cell r="F84" t="str">
            <v>Công ty Cổ phần 32, địa chỉ: 170 Quang Trung, Phường 10, Gò Vấp Tp.HCM.</v>
          </cell>
          <cell r="G84" t="str">
            <v>SMC</v>
          </cell>
          <cell r="H84" t="str">
            <v>Không có</v>
          </cell>
          <cell r="I84" t="str">
            <v>Không có</v>
          </cell>
          <cell r="J84" t="str">
            <v>Chưa update</v>
          </cell>
          <cell r="K84" t="str">
            <v>Chưa update</v>
          </cell>
          <cell r="Y84" t="str">
            <v>Chưa update</v>
          </cell>
          <cell r="Z84">
            <v>0</v>
          </cell>
          <cell r="AB84">
            <v>1500000</v>
          </cell>
          <cell r="AC84">
            <v>0</v>
          </cell>
          <cell r="AD84">
            <v>0</v>
          </cell>
          <cell r="AF84" t="str">
            <v>không cần trả</v>
          </cell>
        </row>
        <row r="85">
          <cell r="B85" t="str">
            <v>SGN0160-45</v>
          </cell>
          <cell r="C85" t="str">
            <v>Q.Gò Vấp</v>
          </cell>
          <cell r="D85" t="str">
            <v>106.67444</v>
          </cell>
          <cell r="E85" t="str">
            <v>10.82984</v>
          </cell>
          <cell r="F85" t="str">
            <v>Công ty Cổ phần 32, địa chỉ: 170 Quang Trung, Phường 10, Gò Vấp Tp.HCM.</v>
          </cell>
          <cell r="G85" t="str">
            <v>SMC</v>
          </cell>
          <cell r="H85" t="str">
            <v>Không có</v>
          </cell>
          <cell r="I85" t="str">
            <v>Không có</v>
          </cell>
          <cell r="J85" t="str">
            <v>Chưa update</v>
          </cell>
          <cell r="K85" t="str">
            <v>Chưa update</v>
          </cell>
          <cell r="Y85" t="str">
            <v>Chưa update</v>
          </cell>
          <cell r="Z85">
            <v>0</v>
          </cell>
          <cell r="AB85">
            <v>1500000</v>
          </cell>
          <cell r="AC85">
            <v>0</v>
          </cell>
          <cell r="AD85">
            <v>0</v>
          </cell>
          <cell r="AF85" t="str">
            <v>không cần trả</v>
          </cell>
        </row>
        <row r="86">
          <cell r="B86" t="str">
            <v>SGN0160-46</v>
          </cell>
          <cell r="C86" t="str">
            <v>Q.Gò Vấp</v>
          </cell>
          <cell r="D86" t="str">
            <v>106.67375</v>
          </cell>
          <cell r="E86" t="str">
            <v>10.83007</v>
          </cell>
          <cell r="F86" t="str">
            <v>Công ty Cổ phần 32, địa chỉ: 170 Quang Trung, Phường 10, Gò Vấp Tp.HCM.</v>
          </cell>
          <cell r="G86" t="str">
            <v>SMC</v>
          </cell>
          <cell r="H86" t="str">
            <v>Không có</v>
          </cell>
          <cell r="I86" t="str">
            <v>Không có</v>
          </cell>
          <cell r="J86" t="str">
            <v>Chưa update</v>
          </cell>
          <cell r="K86" t="str">
            <v>Chưa update</v>
          </cell>
          <cell r="Y86" t="str">
            <v>Chưa update</v>
          </cell>
          <cell r="Z86">
            <v>0</v>
          </cell>
          <cell r="AB86">
            <v>1500000</v>
          </cell>
          <cell r="AC86">
            <v>0</v>
          </cell>
          <cell r="AD86">
            <v>0</v>
          </cell>
          <cell r="AF86" t="str">
            <v>không cần trả</v>
          </cell>
        </row>
        <row r="87">
          <cell r="B87" t="str">
            <v>SGN0160-47</v>
          </cell>
          <cell r="C87" t="str">
            <v>Q.Gò Vấp</v>
          </cell>
          <cell r="D87" t="str">
            <v>106.67386</v>
          </cell>
          <cell r="E87" t="str">
            <v>10.83139</v>
          </cell>
          <cell r="F87" t="str">
            <v>Công ty Cổ phần 32, địa chỉ: 170 Quang Trung, Phường 10, Gò Vấp Tp.HCM.</v>
          </cell>
          <cell r="G87" t="str">
            <v>SMC</v>
          </cell>
          <cell r="H87" t="str">
            <v>Không có</v>
          </cell>
          <cell r="I87" t="str">
            <v>Không có</v>
          </cell>
          <cell r="J87" t="str">
            <v>Chưa update</v>
          </cell>
          <cell r="K87" t="str">
            <v>Chưa update</v>
          </cell>
          <cell r="Y87" t="str">
            <v>Chưa update</v>
          </cell>
          <cell r="Z87">
            <v>0</v>
          </cell>
          <cell r="AB87">
            <v>1500000</v>
          </cell>
          <cell r="AC87">
            <v>0</v>
          </cell>
          <cell r="AD87">
            <v>0</v>
          </cell>
          <cell r="AF87" t="str">
            <v>không cần trả</v>
          </cell>
        </row>
        <row r="88">
          <cell r="B88" t="str">
            <v>SGN0160-48</v>
          </cell>
          <cell r="C88" t="str">
            <v>Q.Gò Vấp</v>
          </cell>
          <cell r="D88" t="str">
            <v>106.67439</v>
          </cell>
          <cell r="E88" t="str">
            <v>10.83143</v>
          </cell>
          <cell r="F88" t="str">
            <v>Công ty Cổ phần 32, địa chỉ: 170 Quang Trung, Phường 10, Gò Vấp Tp.HCM.</v>
          </cell>
          <cell r="G88" t="str">
            <v>SMC</v>
          </cell>
          <cell r="H88" t="str">
            <v>Không có</v>
          </cell>
          <cell r="I88" t="str">
            <v>Không có</v>
          </cell>
          <cell r="J88" t="str">
            <v>Chưa update</v>
          </cell>
          <cell r="K88" t="str">
            <v>Chưa update</v>
          </cell>
          <cell r="Y88" t="str">
            <v>Chưa update</v>
          </cell>
          <cell r="Z88">
            <v>0</v>
          </cell>
          <cell r="AB88">
            <v>1500000</v>
          </cell>
          <cell r="AC88">
            <v>0</v>
          </cell>
          <cell r="AD88">
            <v>0</v>
          </cell>
          <cell r="AF88" t="str">
            <v>không cần trả</v>
          </cell>
        </row>
        <row r="89">
          <cell r="B89" t="str">
            <v>HCM0429-43</v>
          </cell>
          <cell r="C89" t="str">
            <v>Q.Gò Vấp</v>
          </cell>
          <cell r="D89" t="str">
            <v>106.66934</v>
          </cell>
          <cell r="E89" t="str">
            <v>10.82852</v>
          </cell>
          <cell r="F89" t="str">
            <v>393/3/81A Quang Trung, P10, Q.Gò Vấp</v>
          </cell>
          <cell r="G89" t="str">
            <v>SMC</v>
          </cell>
          <cell r="H89" t="str">
            <v>Không có</v>
          </cell>
          <cell r="I89" t="str">
            <v>Không có</v>
          </cell>
          <cell r="J89" t="str">
            <v>Chưa update</v>
          </cell>
          <cell r="K89" t="str">
            <v>Chưa update</v>
          </cell>
          <cell r="Y89" t="str">
            <v>Chưa update</v>
          </cell>
          <cell r="Z89" t="str">
            <v>Tiền Camera</v>
          </cell>
          <cell r="AB89">
            <v>2200000</v>
          </cell>
          <cell r="AC89">
            <v>0</v>
          </cell>
          <cell r="AD89">
            <v>0</v>
          </cell>
          <cell r="AF89" t="str">
            <v>Tiền internet</v>
          </cell>
        </row>
        <row r="90">
          <cell r="B90" t="str">
            <v>HCM0429-44</v>
          </cell>
          <cell r="C90" t="str">
            <v>Q.Gò Vấp</v>
          </cell>
          <cell r="D90" t="str">
            <v>106.66942</v>
          </cell>
          <cell r="E90" t="str">
            <v>10.82816</v>
          </cell>
          <cell r="F90" t="str">
            <v>Đối diện nhà 275/133/58 Quang Trung, P10, Q.Gò Vấp</v>
          </cell>
          <cell r="G90" t="str">
            <v>SMC</v>
          </cell>
          <cell r="H90" t="str">
            <v>Không có</v>
          </cell>
          <cell r="I90" t="str">
            <v>Không có</v>
          </cell>
          <cell r="J90" t="str">
            <v>Chưa update</v>
          </cell>
          <cell r="K90" t="str">
            <v>Chưa update</v>
          </cell>
          <cell r="Y90" t="str">
            <v>Chưa update</v>
          </cell>
          <cell r="Z90" t="str">
            <v>Tiền Camera</v>
          </cell>
          <cell r="AB90">
            <v>2200000</v>
          </cell>
          <cell r="AC90">
            <v>0</v>
          </cell>
          <cell r="AD90">
            <v>0</v>
          </cell>
          <cell r="AF90" t="str">
            <v>Tiền internet</v>
          </cell>
        </row>
        <row r="91">
          <cell r="B91" t="str">
            <v>HCM0429-45</v>
          </cell>
          <cell r="C91" t="str">
            <v>Q.Gò Vấp</v>
          </cell>
          <cell r="D91" t="str">
            <v>106.66946</v>
          </cell>
          <cell r="E91" t="str">
            <v>10.82782</v>
          </cell>
          <cell r="F91" t="str">
            <v>275/133/30 Quang Trung, P10, Q.Gò Vấp</v>
          </cell>
          <cell r="G91" t="str">
            <v>SMC</v>
          </cell>
          <cell r="H91" t="str">
            <v>Không có</v>
          </cell>
          <cell r="I91" t="str">
            <v>Không có</v>
          </cell>
          <cell r="J91" t="str">
            <v>Chưa update</v>
          </cell>
          <cell r="K91" t="str">
            <v>Chưa update</v>
          </cell>
          <cell r="Y91" t="str">
            <v>Chưa update</v>
          </cell>
          <cell r="Z91" t="str">
            <v>Tiền Camera</v>
          </cell>
          <cell r="AB91">
            <v>2200000</v>
          </cell>
          <cell r="AC91">
            <v>0</v>
          </cell>
          <cell r="AD91">
            <v>0</v>
          </cell>
          <cell r="AF91" t="str">
            <v>Tiền internet</v>
          </cell>
        </row>
        <row r="92">
          <cell r="B92" t="str">
            <v>HCM0429-47</v>
          </cell>
          <cell r="C92" t="str">
            <v>Q.Gò Vấp</v>
          </cell>
          <cell r="D92" t="str">
            <v>106.66996</v>
          </cell>
          <cell r="E92" t="str">
            <v>10.82791</v>
          </cell>
          <cell r="F92" t="str">
            <v>271/125/5 Quang Trung, P10, Q.Gò Vấp</v>
          </cell>
          <cell r="G92" t="str">
            <v>SMC</v>
          </cell>
          <cell r="H92" t="str">
            <v>Không có</v>
          </cell>
          <cell r="I92" t="str">
            <v>Không có</v>
          </cell>
          <cell r="J92" t="str">
            <v>Chưa update</v>
          </cell>
          <cell r="K92" t="str">
            <v>Chưa update</v>
          </cell>
          <cell r="Y92" t="str">
            <v>Chưa update</v>
          </cell>
          <cell r="Z92" t="str">
            <v>Tiền Camera</v>
          </cell>
          <cell r="AB92">
            <v>2200000</v>
          </cell>
          <cell r="AC92">
            <v>0</v>
          </cell>
          <cell r="AD92">
            <v>0</v>
          </cell>
          <cell r="AF92" t="str">
            <v>Tiền internet</v>
          </cell>
        </row>
        <row r="93">
          <cell r="B93" t="str">
            <v>SGN1678</v>
          </cell>
          <cell r="C93" t="str">
            <v>H.Hóc Môn</v>
          </cell>
          <cell r="D93">
            <v>106.597342</v>
          </cell>
          <cell r="E93">
            <v>10.860189999999999</v>
          </cell>
          <cell r="F93" t="str">
            <v>Thửa đất số 435, Tờ số bản đồ số 30, địa chỉ: J6 Ấp Mỹ Hòa 4, Xã Xuân Thới Đông, Huyện Hóc Môn, TP Hồ Chí Minh</v>
          </cell>
          <cell r="G93" t="str">
            <v>Macro</v>
          </cell>
          <cell r="H93" t="str">
            <v>Không có</v>
          </cell>
          <cell r="I93" t="str">
            <v>Không có</v>
          </cell>
          <cell r="J93">
            <v>45813</v>
          </cell>
          <cell r="K93">
            <v>47638</v>
          </cell>
          <cell r="Y93" t="str">
            <v>Hòa_0903023987</v>
          </cell>
          <cell r="Z93">
            <v>5000000</v>
          </cell>
          <cell r="AA93">
            <v>6000000</v>
          </cell>
          <cell r="AB93">
            <v>9100000</v>
          </cell>
          <cell r="AC93">
            <v>0</v>
          </cell>
          <cell r="AD93">
            <v>0</v>
          </cell>
          <cell r="AE93">
            <v>45857</v>
          </cell>
          <cell r="AF93" t="str">
            <v>6 tháng</v>
          </cell>
        </row>
        <row r="94">
          <cell r="B94" t="str">
            <v>SGN1623</v>
          </cell>
          <cell r="C94" t="str">
            <v>Q.Bình Tân</v>
          </cell>
          <cell r="D94">
            <v>106.608164</v>
          </cell>
          <cell r="E94">
            <v>10.803616</v>
          </cell>
          <cell r="F94" t="str">
            <v>Thửa số: 38, tờ bản đồ số: 80 Địa chỉ:539/32 Hương Lộ 3, Khu phố 9, Phường Bình Hưng Hòa, Thành phố Hồ Chí Minh</v>
          </cell>
          <cell r="G94" t="str">
            <v>Macro</v>
          </cell>
          <cell r="H94" t="str">
            <v>Không có</v>
          </cell>
          <cell r="I94" t="str">
            <v>Không có</v>
          </cell>
          <cell r="J94">
            <v>45809</v>
          </cell>
          <cell r="K94">
            <v>47634</v>
          </cell>
          <cell r="Y94" t="str">
            <v>Chưa update</v>
          </cell>
          <cell r="Z94">
            <v>5000000</v>
          </cell>
          <cell r="AB94">
            <v>9900000</v>
          </cell>
          <cell r="AC94">
            <v>0</v>
          </cell>
          <cell r="AD94">
            <v>0</v>
          </cell>
          <cell r="AE94">
            <v>45870</v>
          </cell>
          <cell r="AF94" t="str">
            <v>6 tháng</v>
          </cell>
        </row>
        <row r="95">
          <cell r="B95" t="str">
            <v>HCM0763-11</v>
          </cell>
          <cell r="C95" t="str">
            <v>Q.12</v>
          </cell>
          <cell r="D95">
            <v>106.6436025</v>
          </cell>
          <cell r="E95">
            <v>10.869358</v>
          </cell>
          <cell r="F95" t="str">
            <v>Thửa số: 541, tờ bản đồ số: 52 Địa chỉ: 382/29 Nguyễn Thị Đặng , Phường Hiệp Thành, Quận 12, Thành phố Hồ Chí Minh</v>
          </cell>
          <cell r="G95" t="str">
            <v>RRU</v>
          </cell>
          <cell r="H95" t="str">
            <v>Không có</v>
          </cell>
          <cell r="I95" t="str">
            <v>Không có</v>
          </cell>
          <cell r="J95">
            <v>45785</v>
          </cell>
          <cell r="K95">
            <v>47610</v>
          </cell>
          <cell r="Y95" t="str">
            <v>Chưa update</v>
          </cell>
          <cell r="Z95">
            <v>4000000</v>
          </cell>
          <cell r="AB95">
            <v>6250000</v>
          </cell>
          <cell r="AC95">
            <v>0</v>
          </cell>
          <cell r="AD95">
            <v>0</v>
          </cell>
          <cell r="AE95">
            <v>45846</v>
          </cell>
          <cell r="AF95" t="str">
            <v>6 tháng</v>
          </cell>
        </row>
        <row r="96">
          <cell r="B96" t="str">
            <v>HCM1709-11 --&gt; SGN0712-11</v>
          </cell>
          <cell r="C96" t="str">
            <v>Q.Gò Vấp</v>
          </cell>
          <cell r="D96">
            <v>106.683274</v>
          </cell>
          <cell r="E96">
            <v>10.837393199999999</v>
          </cell>
          <cell r="F96" t="str">
            <v>Thửa đất số: 65, tờ bản đồ số: 42, địa chỉ: 514 Dương Quảng Hàm,
Phường 06 Quận Gò Vấp, TP. HCM</v>
          </cell>
          <cell r="G96" t="str">
            <v>RRU</v>
          </cell>
          <cell r="H96" t="str">
            <v>Không có</v>
          </cell>
          <cell r="I96" t="str">
            <v>Không có</v>
          </cell>
          <cell r="J96">
            <v>45804</v>
          </cell>
          <cell r="K96">
            <v>47629</v>
          </cell>
          <cell r="Y96" t="str">
            <v>Chưa update</v>
          </cell>
          <cell r="Z96">
            <v>4000000</v>
          </cell>
          <cell r="AB96">
            <v>6400000</v>
          </cell>
          <cell r="AC96">
            <v>0</v>
          </cell>
          <cell r="AD96">
            <v>0</v>
          </cell>
          <cell r="AE96">
            <v>45804</v>
          </cell>
          <cell r="AF96" t="str">
            <v>6 tháng</v>
          </cell>
        </row>
        <row r="97">
          <cell r="B97" t="str">
            <v>SGN1631</v>
          </cell>
          <cell r="C97" t="str">
            <v>H.Bình Chánh</v>
          </cell>
          <cell r="D97">
            <v>106.518545</v>
          </cell>
          <cell r="E97">
            <v>10.738443</v>
          </cell>
          <cell r="F97" t="str">
            <v>Thửa đất số 880, Tờ số bản đồ số 77, địa chỉ: Xã Lê Minh Xuân, Huyện Bình Chánh, TP Hồ Chí Minh</v>
          </cell>
          <cell r="G97" t="str">
            <v>Macro</v>
          </cell>
          <cell r="H97" t="str">
            <v>Không có</v>
          </cell>
          <cell r="I97" t="str">
            <v>Không có</v>
          </cell>
          <cell r="J97">
            <v>45738</v>
          </cell>
          <cell r="K97">
            <v>47563</v>
          </cell>
          <cell r="Y97" t="str">
            <v>A Trí</v>
          </cell>
          <cell r="Z97">
            <v>3000000</v>
          </cell>
          <cell r="AB97">
            <v>13400000</v>
          </cell>
          <cell r="AC97">
            <v>0</v>
          </cell>
          <cell r="AD97">
            <v>0</v>
          </cell>
          <cell r="AE97">
            <v>45799</v>
          </cell>
          <cell r="AF97" t="str">
            <v>6 tháng</v>
          </cell>
        </row>
        <row r="98">
          <cell r="B98" t="str">
            <v>HCM4273-15</v>
          </cell>
          <cell r="C98" t="str">
            <v>Q.10</v>
          </cell>
          <cell r="D98">
            <v>106.6705798</v>
          </cell>
          <cell r="E98">
            <v>10.763659000000001</v>
          </cell>
          <cell r="F98" t="str">
            <v>268 Nguyễn Duy Dương, P.04, Quận 10, Tp.HCM</v>
          </cell>
          <cell r="G98" t="str">
            <v>RRU</v>
          </cell>
          <cell r="H98" t="str">
            <v>Không có</v>
          </cell>
          <cell r="I98" t="str">
            <v>Không có</v>
          </cell>
          <cell r="J98">
            <v>45823</v>
          </cell>
          <cell r="K98">
            <v>47648</v>
          </cell>
          <cell r="Y98" t="str">
            <v>Chưa update</v>
          </cell>
          <cell r="Z98">
            <v>5000000</v>
          </cell>
          <cell r="AB98">
            <v>6400000</v>
          </cell>
          <cell r="AC98">
            <v>0</v>
          </cell>
          <cell r="AD98">
            <v>0</v>
          </cell>
          <cell r="AF98" t="str">
            <v>6 tháng</v>
          </cell>
        </row>
        <row r="99">
          <cell r="B99" t="str">
            <v>HCM3282-13</v>
          </cell>
          <cell r="C99" t="str">
            <v>Q.Gò Vấp</v>
          </cell>
          <cell r="D99">
            <v>106.6493112</v>
          </cell>
          <cell r="E99">
            <v>10.8455811</v>
          </cell>
          <cell r="F99" t="str">
            <v>Thửa số 37, Tờ bản đồ số 151, 18/5C Phạm Văn Chiêu, Phường 9, Quận Gò Vấp,
Thành Phố Hồ Chí Minh</v>
          </cell>
          <cell r="G99" t="str">
            <v>RRU</v>
          </cell>
          <cell r="H99" t="str">
            <v>Không có</v>
          </cell>
          <cell r="I99" t="str">
            <v>Không có</v>
          </cell>
          <cell r="J99">
            <v>45850</v>
          </cell>
          <cell r="K99">
            <v>47675</v>
          </cell>
          <cell r="Y99" t="str">
            <v>Chưa update</v>
          </cell>
          <cell r="Z99">
            <v>4000000</v>
          </cell>
          <cell r="AB99">
            <v>6500000</v>
          </cell>
          <cell r="AC99">
            <v>0</v>
          </cell>
          <cell r="AD99">
            <v>0</v>
          </cell>
          <cell r="AE99">
            <v>45905</v>
          </cell>
          <cell r="AF99" t="str">
            <v>6 tháng</v>
          </cell>
        </row>
        <row r="100">
          <cell r="B100" t="str">
            <v>SGN1826</v>
          </cell>
          <cell r="C100" t="str">
            <v>Q.Gò Vấp</v>
          </cell>
          <cell r="D100">
            <v>106.688222</v>
          </cell>
          <cell r="E100">
            <v>10.824833</v>
          </cell>
          <cell r="F100" t="str">
            <v>Thửa đất số 530, Tờ số bản đồ số 107, địa chỉ: 382/3/15 Nguyễn Thái Sơn, Phường 5,
Quận Gò Vấp, Tp.HCM</v>
          </cell>
          <cell r="G100" t="str">
            <v>Macro</v>
          </cell>
          <cell r="H100" t="str">
            <v>Không có</v>
          </cell>
          <cell r="I100" t="str">
            <v>Không có</v>
          </cell>
          <cell r="J100">
            <v>45878</v>
          </cell>
          <cell r="K100">
            <v>47703</v>
          </cell>
          <cell r="Y100" t="str">
            <v>Nguyễn Thành Công</v>
          </cell>
          <cell r="Z100">
            <v>6000000</v>
          </cell>
          <cell r="AB100">
            <v>10600000</v>
          </cell>
          <cell r="AC100">
            <v>0</v>
          </cell>
          <cell r="AD100">
            <v>0</v>
          </cell>
          <cell r="AF100" t="str">
            <v>6 tháng</v>
          </cell>
        </row>
        <row r="101">
          <cell r="B101" t="str">
            <v>SGN1167</v>
          </cell>
          <cell r="C101" t="str">
            <v>H.Củ Chi</v>
          </cell>
          <cell r="D101">
            <v>106.60477</v>
          </cell>
          <cell r="E101">
            <v>10.977980000000001</v>
          </cell>
          <cell r="F101" t="str">
            <v>Thửa đất số 700, Tờ BĐ số 24, Xã Hòa Phú, Củ Chi, TPHCM</v>
          </cell>
          <cell r="G101" t="str">
            <v>Macro</v>
          </cell>
          <cell r="H101" t="str">
            <v>Không có</v>
          </cell>
          <cell r="I101" t="str">
            <v>Không có</v>
          </cell>
          <cell r="J101">
            <v>45286</v>
          </cell>
          <cell r="K101">
            <v>47112</v>
          </cell>
          <cell r="M101">
            <v>45437</v>
          </cell>
          <cell r="Y101" t="str">
            <v>Lê Trí Dũng</v>
          </cell>
          <cell r="Z101">
            <v>4500000</v>
          </cell>
          <cell r="AB101">
            <v>12000000</v>
          </cell>
          <cell r="AF101" t="str">
            <v>6 tháng</v>
          </cell>
        </row>
        <row r="102">
          <cell r="B102" t="str">
            <v>SGN1680</v>
          </cell>
          <cell r="C102" t="str">
            <v>H.Hóc Môn</v>
          </cell>
          <cell r="D102">
            <v>106.63862</v>
          </cell>
          <cell r="E102">
            <v>10.901565</v>
          </cell>
          <cell r="F102" t="str">
            <v>Thửa đất số 611, Tờ số bản đồ số 41, địa chỉ: 85/1A đường Đông Thạnh 4-2, Xã Đông Thạnh, TP Hồ Chí Minh</v>
          </cell>
          <cell r="G102" t="str">
            <v>Macro</v>
          </cell>
          <cell r="H102" t="str">
            <v>Không có</v>
          </cell>
          <cell r="I102" t="str">
            <v>Không có</v>
          </cell>
          <cell r="J102">
            <v>45853</v>
          </cell>
          <cell r="K102">
            <v>47678</v>
          </cell>
          <cell r="M102">
            <v>45868</v>
          </cell>
          <cell r="O102">
            <v>45952</v>
          </cell>
          <cell r="P102">
            <v>45952</v>
          </cell>
          <cell r="Y102" t="str">
            <v>Nguyễn Thị Lệ Thủy</v>
          </cell>
          <cell r="Z102">
            <v>6000000</v>
          </cell>
          <cell r="AB102">
            <v>9000000</v>
          </cell>
          <cell r="AF102" t="str">
            <v>6 tháng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2"/>
  <sheetViews>
    <sheetView zoomScale="70" zoomScaleNormal="70" workbookViewId="0">
      <pane xSplit="3" ySplit="3" topLeftCell="D88" activePane="bottomRight" state="frozen"/>
      <selection pane="topRight" activeCell="D1" sqref="D1"/>
      <selection pane="bottomLeft" activeCell="A4" sqref="A4"/>
      <selection pane="bottomRight" activeCell="D106" sqref="D106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9" width="23.21875" style="29" customWidth="1"/>
    <col min="10" max="11" width="14.77734375" customWidth="1"/>
    <col min="12" max="12" width="25" style="29" customWidth="1"/>
    <col min="13" max="24" width="14.77734375" customWidth="1"/>
    <col min="25" max="25" width="18.44140625" customWidth="1"/>
    <col min="26" max="26" width="15.44140625" bestFit="1" customWidth="1"/>
    <col min="27" max="30" width="14.44140625" customWidth="1"/>
    <col min="31" max="31" width="14.77734375" style="37" customWidth="1"/>
    <col min="32" max="32" width="7.21875" customWidth="1"/>
    <col min="33" max="33" width="14.77734375" customWidth="1"/>
    <col min="34" max="34" width="20.109375" customWidth="1"/>
    <col min="35" max="35" width="16.6640625" bestFit="1" customWidth="1"/>
    <col min="36" max="37" width="14.77734375" customWidth="1"/>
    <col min="38" max="38" width="10.21875" bestFit="1" customWidth="1"/>
    <col min="39" max="39" width="9.5546875" bestFit="1" customWidth="1"/>
    <col min="40" max="40" width="6.77734375" bestFit="1" customWidth="1"/>
    <col min="41" max="41" width="18.21875" customWidth="1"/>
    <col min="42" max="42" width="51.5546875" style="37" customWidth="1"/>
  </cols>
  <sheetData>
    <row r="1" spans="1:43" ht="48" x14ac:dyDescent="0.3">
      <c r="A1" s="4" t="s">
        <v>24</v>
      </c>
      <c r="B1" s="5" t="s">
        <v>366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904</v>
      </c>
      <c r="H1" s="8" t="s">
        <v>905</v>
      </c>
      <c r="I1" s="31" t="s">
        <v>2</v>
      </c>
      <c r="J1" s="8" t="s">
        <v>145</v>
      </c>
      <c r="K1" s="8" t="s">
        <v>928</v>
      </c>
      <c r="L1" s="32" t="s">
        <v>468</v>
      </c>
      <c r="M1" s="84" t="s">
        <v>165</v>
      </c>
      <c r="N1" s="84" t="s">
        <v>227</v>
      </c>
      <c r="O1" s="84" t="s">
        <v>358</v>
      </c>
      <c r="P1" s="84" t="s">
        <v>228</v>
      </c>
      <c r="Q1" s="33" t="s">
        <v>361</v>
      </c>
      <c r="R1" s="33" t="s">
        <v>354</v>
      </c>
      <c r="S1" s="33" t="s">
        <v>359</v>
      </c>
      <c r="T1" s="33" t="s">
        <v>362</v>
      </c>
      <c r="U1" s="85" t="s">
        <v>363</v>
      </c>
      <c r="V1" s="85" t="s">
        <v>355</v>
      </c>
      <c r="W1" s="85" t="s">
        <v>360</v>
      </c>
      <c r="X1" s="85" t="s">
        <v>364</v>
      </c>
      <c r="Y1" s="7" t="s">
        <v>36</v>
      </c>
      <c r="Z1" s="7" t="s">
        <v>365</v>
      </c>
      <c r="AA1" s="7" t="s">
        <v>57</v>
      </c>
      <c r="AB1" s="8" t="s">
        <v>105</v>
      </c>
      <c r="AC1" s="40" t="s">
        <v>168</v>
      </c>
      <c r="AD1" s="39" t="s">
        <v>169</v>
      </c>
      <c r="AE1" s="7" t="s">
        <v>93</v>
      </c>
      <c r="AF1" s="7" t="s">
        <v>926</v>
      </c>
      <c r="AG1" s="7" t="s">
        <v>94</v>
      </c>
      <c r="AH1" s="7" t="s">
        <v>80</v>
      </c>
      <c r="AI1" s="7" t="s">
        <v>82</v>
      </c>
      <c r="AJ1" s="7" t="s">
        <v>81</v>
      </c>
      <c r="AK1" s="7" t="s">
        <v>68</v>
      </c>
      <c r="AL1" s="7" t="s">
        <v>40</v>
      </c>
      <c r="AM1" s="7" t="s">
        <v>41</v>
      </c>
      <c r="AN1" s="7" t="s">
        <v>53</v>
      </c>
      <c r="AO1" s="15" t="s">
        <v>92</v>
      </c>
    </row>
    <row r="2" spans="1:43" s="101" customFormat="1" x14ac:dyDescent="0.3">
      <c r="A2" s="152">
        <f t="shared" ref="A2:AO2" si="0">SUBTOTAL(3,A4:A190)</f>
        <v>99</v>
      </c>
      <c r="B2" s="152">
        <f t="shared" si="0"/>
        <v>99</v>
      </c>
      <c r="C2" s="152">
        <f t="shared" si="0"/>
        <v>99</v>
      </c>
      <c r="D2" s="152">
        <f t="shared" si="0"/>
        <v>99</v>
      </c>
      <c r="E2" s="152">
        <f t="shared" si="0"/>
        <v>99</v>
      </c>
      <c r="F2" s="152">
        <f t="shared" si="0"/>
        <v>99</v>
      </c>
      <c r="G2" s="152">
        <f t="shared" si="0"/>
        <v>99</v>
      </c>
      <c r="H2" s="152">
        <f t="shared" si="0"/>
        <v>99</v>
      </c>
      <c r="I2" s="152">
        <f t="shared" si="0"/>
        <v>99</v>
      </c>
      <c r="J2" s="152">
        <f t="shared" si="0"/>
        <v>99</v>
      </c>
      <c r="K2" s="152">
        <f t="shared" si="0"/>
        <v>99</v>
      </c>
      <c r="L2" s="152">
        <f t="shared" si="0"/>
        <v>38</v>
      </c>
      <c r="M2" s="152">
        <f t="shared" si="0"/>
        <v>35</v>
      </c>
      <c r="N2" s="152">
        <f t="shared" si="0"/>
        <v>23</v>
      </c>
      <c r="O2" s="152">
        <f t="shared" si="0"/>
        <v>6</v>
      </c>
      <c r="P2" s="152">
        <f t="shared" si="0"/>
        <v>17</v>
      </c>
      <c r="Q2" s="152">
        <f t="shared" si="0"/>
        <v>2</v>
      </c>
      <c r="R2" s="152">
        <f t="shared" si="0"/>
        <v>3</v>
      </c>
      <c r="S2" s="152">
        <f t="shared" si="0"/>
        <v>2</v>
      </c>
      <c r="T2" s="152">
        <f t="shared" si="0"/>
        <v>1</v>
      </c>
      <c r="U2" s="152">
        <f t="shared" si="0"/>
        <v>1</v>
      </c>
      <c r="V2" s="152">
        <f t="shared" si="0"/>
        <v>0</v>
      </c>
      <c r="W2" s="152">
        <f t="shared" si="0"/>
        <v>0</v>
      </c>
      <c r="X2" s="152">
        <f t="shared" si="0"/>
        <v>1</v>
      </c>
      <c r="Y2" s="152">
        <f t="shared" si="0"/>
        <v>99</v>
      </c>
      <c r="Z2" s="152">
        <f t="shared" si="0"/>
        <v>99</v>
      </c>
      <c r="AA2" s="152">
        <f t="shared" si="0"/>
        <v>43</v>
      </c>
      <c r="AB2" s="152">
        <f t="shared" si="0"/>
        <v>99</v>
      </c>
      <c r="AC2" s="152">
        <f t="shared" si="0"/>
        <v>97</v>
      </c>
      <c r="AD2" s="152">
        <f t="shared" si="0"/>
        <v>97</v>
      </c>
      <c r="AE2" s="152">
        <f t="shared" si="0"/>
        <v>59</v>
      </c>
      <c r="AF2" s="152">
        <f t="shared" si="0"/>
        <v>99</v>
      </c>
      <c r="AG2" s="152">
        <f t="shared" si="0"/>
        <v>11</v>
      </c>
      <c r="AH2" s="152">
        <f t="shared" si="0"/>
        <v>99</v>
      </c>
      <c r="AI2" s="152">
        <f t="shared" si="0"/>
        <v>99</v>
      </c>
      <c r="AJ2" s="152">
        <f t="shared" si="0"/>
        <v>99</v>
      </c>
      <c r="AK2" s="152">
        <f t="shared" si="0"/>
        <v>99</v>
      </c>
      <c r="AL2" s="152">
        <f t="shared" si="0"/>
        <v>71</v>
      </c>
      <c r="AM2" s="152">
        <f t="shared" si="0"/>
        <v>76</v>
      </c>
      <c r="AN2" s="152">
        <f t="shared" si="0"/>
        <v>0</v>
      </c>
      <c r="AO2" s="152">
        <f t="shared" si="0"/>
        <v>99</v>
      </c>
      <c r="AP2" s="153"/>
    </row>
    <row r="3" spans="1:43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6" t="s">
        <v>0</v>
      </c>
      <c r="AC3" s="6"/>
      <c r="AD3" s="6"/>
      <c r="AE3" s="6" t="s">
        <v>0</v>
      </c>
      <c r="AF3" s="6" t="s">
        <v>0</v>
      </c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</row>
    <row r="4" spans="1:43" ht="24" x14ac:dyDescent="0.3">
      <c r="A4" s="4">
        <v>1</v>
      </c>
      <c r="B4" s="2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356</v>
      </c>
      <c r="H4" s="33" t="s">
        <v>906</v>
      </c>
      <c r="I4" s="33" t="s">
        <v>906</v>
      </c>
      <c r="J4" s="20">
        <v>44525</v>
      </c>
      <c r="K4" s="20">
        <f>EDATE(J4,60)-1</f>
        <v>46350</v>
      </c>
      <c r="L4" s="31" t="s">
        <v>425</v>
      </c>
      <c r="M4" s="20">
        <v>44540</v>
      </c>
      <c r="N4" s="88">
        <f>P4-30</f>
        <v>44564</v>
      </c>
      <c r="O4" s="18"/>
      <c r="P4" s="20">
        <v>44594</v>
      </c>
      <c r="Q4" s="20"/>
      <c r="R4" s="20"/>
      <c r="S4" s="18"/>
      <c r="T4" s="18"/>
      <c r="U4" s="18"/>
      <c r="V4" s="18"/>
      <c r="W4" s="18"/>
      <c r="X4" s="18"/>
      <c r="Y4" s="2" t="s">
        <v>46</v>
      </c>
      <c r="Z4" s="93">
        <v>5000000</v>
      </c>
      <c r="AA4" s="2" t="s">
        <v>65</v>
      </c>
      <c r="AB4" s="93">
        <v>8300000</v>
      </c>
      <c r="AC4" s="102">
        <v>5500000</v>
      </c>
      <c r="AD4" s="156">
        <v>5500000</v>
      </c>
      <c r="AE4" s="23" t="s">
        <v>146</v>
      </c>
      <c r="AF4" s="18" t="s">
        <v>77</v>
      </c>
      <c r="AG4" s="20">
        <f>AE4+90</f>
        <v>44683</v>
      </c>
      <c r="AH4" s="20" t="s">
        <v>84</v>
      </c>
      <c r="AI4" s="20" t="s">
        <v>83</v>
      </c>
      <c r="AJ4" s="20" t="s">
        <v>85</v>
      </c>
      <c r="AK4" s="18" t="s">
        <v>69</v>
      </c>
      <c r="AL4" s="2">
        <v>15.5</v>
      </c>
      <c r="AM4" s="2">
        <v>6</v>
      </c>
      <c r="AN4" s="48"/>
      <c r="AO4" t="s">
        <v>772</v>
      </c>
    </row>
    <row r="5" spans="1:43" ht="36" x14ac:dyDescent="0.3">
      <c r="A5" s="4">
        <v>2</v>
      </c>
      <c r="B5" s="2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356</v>
      </c>
      <c r="H5" s="33" t="s">
        <v>906</v>
      </c>
      <c r="I5" s="25" t="s">
        <v>901</v>
      </c>
      <c r="J5" s="20">
        <v>44528</v>
      </c>
      <c r="K5" s="20">
        <f t="shared" ref="K5:K68" si="1">EDATE(J5,60)-1</f>
        <v>46353</v>
      </c>
      <c r="L5" s="31" t="s">
        <v>149</v>
      </c>
      <c r="M5" s="20">
        <v>44545</v>
      </c>
      <c r="N5" s="88">
        <f>P5-30</f>
        <v>44564</v>
      </c>
      <c r="O5" s="18"/>
      <c r="P5" s="20">
        <v>44594</v>
      </c>
      <c r="Q5" s="20"/>
      <c r="R5" s="18"/>
      <c r="S5" s="18"/>
      <c r="T5" s="18"/>
      <c r="U5" s="18"/>
      <c r="V5" s="18"/>
      <c r="W5" s="18"/>
      <c r="X5" s="18"/>
      <c r="Y5" s="2" t="s">
        <v>56</v>
      </c>
      <c r="Z5" s="93">
        <v>5000000</v>
      </c>
      <c r="AA5" s="2" t="s">
        <v>58</v>
      </c>
      <c r="AB5" s="93">
        <v>8900000</v>
      </c>
      <c r="AC5" s="102">
        <v>0</v>
      </c>
      <c r="AD5" s="156">
        <v>4943400</v>
      </c>
      <c r="AE5" s="20" t="s">
        <v>78</v>
      </c>
      <c r="AF5" s="18" t="s">
        <v>77</v>
      </c>
      <c r="AG5" s="20">
        <f>AE5+91</f>
        <v>44626</v>
      </c>
      <c r="AH5" s="20" t="s">
        <v>91</v>
      </c>
      <c r="AI5" s="20" t="s">
        <v>89</v>
      </c>
      <c r="AJ5" s="20" t="s">
        <v>90</v>
      </c>
      <c r="AK5" s="18" t="s">
        <v>70</v>
      </c>
      <c r="AL5" s="2">
        <v>13.5</v>
      </c>
      <c r="AM5" s="2">
        <v>9</v>
      </c>
      <c r="AN5" s="2"/>
      <c r="AO5" t="s">
        <v>772</v>
      </c>
      <c r="AP5"/>
      <c r="AQ5" s="38"/>
    </row>
    <row r="6" spans="1:43" ht="36" x14ac:dyDescent="0.3">
      <c r="A6" s="4">
        <v>3</v>
      </c>
      <c r="B6" s="2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356</v>
      </c>
      <c r="H6" s="25" t="s">
        <v>901</v>
      </c>
      <c r="I6" s="25" t="s">
        <v>901</v>
      </c>
      <c r="J6" s="20">
        <v>44526</v>
      </c>
      <c r="K6" s="20">
        <f t="shared" si="1"/>
        <v>46351</v>
      </c>
      <c r="L6" s="34" t="s">
        <v>175</v>
      </c>
      <c r="M6" s="20">
        <v>44576</v>
      </c>
      <c r="N6" s="88">
        <f>P6-30</f>
        <v>44648</v>
      </c>
      <c r="O6" s="18"/>
      <c r="P6" s="20">
        <v>44678</v>
      </c>
      <c r="Q6" s="18"/>
      <c r="R6" s="18"/>
      <c r="S6" s="18"/>
      <c r="T6" s="18"/>
      <c r="U6" s="18"/>
      <c r="V6" s="18"/>
      <c r="W6" s="18"/>
      <c r="X6" s="18"/>
      <c r="Y6" s="2" t="s">
        <v>38</v>
      </c>
      <c r="Z6" s="93">
        <v>5250000</v>
      </c>
      <c r="AA6" s="2" t="s">
        <v>59</v>
      </c>
      <c r="AB6" s="93">
        <v>8300000</v>
      </c>
      <c r="AC6" s="102">
        <v>0</v>
      </c>
      <c r="AD6" s="156">
        <v>0</v>
      </c>
      <c r="AE6" s="23" t="s">
        <v>147</v>
      </c>
      <c r="AF6" s="24" t="s">
        <v>77</v>
      </c>
      <c r="AG6" s="23">
        <f>AE6+90</f>
        <v>44725</v>
      </c>
      <c r="AH6" s="20" t="s">
        <v>87</v>
      </c>
      <c r="AI6" s="20" t="s">
        <v>86</v>
      </c>
      <c r="AJ6" s="20" t="s">
        <v>88</v>
      </c>
      <c r="AK6" s="18" t="s">
        <v>71</v>
      </c>
      <c r="AL6" s="2">
        <v>17</v>
      </c>
      <c r="AM6" s="2">
        <v>6</v>
      </c>
      <c r="AN6" s="48"/>
      <c r="AO6" t="s">
        <v>772</v>
      </c>
    </row>
    <row r="7" spans="1:43" ht="24" x14ac:dyDescent="0.3">
      <c r="A7" s="4">
        <v>4</v>
      </c>
      <c r="B7" s="2" t="s">
        <v>987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357</v>
      </c>
      <c r="H7" s="25" t="s">
        <v>901</v>
      </c>
      <c r="I7" s="25" t="s">
        <v>901</v>
      </c>
      <c r="J7" s="20">
        <v>44530</v>
      </c>
      <c r="K7" s="20">
        <f t="shared" si="1"/>
        <v>46355</v>
      </c>
      <c r="L7" s="34" t="s">
        <v>175</v>
      </c>
      <c r="M7" s="20">
        <v>44576</v>
      </c>
      <c r="N7" s="88">
        <v>44600</v>
      </c>
      <c r="O7" s="18"/>
      <c r="P7" s="20">
        <v>44630</v>
      </c>
      <c r="Q7" s="18"/>
      <c r="R7" s="18"/>
      <c r="S7" s="18"/>
      <c r="T7" s="18"/>
      <c r="U7" s="18"/>
      <c r="V7" s="18"/>
      <c r="W7" s="18"/>
      <c r="X7" s="18"/>
      <c r="Y7" s="2" t="s">
        <v>75</v>
      </c>
      <c r="Z7" s="93">
        <v>4000000</v>
      </c>
      <c r="AA7" s="2" t="s">
        <v>62</v>
      </c>
      <c r="AB7" s="93">
        <v>6300000</v>
      </c>
      <c r="AC7" s="102">
        <v>0</v>
      </c>
      <c r="AD7" s="156">
        <v>0</v>
      </c>
      <c r="AE7" s="20">
        <v>44652</v>
      </c>
      <c r="AF7" s="18" t="s">
        <v>79</v>
      </c>
      <c r="AG7" s="20">
        <f>AE7+6*30</f>
        <v>44832</v>
      </c>
      <c r="AH7" s="18" t="s">
        <v>113</v>
      </c>
      <c r="AI7" s="18" t="s">
        <v>112</v>
      </c>
      <c r="AJ7" s="18" t="s">
        <v>114</v>
      </c>
      <c r="AK7" s="18" t="s">
        <v>72</v>
      </c>
      <c r="AL7" s="2">
        <v>18</v>
      </c>
      <c r="AM7" s="2" t="s">
        <v>63</v>
      </c>
      <c r="AN7" s="48"/>
      <c r="AO7" t="s">
        <v>772</v>
      </c>
    </row>
    <row r="8" spans="1:43" ht="24" x14ac:dyDescent="0.3">
      <c r="A8" s="4">
        <v>5</v>
      </c>
      <c r="B8" s="155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356</v>
      </c>
      <c r="H8" s="33" t="s">
        <v>906</v>
      </c>
      <c r="I8" s="25" t="s">
        <v>901</v>
      </c>
      <c r="J8" s="20">
        <v>44586</v>
      </c>
      <c r="K8" s="20">
        <f t="shared" si="1"/>
        <v>46411</v>
      </c>
      <c r="L8" s="34" t="s">
        <v>175</v>
      </c>
      <c r="M8" s="20">
        <v>44607</v>
      </c>
      <c r="N8" s="20">
        <v>44623</v>
      </c>
      <c r="O8" s="20">
        <v>44655</v>
      </c>
      <c r="P8" s="20">
        <v>44655</v>
      </c>
      <c r="Q8" s="18"/>
      <c r="R8" s="18"/>
      <c r="S8" s="20">
        <v>44697</v>
      </c>
      <c r="T8" s="18"/>
      <c r="U8" s="18"/>
      <c r="V8" s="18"/>
      <c r="W8" s="18"/>
      <c r="X8" s="18"/>
      <c r="Y8" s="2" t="s">
        <v>96</v>
      </c>
      <c r="Z8" s="94">
        <v>5500000</v>
      </c>
      <c r="AA8" s="8" t="s">
        <v>134</v>
      </c>
      <c r="AB8" s="93">
        <v>9600000</v>
      </c>
      <c r="AC8" s="102">
        <v>0</v>
      </c>
      <c r="AD8" s="102">
        <v>6820000</v>
      </c>
      <c r="AE8" s="21"/>
      <c r="AF8" s="22" t="s">
        <v>77</v>
      </c>
      <c r="AG8" s="22"/>
      <c r="AH8" s="22" t="s">
        <v>96</v>
      </c>
      <c r="AI8" s="22" t="s">
        <v>96</v>
      </c>
      <c r="AJ8" s="22" t="s">
        <v>96</v>
      </c>
      <c r="AK8" s="22" t="s">
        <v>768</v>
      </c>
      <c r="AL8" s="2">
        <v>12</v>
      </c>
      <c r="AM8" s="2">
        <v>12</v>
      </c>
      <c r="AN8" s="48"/>
      <c r="AO8" t="s">
        <v>773</v>
      </c>
    </row>
    <row r="9" spans="1:43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356</v>
      </c>
      <c r="H9" s="25" t="s">
        <v>901</v>
      </c>
      <c r="I9" s="25" t="s">
        <v>901</v>
      </c>
      <c r="J9" s="20">
        <v>44561</v>
      </c>
      <c r="K9" s="20">
        <f t="shared" si="1"/>
        <v>46386</v>
      </c>
      <c r="L9" s="34" t="s">
        <v>175</v>
      </c>
      <c r="M9" s="21">
        <v>44635</v>
      </c>
      <c r="N9" s="20">
        <v>44700</v>
      </c>
      <c r="O9" s="18"/>
      <c r="P9" s="20">
        <v>44752</v>
      </c>
      <c r="Q9" s="18"/>
      <c r="R9" s="18"/>
      <c r="S9" s="18"/>
      <c r="T9" s="18"/>
      <c r="U9" s="18"/>
      <c r="V9" s="18"/>
      <c r="W9" s="18"/>
      <c r="X9" s="18"/>
      <c r="Y9" s="2" t="s">
        <v>240</v>
      </c>
      <c r="Z9" s="93">
        <v>4750000</v>
      </c>
      <c r="AA9" s="2" t="s">
        <v>58</v>
      </c>
      <c r="AB9" s="93">
        <v>9600000</v>
      </c>
      <c r="AC9" s="102">
        <v>0</v>
      </c>
      <c r="AD9" s="156">
        <v>0</v>
      </c>
      <c r="AE9" s="20">
        <v>44713</v>
      </c>
      <c r="AF9" s="18" t="s">
        <v>77</v>
      </c>
      <c r="AG9" s="20">
        <f t="shared" ref="AG9:AG14" si="2">AE9+90</f>
        <v>44803</v>
      </c>
      <c r="AH9" s="18" t="s">
        <v>101</v>
      </c>
      <c r="AI9" s="18" t="s">
        <v>99</v>
      </c>
      <c r="AJ9" s="18" t="s">
        <v>102</v>
      </c>
      <c r="AK9" s="18" t="s">
        <v>103</v>
      </c>
      <c r="AL9" s="2">
        <v>13.5</v>
      </c>
      <c r="AM9" s="2">
        <v>12</v>
      </c>
      <c r="AN9" s="48"/>
      <c r="AO9" t="s">
        <v>772</v>
      </c>
    </row>
    <row r="10" spans="1:43" ht="36" x14ac:dyDescent="0.3">
      <c r="A10" s="4">
        <v>7</v>
      </c>
      <c r="B10" s="2" t="s">
        <v>254</v>
      </c>
      <c r="C10" s="2" t="s">
        <v>107</v>
      </c>
      <c r="D10" s="2">
        <v>106.7519503</v>
      </c>
      <c r="E10" s="2">
        <v>10.8370231</v>
      </c>
      <c r="F10" s="2" t="s">
        <v>130</v>
      </c>
      <c r="G10" s="2" t="s">
        <v>356</v>
      </c>
      <c r="H10" s="33" t="s">
        <v>906</v>
      </c>
      <c r="I10" s="31" t="s">
        <v>907</v>
      </c>
      <c r="J10" s="20">
        <v>44586</v>
      </c>
      <c r="K10" s="20">
        <f t="shared" si="1"/>
        <v>46411</v>
      </c>
      <c r="L10" s="34" t="s">
        <v>175</v>
      </c>
      <c r="M10" s="21">
        <v>44640</v>
      </c>
      <c r="N10" s="20">
        <v>44647</v>
      </c>
      <c r="O10" s="20"/>
      <c r="P10" s="20">
        <v>44678</v>
      </c>
      <c r="Q10" s="18"/>
      <c r="R10" s="20"/>
      <c r="S10" s="20"/>
      <c r="T10" s="20"/>
      <c r="U10" s="18"/>
      <c r="V10" s="20"/>
      <c r="W10" s="20"/>
      <c r="X10" s="20"/>
      <c r="Y10" s="2" t="s">
        <v>131</v>
      </c>
      <c r="Z10" s="93">
        <v>7500000</v>
      </c>
      <c r="AA10" s="2" t="s">
        <v>110</v>
      </c>
      <c r="AB10" s="93">
        <v>11900000</v>
      </c>
      <c r="AC10" s="102">
        <v>7000000</v>
      </c>
      <c r="AD10" s="156">
        <v>6600000</v>
      </c>
      <c r="AE10" s="20">
        <v>44712</v>
      </c>
      <c r="AF10" s="18" t="s">
        <v>77</v>
      </c>
      <c r="AG10" s="20">
        <f t="shared" si="2"/>
        <v>44802</v>
      </c>
      <c r="AH10" s="18" t="s">
        <v>132</v>
      </c>
      <c r="AI10" s="18" t="s">
        <v>131</v>
      </c>
      <c r="AJ10" s="18" t="s">
        <v>102</v>
      </c>
      <c r="AK10" s="18" t="s">
        <v>133</v>
      </c>
      <c r="AL10" s="2">
        <v>15</v>
      </c>
      <c r="AM10" s="2">
        <v>9</v>
      </c>
      <c r="AN10" s="48"/>
      <c r="AO10" t="s">
        <v>772</v>
      </c>
    </row>
    <row r="11" spans="1:43" ht="36" x14ac:dyDescent="0.3">
      <c r="A11" s="4">
        <v>8</v>
      </c>
      <c r="B11" s="2" t="s">
        <v>257</v>
      </c>
      <c r="C11" s="2" t="s">
        <v>117</v>
      </c>
      <c r="D11" s="2">
        <v>106.56272749999999</v>
      </c>
      <c r="E11" s="2">
        <v>10.766488000000001</v>
      </c>
      <c r="F11" s="2" t="s">
        <v>119</v>
      </c>
      <c r="G11" s="2" t="s">
        <v>356</v>
      </c>
      <c r="H11" s="25" t="s">
        <v>901</v>
      </c>
      <c r="I11" s="31" t="s">
        <v>907</v>
      </c>
      <c r="J11" s="20">
        <v>44586</v>
      </c>
      <c r="K11" s="20">
        <f t="shared" si="1"/>
        <v>46411</v>
      </c>
      <c r="L11" s="34" t="s">
        <v>175</v>
      </c>
      <c r="M11" s="20">
        <v>44628</v>
      </c>
      <c r="N11" s="86">
        <v>44698</v>
      </c>
      <c r="O11" s="18"/>
      <c r="P11" s="20">
        <f>N11+30</f>
        <v>44728</v>
      </c>
      <c r="Q11" s="18"/>
      <c r="R11" s="18"/>
      <c r="S11" s="18"/>
      <c r="T11" s="18"/>
      <c r="U11" s="20">
        <v>44665</v>
      </c>
      <c r="V11" s="18"/>
      <c r="W11" s="18"/>
      <c r="X11" s="20">
        <v>44666</v>
      </c>
      <c r="Y11" s="2" t="s">
        <v>118</v>
      </c>
      <c r="Z11" s="93">
        <v>6000000</v>
      </c>
      <c r="AA11" s="2" t="s">
        <v>148</v>
      </c>
      <c r="AB11" s="93">
        <v>10800000</v>
      </c>
      <c r="AC11" s="102">
        <v>6500000</v>
      </c>
      <c r="AD11" s="156">
        <v>0</v>
      </c>
      <c r="AE11" s="20">
        <v>44713</v>
      </c>
      <c r="AF11" s="18" t="s">
        <v>77</v>
      </c>
      <c r="AG11" s="20">
        <f t="shared" si="2"/>
        <v>44803</v>
      </c>
      <c r="AH11" s="18" t="s">
        <v>120</v>
      </c>
      <c r="AI11" s="18" t="s">
        <v>121</v>
      </c>
      <c r="AJ11" s="18" t="s">
        <v>122</v>
      </c>
      <c r="AK11" s="18" t="s">
        <v>123</v>
      </c>
      <c r="AL11" s="2">
        <v>13</v>
      </c>
      <c r="AM11" s="2">
        <v>12</v>
      </c>
      <c r="AN11" s="48"/>
      <c r="AO11" t="s">
        <v>772</v>
      </c>
    </row>
    <row r="12" spans="1:43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150</v>
      </c>
      <c r="G12" s="2" t="s">
        <v>356</v>
      </c>
      <c r="H12" s="25" t="s">
        <v>901</v>
      </c>
      <c r="I12" s="25" t="s">
        <v>901</v>
      </c>
      <c r="J12" s="20">
        <v>44586</v>
      </c>
      <c r="K12" s="20">
        <f t="shared" si="1"/>
        <v>46411</v>
      </c>
      <c r="L12" s="34" t="s">
        <v>175</v>
      </c>
      <c r="M12" s="20">
        <v>44612</v>
      </c>
      <c r="N12" s="20">
        <v>44631</v>
      </c>
      <c r="O12" s="18"/>
      <c r="P12" s="20">
        <v>44662</v>
      </c>
      <c r="Q12" s="18"/>
      <c r="R12" s="18"/>
      <c r="S12" s="18"/>
      <c r="T12" s="18"/>
      <c r="U12" s="18"/>
      <c r="V12" s="18"/>
      <c r="W12" s="18"/>
      <c r="X12" s="18"/>
      <c r="Y12" s="2" t="s">
        <v>242</v>
      </c>
      <c r="Z12" s="93">
        <v>7000000</v>
      </c>
      <c r="AA12" s="2" t="s">
        <v>151</v>
      </c>
      <c r="AB12" s="93">
        <v>10900000</v>
      </c>
      <c r="AC12" s="102">
        <v>0</v>
      </c>
      <c r="AD12" s="156">
        <v>0</v>
      </c>
      <c r="AE12" s="20">
        <v>44645</v>
      </c>
      <c r="AF12" s="18" t="s">
        <v>77</v>
      </c>
      <c r="AG12" s="20">
        <f t="shared" si="2"/>
        <v>44735</v>
      </c>
      <c r="AH12" s="18" t="s">
        <v>152</v>
      </c>
      <c r="AI12" s="18" t="s">
        <v>153</v>
      </c>
      <c r="AJ12" s="18" t="s">
        <v>154</v>
      </c>
      <c r="AK12" s="18" t="s">
        <v>155</v>
      </c>
      <c r="AL12" s="2">
        <v>20</v>
      </c>
      <c r="AM12" s="2">
        <v>6</v>
      </c>
      <c r="AN12" s="48"/>
      <c r="AO12" t="s">
        <v>773</v>
      </c>
    </row>
    <row r="13" spans="1:43" ht="36" x14ac:dyDescent="0.3">
      <c r="A13" s="4">
        <v>10</v>
      </c>
      <c r="B13" s="2" t="s">
        <v>156</v>
      </c>
      <c r="C13" s="2" t="s">
        <v>157</v>
      </c>
      <c r="D13" s="2">
        <v>106.668102</v>
      </c>
      <c r="E13" s="2">
        <v>10.797355</v>
      </c>
      <c r="F13" s="2" t="s">
        <v>158</v>
      </c>
      <c r="G13" s="2" t="s">
        <v>356</v>
      </c>
      <c r="H13" s="25" t="s">
        <v>901</v>
      </c>
      <c r="I13" s="25" t="s">
        <v>901</v>
      </c>
      <c r="J13" s="20">
        <v>44614</v>
      </c>
      <c r="K13" s="20">
        <f t="shared" si="1"/>
        <v>46439</v>
      </c>
      <c r="L13" s="34" t="s">
        <v>175</v>
      </c>
      <c r="M13" s="21">
        <v>44640</v>
      </c>
      <c r="N13" s="20">
        <v>44671</v>
      </c>
      <c r="O13" s="18"/>
      <c r="P13" s="20">
        <f>N13+30</f>
        <v>44701</v>
      </c>
      <c r="Q13" s="18"/>
      <c r="R13" s="18"/>
      <c r="S13" s="18"/>
      <c r="T13" s="18"/>
      <c r="U13" s="18"/>
      <c r="V13" s="18"/>
      <c r="W13" s="18"/>
      <c r="X13" s="18"/>
      <c r="Y13" s="2" t="s">
        <v>241</v>
      </c>
      <c r="Z13" s="93">
        <v>6500000</v>
      </c>
      <c r="AA13" s="2" t="s">
        <v>159</v>
      </c>
      <c r="AB13" s="93">
        <v>11500000</v>
      </c>
      <c r="AC13" s="102">
        <v>0</v>
      </c>
      <c r="AD13" s="156">
        <v>0</v>
      </c>
      <c r="AE13" s="20">
        <v>44743</v>
      </c>
      <c r="AF13" s="18" t="s">
        <v>77</v>
      </c>
      <c r="AG13" s="20">
        <f t="shared" si="2"/>
        <v>44833</v>
      </c>
      <c r="AH13" s="18" t="s">
        <v>160</v>
      </c>
      <c r="AI13" s="18" t="s">
        <v>161</v>
      </c>
      <c r="AJ13" s="18" t="s">
        <v>154</v>
      </c>
      <c r="AK13" s="18" t="s">
        <v>162</v>
      </c>
      <c r="AL13" s="2">
        <v>17</v>
      </c>
      <c r="AM13" s="2">
        <v>9</v>
      </c>
      <c r="AN13" s="48"/>
      <c r="AO13" t="s">
        <v>773</v>
      </c>
    </row>
    <row r="14" spans="1:43" ht="41.4" x14ac:dyDescent="0.3">
      <c r="A14" s="4">
        <v>11</v>
      </c>
      <c r="B14" s="2" t="s">
        <v>260</v>
      </c>
      <c r="C14" s="2" t="s">
        <v>66</v>
      </c>
      <c r="D14" s="2">
        <v>106.677483</v>
      </c>
      <c r="E14" s="2">
        <v>10.850686</v>
      </c>
      <c r="F14" s="2" t="s">
        <v>164</v>
      </c>
      <c r="G14" s="2" t="s">
        <v>357</v>
      </c>
      <c r="H14" s="35" t="s">
        <v>906</v>
      </c>
      <c r="I14" s="25" t="s">
        <v>901</v>
      </c>
      <c r="J14" s="20">
        <v>44622</v>
      </c>
      <c r="K14" s="20">
        <f t="shared" si="1"/>
        <v>46447</v>
      </c>
      <c r="L14" s="34" t="s">
        <v>175</v>
      </c>
      <c r="M14" s="21">
        <v>44640</v>
      </c>
      <c r="N14" s="20">
        <v>44657</v>
      </c>
      <c r="O14" s="20">
        <v>44676</v>
      </c>
      <c r="P14" s="20">
        <v>44676</v>
      </c>
      <c r="Q14" s="20">
        <v>44663</v>
      </c>
      <c r="R14" s="20"/>
      <c r="S14" s="20"/>
      <c r="T14" s="20" t="s">
        <v>398</v>
      </c>
      <c r="U14" s="18"/>
      <c r="V14" s="20"/>
      <c r="W14" s="20"/>
      <c r="X14" s="20"/>
      <c r="Y14" s="2" t="s">
        <v>166</v>
      </c>
      <c r="Z14" s="93">
        <v>6200000</v>
      </c>
      <c r="AA14" s="2" t="s">
        <v>43</v>
      </c>
      <c r="AB14" s="93">
        <v>7400000</v>
      </c>
      <c r="AC14" s="102">
        <v>0</v>
      </c>
      <c r="AD14" s="156">
        <v>11200000</v>
      </c>
      <c r="AE14" s="20">
        <v>44653</v>
      </c>
      <c r="AF14" s="18" t="s">
        <v>77</v>
      </c>
      <c r="AG14" s="20">
        <f t="shared" si="2"/>
        <v>44743</v>
      </c>
      <c r="AH14" s="145" t="s">
        <v>707</v>
      </c>
      <c r="AI14" s="99" t="s">
        <v>170</v>
      </c>
      <c r="AJ14" s="99" t="s">
        <v>708</v>
      </c>
      <c r="AK14" s="99" t="s">
        <v>172</v>
      </c>
      <c r="AL14" s="2">
        <v>12.8</v>
      </c>
      <c r="AM14" s="2">
        <v>12</v>
      </c>
      <c r="AN14" s="48"/>
      <c r="AO14" t="s">
        <v>773</v>
      </c>
    </row>
    <row r="15" spans="1:43" ht="36" x14ac:dyDescent="0.3">
      <c r="A15" s="4">
        <v>12</v>
      </c>
      <c r="B15" s="2" t="s">
        <v>423</v>
      </c>
      <c r="C15" s="2" t="s">
        <v>15</v>
      </c>
      <c r="D15" s="2">
        <v>106.59006100000001</v>
      </c>
      <c r="E15" s="2">
        <v>10.839575999999999</v>
      </c>
      <c r="F15" s="2" t="s">
        <v>178</v>
      </c>
      <c r="G15" s="2" t="s">
        <v>356</v>
      </c>
      <c r="H15" s="35" t="s">
        <v>906</v>
      </c>
      <c r="I15" s="35" t="s">
        <v>906</v>
      </c>
      <c r="J15" s="20">
        <v>44631</v>
      </c>
      <c r="K15" s="20">
        <f t="shared" si="1"/>
        <v>46456</v>
      </c>
      <c r="L15" s="34" t="s">
        <v>175</v>
      </c>
      <c r="M15" s="124">
        <v>44691</v>
      </c>
      <c r="N15" s="27" t="s">
        <v>413</v>
      </c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2" t="s">
        <v>180</v>
      </c>
      <c r="Z15" s="93">
        <v>6000000</v>
      </c>
      <c r="AA15" s="2" t="s">
        <v>148</v>
      </c>
      <c r="AB15" s="94">
        <v>11500000</v>
      </c>
      <c r="AC15" s="102">
        <v>6400000</v>
      </c>
      <c r="AD15" s="156">
        <v>4682700</v>
      </c>
      <c r="AE15" s="20">
        <v>44723</v>
      </c>
      <c r="AF15" s="18" t="s">
        <v>77</v>
      </c>
      <c r="AG15" s="20"/>
      <c r="AH15" s="18" t="s">
        <v>182</v>
      </c>
      <c r="AI15" s="18" t="s">
        <v>181</v>
      </c>
      <c r="AJ15" s="18" t="s">
        <v>183</v>
      </c>
      <c r="AK15" s="18" t="s">
        <v>184</v>
      </c>
      <c r="AL15" s="2">
        <v>14</v>
      </c>
      <c r="AM15" s="2">
        <v>15</v>
      </c>
      <c r="AN15" s="48"/>
      <c r="AO15" t="s">
        <v>773</v>
      </c>
    </row>
    <row r="16" spans="1:43" ht="34.5" customHeight="1" x14ac:dyDescent="0.3">
      <c r="A16" s="4">
        <v>13</v>
      </c>
      <c r="B16" s="2" t="s">
        <v>185</v>
      </c>
      <c r="C16" s="2" t="s">
        <v>66</v>
      </c>
      <c r="D16" s="2">
        <v>106.64039</v>
      </c>
      <c r="E16" s="2">
        <v>10.844670000000001</v>
      </c>
      <c r="F16" s="2" t="s">
        <v>412</v>
      </c>
      <c r="G16" s="2" t="s">
        <v>356</v>
      </c>
      <c r="H16" s="34" t="s">
        <v>901</v>
      </c>
      <c r="I16" s="25" t="s">
        <v>901</v>
      </c>
      <c r="J16" s="21">
        <v>44660</v>
      </c>
      <c r="K16" s="20">
        <f t="shared" si="1"/>
        <v>46485</v>
      </c>
      <c r="L16" s="34" t="s">
        <v>175</v>
      </c>
      <c r="M16" s="21">
        <v>44696</v>
      </c>
      <c r="N16" s="27" t="s">
        <v>413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2" t="s">
        <v>319</v>
      </c>
      <c r="Z16" s="93">
        <v>7000000</v>
      </c>
      <c r="AA16" s="8" t="s">
        <v>110</v>
      </c>
      <c r="AB16" s="93">
        <v>11500000</v>
      </c>
      <c r="AC16" s="102">
        <v>0</v>
      </c>
      <c r="AD16" s="156">
        <v>0</v>
      </c>
      <c r="AE16" s="20" t="s">
        <v>188</v>
      </c>
      <c r="AF16" s="18" t="s">
        <v>79</v>
      </c>
      <c r="AG16" s="20"/>
      <c r="AH16" s="22" t="s">
        <v>307</v>
      </c>
      <c r="AI16" s="22" t="s">
        <v>187</v>
      </c>
      <c r="AJ16" s="22" t="s">
        <v>195</v>
      </c>
      <c r="AK16" s="18" t="s">
        <v>189</v>
      </c>
      <c r="AL16" s="8">
        <v>12</v>
      </c>
      <c r="AM16" s="2">
        <v>12</v>
      </c>
      <c r="AN16" s="48"/>
      <c r="AO16" t="s">
        <v>773</v>
      </c>
    </row>
    <row r="17" spans="1:41" ht="36" x14ac:dyDescent="0.3">
      <c r="A17" s="4">
        <v>14</v>
      </c>
      <c r="B17" s="2" t="s">
        <v>190</v>
      </c>
      <c r="C17" s="2" t="s">
        <v>15</v>
      </c>
      <c r="D17" s="2">
        <v>106.59247499999999</v>
      </c>
      <c r="E17" s="2">
        <v>10.850161</v>
      </c>
      <c r="F17" s="2" t="s">
        <v>211</v>
      </c>
      <c r="G17" s="2" t="s">
        <v>356</v>
      </c>
      <c r="H17" s="35" t="s">
        <v>906</v>
      </c>
      <c r="I17" s="25" t="s">
        <v>901</v>
      </c>
      <c r="J17" s="20">
        <v>44640</v>
      </c>
      <c r="K17" s="20">
        <f t="shared" si="1"/>
        <v>46465</v>
      </c>
      <c r="L17" s="34" t="s">
        <v>175</v>
      </c>
      <c r="M17" s="21">
        <v>44650</v>
      </c>
      <c r="N17" s="87">
        <v>44678</v>
      </c>
      <c r="O17" s="18"/>
      <c r="P17" s="20">
        <v>44707</v>
      </c>
      <c r="Q17" s="18"/>
      <c r="R17" s="18"/>
      <c r="S17" s="20">
        <v>44706</v>
      </c>
      <c r="T17" s="18"/>
      <c r="U17" s="18"/>
      <c r="V17" s="18"/>
      <c r="W17" s="18"/>
      <c r="X17" s="18"/>
      <c r="Y17" s="2" t="s">
        <v>191</v>
      </c>
      <c r="Z17" s="93">
        <v>5500000</v>
      </c>
      <c r="AA17" s="2" t="s">
        <v>167</v>
      </c>
      <c r="AB17" s="94">
        <v>9900000</v>
      </c>
      <c r="AC17" s="102">
        <v>0</v>
      </c>
      <c r="AD17" s="156">
        <v>6985000</v>
      </c>
      <c r="AE17" s="20">
        <v>44706</v>
      </c>
      <c r="AF17" s="18" t="s">
        <v>79</v>
      </c>
      <c r="AG17" s="20"/>
      <c r="AH17" s="18" t="s">
        <v>193</v>
      </c>
      <c r="AI17" s="18" t="s">
        <v>194</v>
      </c>
      <c r="AJ17" s="18" t="s">
        <v>195</v>
      </c>
      <c r="AK17" s="18" t="s">
        <v>192</v>
      </c>
      <c r="AL17" s="2">
        <v>13</v>
      </c>
      <c r="AM17" s="2">
        <v>12</v>
      </c>
      <c r="AN17" s="48"/>
      <c r="AO17" t="s">
        <v>773</v>
      </c>
    </row>
    <row r="18" spans="1:41" ht="36" x14ac:dyDescent="0.3">
      <c r="A18" s="4">
        <v>15</v>
      </c>
      <c r="B18" s="2" t="s">
        <v>229</v>
      </c>
      <c r="C18" s="2" t="s">
        <v>230</v>
      </c>
      <c r="D18" s="2">
        <v>106.608361</v>
      </c>
      <c r="E18" s="2">
        <v>10.777388999999999</v>
      </c>
      <c r="F18" s="2" t="s">
        <v>231</v>
      </c>
      <c r="G18" s="2" t="s">
        <v>356</v>
      </c>
      <c r="H18" s="25" t="s">
        <v>901</v>
      </c>
      <c r="I18" s="25" t="s">
        <v>901</v>
      </c>
      <c r="J18" s="20">
        <v>44645</v>
      </c>
      <c r="K18" s="20">
        <f t="shared" si="1"/>
        <v>46470</v>
      </c>
      <c r="L18" s="34" t="s">
        <v>175</v>
      </c>
      <c r="M18" s="21">
        <v>44682</v>
      </c>
      <c r="N18" s="86">
        <v>44698</v>
      </c>
      <c r="O18" s="18"/>
      <c r="P18" s="20">
        <v>44749</v>
      </c>
      <c r="Q18" s="18"/>
      <c r="R18" s="18"/>
      <c r="S18" s="18"/>
      <c r="T18" s="18"/>
      <c r="U18" s="18"/>
      <c r="V18" s="18"/>
      <c r="W18" s="18"/>
      <c r="X18" s="18"/>
      <c r="Y18" s="2" t="s">
        <v>239</v>
      </c>
      <c r="Z18" s="93">
        <v>7000000</v>
      </c>
      <c r="AA18" s="2" t="s">
        <v>110</v>
      </c>
      <c r="AB18" s="94">
        <v>11700000</v>
      </c>
      <c r="AC18" s="102">
        <v>0</v>
      </c>
      <c r="AD18" s="156">
        <v>0</v>
      </c>
      <c r="AE18" s="20">
        <v>44713</v>
      </c>
      <c r="AF18" s="18" t="s">
        <v>77</v>
      </c>
      <c r="AG18" s="20"/>
      <c r="AH18" s="18" t="s">
        <v>232</v>
      </c>
      <c r="AI18" s="18" t="s">
        <v>233</v>
      </c>
      <c r="AJ18" s="18" t="s">
        <v>102</v>
      </c>
      <c r="AK18" s="18" t="s">
        <v>234</v>
      </c>
      <c r="AL18" s="2">
        <v>25</v>
      </c>
      <c r="AM18" s="2">
        <v>5</v>
      </c>
      <c r="AN18" s="48"/>
      <c r="AO18" t="s">
        <v>773</v>
      </c>
    </row>
    <row r="19" spans="1:41" ht="24" x14ac:dyDescent="0.3">
      <c r="A19" s="4">
        <v>16</v>
      </c>
      <c r="B19" s="2" t="s">
        <v>290</v>
      </c>
      <c r="C19" s="2" t="s">
        <v>291</v>
      </c>
      <c r="D19" s="2">
        <v>106.621573</v>
      </c>
      <c r="E19" s="2">
        <v>10.838825999999999</v>
      </c>
      <c r="F19" s="2" t="s">
        <v>295</v>
      </c>
      <c r="G19" s="2" t="s">
        <v>356</v>
      </c>
      <c r="H19" s="25" t="s">
        <v>901</v>
      </c>
      <c r="I19" s="25" t="s">
        <v>901</v>
      </c>
      <c r="J19" s="20">
        <v>44658</v>
      </c>
      <c r="K19" s="20">
        <f t="shared" si="1"/>
        <v>46483</v>
      </c>
      <c r="L19" s="34" t="s">
        <v>175</v>
      </c>
      <c r="M19" s="21">
        <v>44682</v>
      </c>
      <c r="N19" s="87">
        <v>44692</v>
      </c>
      <c r="O19" s="18"/>
      <c r="P19" s="20">
        <v>44719</v>
      </c>
      <c r="Q19" s="18"/>
      <c r="R19" s="18"/>
      <c r="S19" s="18"/>
      <c r="T19" s="18"/>
      <c r="U19" s="18"/>
      <c r="V19" s="18"/>
      <c r="W19" s="18"/>
      <c r="X19" s="18"/>
      <c r="Y19" s="2" t="s">
        <v>331</v>
      </c>
      <c r="Z19" s="93">
        <v>5300000</v>
      </c>
      <c r="AA19" s="2" t="s">
        <v>308</v>
      </c>
      <c r="AB19" s="93">
        <v>8800000</v>
      </c>
      <c r="AC19" s="102">
        <v>0</v>
      </c>
      <c r="AD19" s="156">
        <v>0</v>
      </c>
      <c r="AE19" s="20" t="s">
        <v>417</v>
      </c>
      <c r="AF19" s="18" t="s">
        <v>79</v>
      </c>
      <c r="AG19" s="20"/>
      <c r="AH19" s="18" t="s">
        <v>302</v>
      </c>
      <c r="AI19" s="18" t="s">
        <v>301</v>
      </c>
      <c r="AJ19" s="18" t="s">
        <v>303</v>
      </c>
      <c r="AK19" s="18" t="s">
        <v>298</v>
      </c>
      <c r="AL19" s="8">
        <v>13</v>
      </c>
      <c r="AM19" s="2">
        <v>9</v>
      </c>
      <c r="AN19" s="48"/>
      <c r="AO19" t="s">
        <v>773</v>
      </c>
    </row>
    <row r="20" spans="1:41" ht="24" x14ac:dyDescent="0.3">
      <c r="A20" s="4">
        <v>17</v>
      </c>
      <c r="B20" s="2" t="s">
        <v>316</v>
      </c>
      <c r="C20" s="2" t="s">
        <v>15</v>
      </c>
      <c r="D20" s="2">
        <v>106.59965699999999</v>
      </c>
      <c r="E20" s="2">
        <v>10.858247</v>
      </c>
      <c r="F20" s="2" t="s">
        <v>317</v>
      </c>
      <c r="G20" s="2" t="s">
        <v>356</v>
      </c>
      <c r="H20" s="34" t="s">
        <v>906</v>
      </c>
      <c r="I20" s="25" t="s">
        <v>901</v>
      </c>
      <c r="J20" s="20">
        <v>44676</v>
      </c>
      <c r="K20" s="20">
        <f t="shared" si="1"/>
        <v>46501</v>
      </c>
      <c r="L20" s="34" t="s">
        <v>175</v>
      </c>
      <c r="M20" s="124">
        <v>44727</v>
      </c>
      <c r="N20" s="27" t="s">
        <v>413</v>
      </c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2" t="s">
        <v>318</v>
      </c>
      <c r="Z20" s="93">
        <v>5000000</v>
      </c>
      <c r="AA20" s="2" t="s">
        <v>43</v>
      </c>
      <c r="AB20" s="93">
        <v>10000000</v>
      </c>
      <c r="AC20" s="102">
        <v>0</v>
      </c>
      <c r="AD20" s="156">
        <v>6050000</v>
      </c>
      <c r="AE20" s="20" t="s">
        <v>446</v>
      </c>
      <c r="AF20" s="18" t="s">
        <v>77</v>
      </c>
      <c r="AG20" s="20"/>
      <c r="AH20" s="18" t="s">
        <v>332</v>
      </c>
      <c r="AI20" s="18" t="s">
        <v>333</v>
      </c>
      <c r="AJ20" s="18" t="s">
        <v>334</v>
      </c>
      <c r="AK20" s="18" t="s">
        <v>335</v>
      </c>
      <c r="AL20" s="8">
        <v>12</v>
      </c>
      <c r="AM20" s="2">
        <v>12</v>
      </c>
      <c r="AN20" s="48"/>
      <c r="AO20" t="s">
        <v>773</v>
      </c>
    </row>
    <row r="21" spans="1:41" ht="24" x14ac:dyDescent="0.3">
      <c r="A21" s="4">
        <v>18</v>
      </c>
      <c r="B21" s="155" t="s">
        <v>427</v>
      </c>
      <c r="C21" s="2" t="s">
        <v>15</v>
      </c>
      <c r="D21" s="2">
        <v>106.590795</v>
      </c>
      <c r="E21" s="2">
        <v>10.832939</v>
      </c>
      <c r="F21" s="2" t="s">
        <v>336</v>
      </c>
      <c r="G21" s="25" t="s">
        <v>356</v>
      </c>
      <c r="H21" s="34" t="s">
        <v>906</v>
      </c>
      <c r="I21" s="25" t="s">
        <v>901</v>
      </c>
      <c r="J21" s="20">
        <v>44672</v>
      </c>
      <c r="K21" s="20">
        <f t="shared" si="1"/>
        <v>46497</v>
      </c>
      <c r="L21" s="34" t="s">
        <v>175</v>
      </c>
      <c r="M21" s="18" t="s">
        <v>369</v>
      </c>
      <c r="N21" s="27"/>
      <c r="O21" s="18"/>
      <c r="P21" s="18"/>
      <c r="Q21" s="20">
        <v>44713</v>
      </c>
      <c r="R21" s="18"/>
      <c r="S21" s="18"/>
      <c r="T21" s="18"/>
      <c r="U21" s="18"/>
      <c r="V21" s="18"/>
      <c r="W21" s="18"/>
      <c r="X21" s="18"/>
      <c r="Y21" s="2" t="s">
        <v>338</v>
      </c>
      <c r="Z21" s="93">
        <v>5000000</v>
      </c>
      <c r="AA21" s="2"/>
      <c r="AB21" s="93">
        <v>7920000</v>
      </c>
      <c r="AC21" s="102">
        <v>0</v>
      </c>
      <c r="AD21" s="102">
        <v>7920000.0000000009</v>
      </c>
      <c r="AE21" s="20" t="s">
        <v>188</v>
      </c>
      <c r="AF21" s="18" t="s">
        <v>79</v>
      </c>
      <c r="AG21" s="20"/>
      <c r="AH21" s="18" t="s">
        <v>339</v>
      </c>
      <c r="AI21" s="18" t="s">
        <v>340</v>
      </c>
      <c r="AJ21" s="18" t="s">
        <v>341</v>
      </c>
      <c r="AK21" s="18" t="s">
        <v>342</v>
      </c>
      <c r="AL21" s="8">
        <v>11.5</v>
      </c>
      <c r="AM21" s="2">
        <v>12</v>
      </c>
      <c r="AN21" s="48"/>
      <c r="AO21" t="s">
        <v>773</v>
      </c>
    </row>
    <row r="22" spans="1:41" ht="24" x14ac:dyDescent="0.3">
      <c r="A22" s="4">
        <v>19</v>
      </c>
      <c r="B22" s="2" t="s">
        <v>347</v>
      </c>
      <c r="C22" s="2" t="s">
        <v>66</v>
      </c>
      <c r="D22" s="2">
        <v>106.63957000000001</v>
      </c>
      <c r="E22" s="2">
        <v>10.834324000000001</v>
      </c>
      <c r="F22" s="2" t="s">
        <v>367</v>
      </c>
      <c r="G22" s="2" t="s">
        <v>357</v>
      </c>
      <c r="H22" s="25" t="s">
        <v>901</v>
      </c>
      <c r="I22" s="25" t="s">
        <v>901</v>
      </c>
      <c r="J22" s="124">
        <v>44700</v>
      </c>
      <c r="K22" s="20">
        <f t="shared" si="1"/>
        <v>46525</v>
      </c>
      <c r="L22" s="34" t="s">
        <v>175</v>
      </c>
      <c r="M22" s="124">
        <v>44722</v>
      </c>
      <c r="N22" s="27" t="s">
        <v>413</v>
      </c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2" t="s">
        <v>368</v>
      </c>
      <c r="Z22" s="93">
        <v>4000000</v>
      </c>
      <c r="AA22" s="2" t="s">
        <v>61</v>
      </c>
      <c r="AB22" s="93">
        <v>5800000</v>
      </c>
      <c r="AC22" s="102">
        <v>0</v>
      </c>
      <c r="AD22" s="156">
        <v>0</v>
      </c>
      <c r="AE22" s="20" t="s">
        <v>188</v>
      </c>
      <c r="AF22" s="18" t="s">
        <v>79</v>
      </c>
      <c r="AG22" s="20"/>
      <c r="AH22" s="18" t="s">
        <v>371</v>
      </c>
      <c r="AI22" s="18" t="s">
        <v>370</v>
      </c>
      <c r="AJ22" s="18" t="s">
        <v>372</v>
      </c>
      <c r="AK22" s="18" t="s">
        <v>349</v>
      </c>
      <c r="AL22" s="8">
        <v>18</v>
      </c>
      <c r="AM22" s="2">
        <v>5</v>
      </c>
      <c r="AN22" s="48"/>
      <c r="AO22" t="s">
        <v>773</v>
      </c>
    </row>
    <row r="23" spans="1:41" ht="48" x14ac:dyDescent="0.3">
      <c r="A23" s="4">
        <v>20</v>
      </c>
      <c r="B23" s="8" t="s">
        <v>649</v>
      </c>
      <c r="C23" s="2" t="s">
        <v>66</v>
      </c>
      <c r="D23" s="2">
        <v>106.68020300000001</v>
      </c>
      <c r="E23" s="2">
        <v>10.821994999999999</v>
      </c>
      <c r="F23" s="2" t="s">
        <v>350</v>
      </c>
      <c r="G23" s="2" t="s">
        <v>357</v>
      </c>
      <c r="H23" s="34" t="s">
        <v>906</v>
      </c>
      <c r="I23" s="25" t="s">
        <v>901</v>
      </c>
      <c r="J23" s="20">
        <v>44666</v>
      </c>
      <c r="K23" s="20">
        <f t="shared" si="1"/>
        <v>46491</v>
      </c>
      <c r="L23" s="34" t="s">
        <v>175</v>
      </c>
      <c r="M23" s="27"/>
      <c r="N23" s="27"/>
      <c r="O23" s="27"/>
      <c r="P23" s="27"/>
      <c r="Q23" s="18"/>
      <c r="R23" s="86">
        <v>44677</v>
      </c>
      <c r="S23" s="27"/>
      <c r="T23" s="27"/>
      <c r="U23" s="18"/>
      <c r="V23" s="27"/>
      <c r="W23" s="27"/>
      <c r="X23" s="27"/>
      <c r="Y23" s="2" t="s">
        <v>351</v>
      </c>
      <c r="Z23" s="93">
        <v>5000000</v>
      </c>
      <c r="AA23" s="93">
        <v>5000000</v>
      </c>
      <c r="AB23" s="93">
        <v>8000000</v>
      </c>
      <c r="AC23" s="102">
        <v>0</v>
      </c>
      <c r="AD23" s="156">
        <v>11000000</v>
      </c>
      <c r="AE23" s="20" t="s">
        <v>188</v>
      </c>
      <c r="AF23" s="18" t="s">
        <v>77</v>
      </c>
      <c r="AG23" s="20"/>
      <c r="AH23" s="18" t="s">
        <v>607</v>
      </c>
      <c r="AI23" s="2" t="s">
        <v>601</v>
      </c>
      <c r="AJ23" s="18" t="s">
        <v>406</v>
      </c>
      <c r="AK23" s="18" t="s">
        <v>353</v>
      </c>
      <c r="AL23" s="8">
        <v>35</v>
      </c>
      <c r="AM23" s="2">
        <v>5</v>
      </c>
      <c r="AN23" s="48"/>
      <c r="AO23" t="s">
        <v>773</v>
      </c>
    </row>
    <row r="24" spans="1:41" ht="36" x14ac:dyDescent="0.3">
      <c r="A24" s="4">
        <v>21</v>
      </c>
      <c r="B24" s="2" t="s">
        <v>196</v>
      </c>
      <c r="C24" s="2" t="s">
        <v>15</v>
      </c>
      <c r="D24" s="2">
        <v>106.56538399999999</v>
      </c>
      <c r="E24" s="2">
        <v>10.860938000000001</v>
      </c>
      <c r="F24" s="2" t="s">
        <v>292</v>
      </c>
      <c r="G24" s="2" t="s">
        <v>356</v>
      </c>
      <c r="H24" s="34" t="s">
        <v>906</v>
      </c>
      <c r="I24" s="25" t="s">
        <v>901</v>
      </c>
      <c r="J24" s="20">
        <v>44703</v>
      </c>
      <c r="K24" s="20">
        <f t="shared" si="1"/>
        <v>46528</v>
      </c>
      <c r="L24" s="34" t="s">
        <v>175</v>
      </c>
      <c r="M24" s="124">
        <v>44752</v>
      </c>
      <c r="N24" s="27" t="s">
        <v>413</v>
      </c>
      <c r="O24" s="98">
        <v>44813</v>
      </c>
      <c r="P24" s="18"/>
      <c r="Q24" s="18"/>
      <c r="R24" s="27"/>
      <c r="S24" s="48"/>
      <c r="T24" s="48"/>
      <c r="U24" s="48"/>
      <c r="V24" s="48"/>
      <c r="W24" s="48"/>
      <c r="X24" s="48"/>
      <c r="Y24" s="18" t="s">
        <v>304</v>
      </c>
      <c r="Z24" s="18" t="s">
        <v>419</v>
      </c>
      <c r="AA24" s="18" t="s">
        <v>345</v>
      </c>
      <c r="AB24" s="95">
        <v>10300000</v>
      </c>
      <c r="AC24" s="102">
        <v>0</v>
      </c>
      <c r="AD24" s="156">
        <v>5577000</v>
      </c>
      <c r="AE24" s="112" t="s">
        <v>399</v>
      </c>
      <c r="AF24" s="112" t="s">
        <v>79</v>
      </c>
      <c r="AG24" s="113"/>
      <c r="AH24" s="112">
        <v>60195282024</v>
      </c>
      <c r="AI24" s="112" t="s">
        <v>293</v>
      </c>
      <c r="AJ24" s="112" t="s">
        <v>305</v>
      </c>
      <c r="AK24" s="18" t="s">
        <v>294</v>
      </c>
      <c r="AL24" s="8">
        <v>14</v>
      </c>
      <c r="AM24" s="2">
        <v>12</v>
      </c>
      <c r="AN24" s="48"/>
      <c r="AO24" t="s">
        <v>773</v>
      </c>
    </row>
    <row r="25" spans="1:41" ht="24" x14ac:dyDescent="0.3">
      <c r="A25" s="4">
        <v>22</v>
      </c>
      <c r="B25" s="2" t="s">
        <v>535</v>
      </c>
      <c r="C25" s="2" t="s">
        <v>15</v>
      </c>
      <c r="D25" s="2">
        <v>106.650854</v>
      </c>
      <c r="E25" s="2">
        <v>10.898777000000001</v>
      </c>
      <c r="F25" s="2" t="s">
        <v>373</v>
      </c>
      <c r="G25" s="2" t="s">
        <v>356</v>
      </c>
      <c r="H25" s="34" t="s">
        <v>906</v>
      </c>
      <c r="I25" s="35" t="s">
        <v>906</v>
      </c>
      <c r="J25" s="20">
        <v>44703</v>
      </c>
      <c r="K25" s="20">
        <f t="shared" si="1"/>
        <v>46528</v>
      </c>
      <c r="L25" s="34" t="s">
        <v>175</v>
      </c>
      <c r="M25" s="98">
        <v>44819</v>
      </c>
      <c r="N25" s="48"/>
      <c r="O25" s="48"/>
      <c r="P25" s="18"/>
      <c r="Q25" s="18"/>
      <c r="R25" s="27"/>
      <c r="S25" s="48"/>
      <c r="T25" s="48"/>
      <c r="U25" s="48"/>
      <c r="V25" s="48"/>
      <c r="W25" s="48"/>
      <c r="X25" s="48"/>
      <c r="Y25" s="18" t="s">
        <v>374</v>
      </c>
      <c r="Z25" s="93">
        <v>5000000</v>
      </c>
      <c r="AA25" s="18" t="s">
        <v>397</v>
      </c>
      <c r="AB25" s="95">
        <v>12600000</v>
      </c>
      <c r="AC25" s="102">
        <v>7400000</v>
      </c>
      <c r="AD25" s="156">
        <v>7700000.0000000009</v>
      </c>
      <c r="AE25" s="112" t="s">
        <v>375</v>
      </c>
      <c r="AF25" s="113" t="s">
        <v>77</v>
      </c>
      <c r="AG25" s="113"/>
      <c r="AH25" s="114" t="s">
        <v>376</v>
      </c>
      <c r="AI25" s="112" t="s">
        <v>377</v>
      </c>
      <c r="AJ25" s="112" t="s">
        <v>378</v>
      </c>
      <c r="AK25" s="18" t="s">
        <v>379</v>
      </c>
      <c r="AL25" s="8">
        <v>0</v>
      </c>
      <c r="AM25" s="2">
        <v>33</v>
      </c>
      <c r="AN25" s="48"/>
      <c r="AO25" t="s">
        <v>773</v>
      </c>
    </row>
    <row r="26" spans="1:41" ht="36" x14ac:dyDescent="0.3">
      <c r="A26" s="4">
        <v>23</v>
      </c>
      <c r="B26" s="2" t="s">
        <v>106</v>
      </c>
      <c r="C26" s="2" t="s">
        <v>380</v>
      </c>
      <c r="D26" s="2">
        <v>106.76311</v>
      </c>
      <c r="E26" s="2">
        <v>10.832050000000001</v>
      </c>
      <c r="F26" s="2" t="s">
        <v>381</v>
      </c>
      <c r="G26" s="2" t="s">
        <v>356</v>
      </c>
      <c r="H26" s="27" t="s">
        <v>901</v>
      </c>
      <c r="I26" s="25" t="s">
        <v>901</v>
      </c>
      <c r="J26" s="20">
        <v>44696</v>
      </c>
      <c r="K26" s="20">
        <f t="shared" si="1"/>
        <v>46521</v>
      </c>
      <c r="L26" s="34" t="s">
        <v>175</v>
      </c>
      <c r="M26" s="98">
        <v>44713</v>
      </c>
      <c r="N26" s="27" t="s">
        <v>413</v>
      </c>
      <c r="O26" s="48"/>
      <c r="P26" s="18"/>
      <c r="Q26" s="18"/>
      <c r="R26" s="27"/>
      <c r="S26" s="48"/>
      <c r="T26" s="48"/>
      <c r="U26" s="48"/>
      <c r="V26" s="48"/>
      <c r="W26" s="48"/>
      <c r="X26" s="48"/>
      <c r="Y26" s="18" t="s">
        <v>382</v>
      </c>
      <c r="Z26" s="18" t="s">
        <v>420</v>
      </c>
      <c r="AA26" s="18" t="s">
        <v>159</v>
      </c>
      <c r="AB26" s="95">
        <v>11200000</v>
      </c>
      <c r="AC26" s="102">
        <v>0</v>
      </c>
      <c r="AD26" s="156">
        <v>0</v>
      </c>
      <c r="AE26" s="112" t="s">
        <v>383</v>
      </c>
      <c r="AF26" s="113" t="s">
        <v>77</v>
      </c>
      <c r="AG26" s="113"/>
      <c r="AH26" s="114" t="s">
        <v>640</v>
      </c>
      <c r="AI26" s="112" t="s">
        <v>639</v>
      </c>
      <c r="AJ26" s="112" t="s">
        <v>638</v>
      </c>
      <c r="AK26" s="18" t="s">
        <v>384</v>
      </c>
      <c r="AL26" s="8">
        <v>14.5</v>
      </c>
      <c r="AM26" s="2">
        <v>9</v>
      </c>
      <c r="AN26" s="48"/>
      <c r="AO26" t="s">
        <v>773</v>
      </c>
    </row>
    <row r="27" spans="1:41" ht="24" x14ac:dyDescent="0.3">
      <c r="A27" s="4">
        <v>24</v>
      </c>
      <c r="B27" s="8" t="s">
        <v>385</v>
      </c>
      <c r="C27" s="2" t="s">
        <v>157</v>
      </c>
      <c r="D27" s="2">
        <v>106.6554</v>
      </c>
      <c r="E27" s="2">
        <v>10.798572</v>
      </c>
      <c r="F27" s="2" t="s">
        <v>387</v>
      </c>
      <c r="G27" s="27" t="s">
        <v>901</v>
      </c>
      <c r="H27" s="34" t="s">
        <v>906</v>
      </c>
      <c r="I27" s="25" t="s">
        <v>901</v>
      </c>
      <c r="J27" s="97" t="s">
        <v>908</v>
      </c>
      <c r="K27" s="97" t="s">
        <v>908</v>
      </c>
      <c r="L27" s="34" t="s">
        <v>175</v>
      </c>
      <c r="M27" s="27" t="s">
        <v>418</v>
      </c>
      <c r="N27" s="27" t="s">
        <v>418</v>
      </c>
      <c r="O27" s="27" t="s">
        <v>418</v>
      </c>
      <c r="P27" s="27" t="s">
        <v>418</v>
      </c>
      <c r="Q27" s="18"/>
      <c r="R27" s="27" t="s">
        <v>413</v>
      </c>
      <c r="S27" s="48"/>
      <c r="T27" s="48"/>
      <c r="U27" s="48"/>
      <c r="V27" s="48"/>
      <c r="W27" s="48"/>
      <c r="X27" s="48"/>
      <c r="Y27" s="18" t="s">
        <v>388</v>
      </c>
      <c r="Z27" s="18" t="s">
        <v>419</v>
      </c>
      <c r="AA27" s="18">
        <v>0</v>
      </c>
      <c r="AB27" s="48">
        <v>0</v>
      </c>
      <c r="AC27" s="102">
        <v>0</v>
      </c>
      <c r="AD27" s="156">
        <v>11550000</v>
      </c>
      <c r="AE27" s="112" t="s">
        <v>383</v>
      </c>
      <c r="AF27" s="112" t="s">
        <v>79</v>
      </c>
      <c r="AG27" s="113"/>
      <c r="AH27" s="112" t="s">
        <v>352</v>
      </c>
      <c r="AI27" s="112" t="s">
        <v>389</v>
      </c>
      <c r="AJ27" s="112" t="s">
        <v>352</v>
      </c>
      <c r="AK27" s="18" t="s">
        <v>390</v>
      </c>
      <c r="AL27" s="8" t="s">
        <v>337</v>
      </c>
      <c r="AM27" s="2" t="s">
        <v>337</v>
      </c>
      <c r="AN27" s="48"/>
      <c r="AO27" t="s">
        <v>773</v>
      </c>
    </row>
    <row r="28" spans="1:41" ht="36" x14ac:dyDescent="0.3">
      <c r="A28" s="4">
        <v>25</v>
      </c>
      <c r="B28" s="8" t="s">
        <v>386</v>
      </c>
      <c r="C28" s="2" t="s">
        <v>66</v>
      </c>
      <c r="D28" s="2">
        <v>106.68662999999999</v>
      </c>
      <c r="E28" s="2">
        <v>10.821289999999999</v>
      </c>
      <c r="F28" s="2" t="s">
        <v>392</v>
      </c>
      <c r="G28" s="27" t="s">
        <v>901</v>
      </c>
      <c r="H28" s="34" t="s">
        <v>906</v>
      </c>
      <c r="I28" s="25" t="s">
        <v>901</v>
      </c>
      <c r="J28" s="20">
        <v>44697</v>
      </c>
      <c r="K28" s="20">
        <f t="shared" si="1"/>
        <v>46522</v>
      </c>
      <c r="L28" s="34" t="s">
        <v>175</v>
      </c>
      <c r="M28" s="27" t="s">
        <v>418</v>
      </c>
      <c r="N28" s="27" t="s">
        <v>418</v>
      </c>
      <c r="O28" s="27" t="s">
        <v>418</v>
      </c>
      <c r="P28" s="27" t="s">
        <v>418</v>
      </c>
      <c r="Q28" s="18"/>
      <c r="R28" s="27" t="s">
        <v>413</v>
      </c>
      <c r="S28" s="48"/>
      <c r="T28" s="48"/>
      <c r="U28" s="48"/>
      <c r="V28" s="48"/>
      <c r="W28" s="48"/>
      <c r="X28" s="48"/>
      <c r="Y28" s="18" t="s">
        <v>394</v>
      </c>
      <c r="Z28" s="93">
        <v>5000000</v>
      </c>
      <c r="AA28" s="18">
        <v>0</v>
      </c>
      <c r="AB28" s="48">
        <v>0</v>
      </c>
      <c r="AC28" s="102">
        <v>0</v>
      </c>
      <c r="AD28" s="156">
        <v>11330000</v>
      </c>
      <c r="AE28" s="112" t="s">
        <v>383</v>
      </c>
      <c r="AF28" s="113" t="s">
        <v>77</v>
      </c>
      <c r="AG28" s="113"/>
      <c r="AH28" s="114" t="s">
        <v>395</v>
      </c>
      <c r="AI28" s="112" t="s">
        <v>393</v>
      </c>
      <c r="AJ28" s="112" t="s">
        <v>396</v>
      </c>
      <c r="AK28" s="18" t="s">
        <v>391</v>
      </c>
      <c r="AL28" s="8" t="s">
        <v>337</v>
      </c>
      <c r="AM28" s="2">
        <v>12</v>
      </c>
      <c r="AN28" s="48"/>
      <c r="AO28" t="s">
        <v>773</v>
      </c>
    </row>
    <row r="29" spans="1:41" ht="24" x14ac:dyDescent="0.3">
      <c r="A29" s="4">
        <v>26</v>
      </c>
      <c r="B29" s="155" t="s">
        <v>400</v>
      </c>
      <c r="C29" s="2" t="s">
        <v>402</v>
      </c>
      <c r="D29" s="2">
        <v>106.46045119999999</v>
      </c>
      <c r="E29" s="2">
        <v>10.9983042</v>
      </c>
      <c r="F29" s="2" t="s">
        <v>403</v>
      </c>
      <c r="G29" s="34" t="s">
        <v>356</v>
      </c>
      <c r="H29" s="34" t="s">
        <v>906</v>
      </c>
      <c r="I29" s="25" t="s">
        <v>901</v>
      </c>
      <c r="J29" s="20">
        <v>44707</v>
      </c>
      <c r="K29" s="20">
        <f t="shared" si="1"/>
        <v>46532</v>
      </c>
      <c r="L29" s="34" t="s">
        <v>175</v>
      </c>
      <c r="M29" s="48"/>
      <c r="N29" s="48"/>
      <c r="O29" s="48"/>
      <c r="P29" s="18"/>
      <c r="Q29" s="18"/>
      <c r="R29" s="27"/>
      <c r="S29" s="48"/>
      <c r="T29" s="48"/>
      <c r="U29" s="48"/>
      <c r="V29" s="48"/>
      <c r="W29" s="48"/>
      <c r="X29" s="48"/>
      <c r="Y29" s="18" t="s">
        <v>404</v>
      </c>
      <c r="Z29" s="18" t="s">
        <v>421</v>
      </c>
      <c r="AA29" s="18" t="s">
        <v>62</v>
      </c>
      <c r="AB29" s="95">
        <v>12600000</v>
      </c>
      <c r="AC29" s="102">
        <v>0</v>
      </c>
      <c r="AD29" s="102" t="s">
        <v>908</v>
      </c>
      <c r="AE29" s="112" t="s">
        <v>383</v>
      </c>
      <c r="AF29" s="113" t="s">
        <v>77</v>
      </c>
      <c r="AG29" s="113"/>
      <c r="AH29" s="114" t="s">
        <v>405</v>
      </c>
      <c r="AI29" s="112" t="s">
        <v>404</v>
      </c>
      <c r="AJ29" s="112" t="s">
        <v>406</v>
      </c>
      <c r="AK29" s="18" t="s">
        <v>407</v>
      </c>
      <c r="AL29" s="8">
        <v>0</v>
      </c>
      <c r="AM29" s="2">
        <v>33</v>
      </c>
      <c r="AN29" s="48"/>
      <c r="AO29" t="s">
        <v>773</v>
      </c>
    </row>
    <row r="30" spans="1:41" ht="24" x14ac:dyDescent="0.3">
      <c r="A30" s="4">
        <v>27</v>
      </c>
      <c r="B30" s="2" t="s">
        <v>408</v>
      </c>
      <c r="C30" s="2" t="s">
        <v>409</v>
      </c>
      <c r="D30" s="2">
        <v>106.704082</v>
      </c>
      <c r="E30" s="2">
        <v>10.758376</v>
      </c>
      <c r="F30" s="2" t="s">
        <v>410</v>
      </c>
      <c r="G30" s="34" t="s">
        <v>356</v>
      </c>
      <c r="H30" s="27" t="s">
        <v>901</v>
      </c>
      <c r="I30" s="25" t="s">
        <v>901</v>
      </c>
      <c r="J30" s="20">
        <v>44727</v>
      </c>
      <c r="K30" s="20">
        <f t="shared" si="1"/>
        <v>46552</v>
      </c>
      <c r="L30" s="34" t="s">
        <v>175</v>
      </c>
      <c r="M30" s="124">
        <v>44757</v>
      </c>
      <c r="N30" s="27" t="s">
        <v>413</v>
      </c>
      <c r="O30" s="48"/>
      <c r="P30" s="18"/>
      <c r="Q30" s="18"/>
      <c r="R30" s="27"/>
      <c r="S30" s="48"/>
      <c r="T30" s="48"/>
      <c r="U30" s="48"/>
      <c r="V30" s="48"/>
      <c r="W30" s="48"/>
      <c r="X30" s="48"/>
      <c r="Y30" s="18" t="s">
        <v>424</v>
      </c>
      <c r="Z30" s="18" t="s">
        <v>422</v>
      </c>
      <c r="AA30" s="18" t="s">
        <v>148</v>
      </c>
      <c r="AB30" s="95">
        <v>10700000</v>
      </c>
      <c r="AC30" s="102">
        <v>0</v>
      </c>
      <c r="AD30" s="156">
        <v>0</v>
      </c>
      <c r="AE30" s="112" t="s">
        <v>466</v>
      </c>
      <c r="AF30" s="113" t="s">
        <v>77</v>
      </c>
      <c r="AG30" s="113"/>
      <c r="AH30" s="114" t="s">
        <v>415</v>
      </c>
      <c r="AI30" s="112" t="s">
        <v>414</v>
      </c>
      <c r="AJ30" s="112" t="s">
        <v>416</v>
      </c>
      <c r="AK30" s="18" t="s">
        <v>411</v>
      </c>
      <c r="AL30" s="8">
        <v>12.5</v>
      </c>
      <c r="AM30" s="2">
        <v>12</v>
      </c>
      <c r="AN30" s="48"/>
      <c r="AO30" t="s">
        <v>773</v>
      </c>
    </row>
    <row r="31" spans="1:41" ht="24" x14ac:dyDescent="0.3">
      <c r="A31" s="4">
        <v>28</v>
      </c>
      <c r="B31" s="103" t="s">
        <v>428</v>
      </c>
      <c r="C31" s="103" t="s">
        <v>117</v>
      </c>
      <c r="D31" s="103">
        <v>106.5466876</v>
      </c>
      <c r="E31" s="103">
        <v>10.7735138</v>
      </c>
      <c r="F31" s="103" t="s">
        <v>429</v>
      </c>
      <c r="G31" s="104" t="s">
        <v>356</v>
      </c>
      <c r="H31" s="34" t="s">
        <v>906</v>
      </c>
      <c r="I31" s="25" t="s">
        <v>901</v>
      </c>
      <c r="J31" s="106">
        <v>46023</v>
      </c>
      <c r="K31" s="20">
        <f t="shared" si="1"/>
        <v>47848</v>
      </c>
      <c r="L31" s="34" t="s">
        <v>175</v>
      </c>
      <c r="M31" s="98">
        <v>44788</v>
      </c>
      <c r="N31" s="105"/>
      <c r="O31" s="107"/>
      <c r="P31" s="108"/>
      <c r="Q31" s="108"/>
      <c r="R31" s="105"/>
      <c r="S31" s="107"/>
      <c r="T31" s="107"/>
      <c r="U31" s="107"/>
      <c r="V31" s="107"/>
      <c r="W31" s="107"/>
      <c r="X31" s="107"/>
      <c r="Y31" s="108" t="s">
        <v>430</v>
      </c>
      <c r="Z31" s="109">
        <v>5000000</v>
      </c>
      <c r="AA31" s="109">
        <v>6300000</v>
      </c>
      <c r="AB31" s="110">
        <v>10200000</v>
      </c>
      <c r="AC31" s="102">
        <v>0</v>
      </c>
      <c r="AD31" s="156">
        <v>0</v>
      </c>
      <c r="AE31" s="116" t="s">
        <v>431</v>
      </c>
      <c r="AF31" s="116" t="s">
        <v>79</v>
      </c>
      <c r="AG31" s="117"/>
      <c r="AH31" s="118" t="s">
        <v>432</v>
      </c>
      <c r="AI31" s="116" t="s">
        <v>430</v>
      </c>
      <c r="AJ31" s="116" t="s">
        <v>171</v>
      </c>
      <c r="AK31" s="108" t="s">
        <v>433</v>
      </c>
      <c r="AL31" s="111">
        <v>12</v>
      </c>
      <c r="AM31" s="103">
        <v>12</v>
      </c>
      <c r="AN31" s="107"/>
      <c r="AO31" t="s">
        <v>773</v>
      </c>
    </row>
    <row r="32" spans="1:41" ht="24" x14ac:dyDescent="0.3">
      <c r="A32" s="4">
        <v>29</v>
      </c>
      <c r="B32" s="2" t="s">
        <v>434</v>
      </c>
      <c r="C32" s="2" t="s">
        <v>15</v>
      </c>
      <c r="D32" s="2">
        <v>106.5781636</v>
      </c>
      <c r="E32" s="2">
        <v>10.854782500000001</v>
      </c>
      <c r="F32" s="2" t="s">
        <v>435</v>
      </c>
      <c r="G32" s="34" t="s">
        <v>357</v>
      </c>
      <c r="H32" s="27" t="s">
        <v>901</v>
      </c>
      <c r="I32" s="25" t="s">
        <v>901</v>
      </c>
      <c r="J32" s="20">
        <v>44772</v>
      </c>
      <c r="K32" s="20">
        <f t="shared" si="1"/>
        <v>46597</v>
      </c>
      <c r="L32" s="34" t="s">
        <v>175</v>
      </c>
      <c r="M32" s="124">
        <v>44824</v>
      </c>
      <c r="N32" s="27"/>
      <c r="O32" s="48"/>
      <c r="P32" s="18"/>
      <c r="Q32" s="18"/>
      <c r="R32" s="27"/>
      <c r="S32" s="48"/>
      <c r="T32" s="48"/>
      <c r="U32" s="48"/>
      <c r="V32" s="48"/>
      <c r="W32" s="48"/>
      <c r="X32" s="48"/>
      <c r="Y32" s="18" t="s">
        <v>924</v>
      </c>
      <c r="Z32" s="102">
        <v>3000000</v>
      </c>
      <c r="AA32" s="102"/>
      <c r="AB32" s="95">
        <v>5700000</v>
      </c>
      <c r="AC32" s="102">
        <v>0</v>
      </c>
      <c r="AD32" s="156">
        <v>0</v>
      </c>
      <c r="AE32" s="112" t="s">
        <v>383</v>
      </c>
      <c r="AF32" s="113" t="s">
        <v>77</v>
      </c>
      <c r="AG32" s="113"/>
      <c r="AH32" s="114" t="s">
        <v>444</v>
      </c>
      <c r="AI32" s="112" t="s">
        <v>443</v>
      </c>
      <c r="AJ32" s="112" t="s">
        <v>441</v>
      </c>
      <c r="AK32" s="18" t="s">
        <v>445</v>
      </c>
      <c r="AL32" s="8">
        <v>12</v>
      </c>
      <c r="AM32" s="2">
        <v>6</v>
      </c>
      <c r="AN32" s="48"/>
      <c r="AO32" t="s">
        <v>773</v>
      </c>
    </row>
    <row r="33" spans="1:42" s="123" customFormat="1" ht="24" x14ac:dyDescent="0.3">
      <c r="A33" s="4">
        <v>30</v>
      </c>
      <c r="B33" s="2" t="s">
        <v>436</v>
      </c>
      <c r="C33" s="2" t="s">
        <v>107</v>
      </c>
      <c r="D33" s="2">
        <v>106.73014000000001</v>
      </c>
      <c r="E33" s="2">
        <v>10.886240000000001</v>
      </c>
      <c r="F33" s="2" t="s">
        <v>437</v>
      </c>
      <c r="G33" s="34" t="s">
        <v>356</v>
      </c>
      <c r="H33" s="27" t="s">
        <v>901</v>
      </c>
      <c r="I33" s="34" t="s">
        <v>906</v>
      </c>
      <c r="J33" s="98">
        <v>44774</v>
      </c>
      <c r="K33" s="20">
        <f t="shared" si="1"/>
        <v>46599</v>
      </c>
      <c r="L33" s="34" t="s">
        <v>175</v>
      </c>
      <c r="M33" s="98">
        <v>44788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2" t="s">
        <v>438</v>
      </c>
      <c r="Z33" s="102" t="s">
        <v>439</v>
      </c>
      <c r="AA33" s="102">
        <v>8500000</v>
      </c>
      <c r="AB33" s="95">
        <v>12600000</v>
      </c>
      <c r="AC33" s="102">
        <v>7000000</v>
      </c>
      <c r="AD33" s="156">
        <v>0</v>
      </c>
      <c r="AE33" s="112" t="s">
        <v>383</v>
      </c>
      <c r="AF33" s="112" t="s">
        <v>79</v>
      </c>
      <c r="AG33" s="120"/>
      <c r="AH33" s="121" t="s">
        <v>440</v>
      </c>
      <c r="AI33" s="119" t="s">
        <v>438</v>
      </c>
      <c r="AJ33" s="112" t="s">
        <v>441</v>
      </c>
      <c r="AK33" s="2" t="s">
        <v>442</v>
      </c>
      <c r="AL33" s="8">
        <v>13</v>
      </c>
      <c r="AM33" s="2">
        <v>12</v>
      </c>
      <c r="AN33" s="48"/>
      <c r="AO33" t="s">
        <v>773</v>
      </c>
      <c r="AP33" s="122"/>
    </row>
    <row r="34" spans="1:42" s="123" customFormat="1" ht="36" x14ac:dyDescent="0.3">
      <c r="A34" s="4">
        <v>31</v>
      </c>
      <c r="B34" s="2" t="s">
        <v>343</v>
      </c>
      <c r="C34" s="2" t="s">
        <v>15</v>
      </c>
      <c r="D34" s="2">
        <v>106.58684599999999</v>
      </c>
      <c r="E34" s="2">
        <v>10.848431</v>
      </c>
      <c r="F34" s="2" t="s">
        <v>455</v>
      </c>
      <c r="G34" s="34" t="s">
        <v>356</v>
      </c>
      <c r="H34" s="27" t="s">
        <v>901</v>
      </c>
      <c r="I34" s="25" t="s">
        <v>901</v>
      </c>
      <c r="J34" s="98">
        <v>44781</v>
      </c>
      <c r="K34" s="20">
        <f t="shared" si="1"/>
        <v>46606</v>
      </c>
      <c r="L34" s="34" t="s">
        <v>175</v>
      </c>
      <c r="M34" s="98">
        <v>44784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2" t="s">
        <v>925</v>
      </c>
      <c r="Z34" s="102">
        <v>5000000</v>
      </c>
      <c r="AA34" s="102"/>
      <c r="AB34" s="95">
        <v>10000000</v>
      </c>
      <c r="AC34" s="102">
        <v>0</v>
      </c>
      <c r="AD34" s="156">
        <v>0</v>
      </c>
      <c r="AE34" s="115" t="s">
        <v>456</v>
      </c>
      <c r="AF34" s="113" t="s">
        <v>77</v>
      </c>
      <c r="AG34" s="120"/>
      <c r="AH34" s="121" t="s">
        <v>493</v>
      </c>
      <c r="AI34" s="119" t="s">
        <v>494</v>
      </c>
      <c r="AJ34" s="112" t="s">
        <v>416</v>
      </c>
      <c r="AK34" s="2" t="s">
        <v>348</v>
      </c>
      <c r="AL34" s="2">
        <v>12</v>
      </c>
      <c r="AM34" s="2">
        <v>12</v>
      </c>
      <c r="AN34" s="48"/>
      <c r="AO34" t="s">
        <v>773</v>
      </c>
      <c r="AP34" s="122"/>
    </row>
    <row r="35" spans="1:42" s="123" customFormat="1" ht="24" x14ac:dyDescent="0.3">
      <c r="A35" s="4">
        <v>32</v>
      </c>
      <c r="B35" s="2" t="s">
        <v>457</v>
      </c>
      <c r="C35" s="2" t="s">
        <v>32</v>
      </c>
      <c r="D35" s="2">
        <v>106.720461</v>
      </c>
      <c r="E35" s="2">
        <v>10.801625</v>
      </c>
      <c r="F35" s="2" t="s">
        <v>458</v>
      </c>
      <c r="G35" s="34" t="s">
        <v>356</v>
      </c>
      <c r="H35" s="27" t="s">
        <v>901</v>
      </c>
      <c r="I35" s="25" t="s">
        <v>901</v>
      </c>
      <c r="J35" s="98">
        <v>44784</v>
      </c>
      <c r="K35" s="20">
        <f t="shared" si="1"/>
        <v>46609</v>
      </c>
      <c r="L35" s="34" t="s">
        <v>175</v>
      </c>
      <c r="M35" s="98">
        <v>44805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2" t="s">
        <v>459</v>
      </c>
      <c r="Z35" s="102">
        <v>7000000</v>
      </c>
      <c r="AA35" s="102">
        <v>7600000</v>
      </c>
      <c r="AB35" s="95">
        <v>12000000</v>
      </c>
      <c r="AC35" s="102">
        <v>0</v>
      </c>
      <c r="AD35" s="156">
        <v>0</v>
      </c>
      <c r="AE35" s="112" t="s">
        <v>383</v>
      </c>
      <c r="AF35" s="113" t="s">
        <v>77</v>
      </c>
      <c r="AG35" s="120"/>
      <c r="AH35" s="121" t="s">
        <v>460</v>
      </c>
      <c r="AI35" s="119" t="s">
        <v>459</v>
      </c>
      <c r="AJ35" s="112" t="s">
        <v>461</v>
      </c>
      <c r="AK35" s="2" t="s">
        <v>462</v>
      </c>
      <c r="AL35" s="2">
        <v>12</v>
      </c>
      <c r="AM35" s="2">
        <v>12</v>
      </c>
      <c r="AN35" s="48"/>
      <c r="AO35" t="s">
        <v>773</v>
      </c>
      <c r="AP35" s="122"/>
    </row>
    <row r="36" spans="1:42" s="123" customFormat="1" ht="24" x14ac:dyDescent="0.3">
      <c r="A36" s="4">
        <v>33</v>
      </c>
      <c r="B36" s="2" t="s">
        <v>463</v>
      </c>
      <c r="C36" s="2" t="s">
        <v>402</v>
      </c>
      <c r="D36" s="2">
        <v>106.5579609</v>
      </c>
      <c r="E36" s="2">
        <v>10.9276526</v>
      </c>
      <c r="F36" s="2" t="s">
        <v>464</v>
      </c>
      <c r="G36" s="34" t="s">
        <v>357</v>
      </c>
      <c r="H36" s="27" t="s">
        <v>901</v>
      </c>
      <c r="I36" s="34" t="s">
        <v>906</v>
      </c>
      <c r="J36" s="98">
        <v>44774</v>
      </c>
      <c r="K36" s="20">
        <f t="shared" si="1"/>
        <v>46599</v>
      </c>
      <c r="L36" s="34" t="s">
        <v>175</v>
      </c>
      <c r="M36" s="98">
        <v>44774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2" t="s">
        <v>465</v>
      </c>
      <c r="Z36" s="102">
        <v>5000000</v>
      </c>
      <c r="AA36" s="102"/>
      <c r="AB36" s="95">
        <v>7500000</v>
      </c>
      <c r="AC36" s="102">
        <v>6820000.0000000009</v>
      </c>
      <c r="AD36" s="156">
        <v>0</v>
      </c>
      <c r="AE36" s="112" t="s">
        <v>383</v>
      </c>
      <c r="AF36" s="113" t="s">
        <v>77</v>
      </c>
      <c r="AG36" s="120"/>
      <c r="AH36" s="121" t="s">
        <v>518</v>
      </c>
      <c r="AI36" s="119" t="s">
        <v>519</v>
      </c>
      <c r="AJ36" s="112" t="s">
        <v>520</v>
      </c>
      <c r="AK36" s="2" t="s">
        <v>521</v>
      </c>
      <c r="AL36" s="2">
        <v>25</v>
      </c>
      <c r="AM36" s="2">
        <v>4</v>
      </c>
      <c r="AN36" s="48"/>
      <c r="AO36" t="s">
        <v>773</v>
      </c>
      <c r="AP36" s="122"/>
    </row>
    <row r="37" spans="1:42" s="123" customFormat="1" ht="24" x14ac:dyDescent="0.3">
      <c r="A37" s="4">
        <v>34</v>
      </c>
      <c r="B37" s="2" t="s">
        <v>469</v>
      </c>
      <c r="C37" s="2" t="s">
        <v>291</v>
      </c>
      <c r="D37" s="2">
        <v>106.64084200000001</v>
      </c>
      <c r="E37" s="2">
        <v>10.874141</v>
      </c>
      <c r="F37" s="2" t="s">
        <v>470</v>
      </c>
      <c r="G37" s="34" t="s">
        <v>356</v>
      </c>
      <c r="H37" s="27" t="s">
        <v>901</v>
      </c>
      <c r="I37" s="25" t="s">
        <v>901</v>
      </c>
      <c r="J37" s="98">
        <v>44826</v>
      </c>
      <c r="K37" s="20">
        <f t="shared" si="1"/>
        <v>46651</v>
      </c>
      <c r="L37" s="34" t="s">
        <v>175</v>
      </c>
      <c r="M37" s="9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2" t="s">
        <v>910</v>
      </c>
      <c r="Z37" s="102">
        <v>5000000</v>
      </c>
      <c r="AA37" s="102">
        <v>6500000</v>
      </c>
      <c r="AB37" s="95">
        <v>10500000</v>
      </c>
      <c r="AC37" s="102">
        <v>0</v>
      </c>
      <c r="AD37" s="156">
        <v>0</v>
      </c>
      <c r="AE37" s="87">
        <v>44896</v>
      </c>
      <c r="AF37" s="113" t="s">
        <v>77</v>
      </c>
      <c r="AG37" s="120"/>
      <c r="AH37" s="121" t="s">
        <v>471</v>
      </c>
      <c r="AI37" s="119" t="s">
        <v>472</v>
      </c>
      <c r="AJ37" s="112" t="s">
        <v>473</v>
      </c>
      <c r="AK37" s="2" t="s">
        <v>474</v>
      </c>
      <c r="AL37" s="2">
        <v>13</v>
      </c>
      <c r="AM37" s="2">
        <v>12</v>
      </c>
      <c r="AN37" s="48"/>
      <c r="AO37" t="s">
        <v>773</v>
      </c>
      <c r="AP37" s="122"/>
    </row>
    <row r="38" spans="1:42" s="123" customFormat="1" ht="24" x14ac:dyDescent="0.3">
      <c r="A38" s="4">
        <v>35</v>
      </c>
      <c r="B38" s="2" t="s">
        <v>475</v>
      </c>
      <c r="C38" s="2" t="s">
        <v>476</v>
      </c>
      <c r="D38" s="2">
        <v>106.619451</v>
      </c>
      <c r="E38" s="2">
        <v>10.787967</v>
      </c>
      <c r="F38" s="2" t="s">
        <v>477</v>
      </c>
      <c r="G38" s="34" t="s">
        <v>902</v>
      </c>
      <c r="H38" s="27" t="s">
        <v>901</v>
      </c>
      <c r="I38" s="25" t="s">
        <v>901</v>
      </c>
      <c r="J38" s="98">
        <v>44828</v>
      </c>
      <c r="K38" s="20">
        <f t="shared" si="1"/>
        <v>46653</v>
      </c>
      <c r="L38" s="34" t="s">
        <v>175</v>
      </c>
      <c r="M38" s="9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2" t="s">
        <v>908</v>
      </c>
      <c r="Z38" s="102">
        <v>5500000</v>
      </c>
      <c r="AA38" s="102">
        <v>6800000</v>
      </c>
      <c r="AB38" s="95">
        <v>11000000</v>
      </c>
      <c r="AC38" s="102">
        <v>0</v>
      </c>
      <c r="AD38" s="156">
        <v>0</v>
      </c>
      <c r="AE38" s="87">
        <v>44896</v>
      </c>
      <c r="AF38" s="113" t="s">
        <v>77</v>
      </c>
      <c r="AG38" s="120"/>
      <c r="AH38" s="121" t="s">
        <v>478</v>
      </c>
      <c r="AI38" s="119" t="s">
        <v>479</v>
      </c>
      <c r="AJ38" s="112" t="s">
        <v>114</v>
      </c>
      <c r="AK38" s="2" t="s">
        <v>480</v>
      </c>
      <c r="AL38" s="2">
        <v>15</v>
      </c>
      <c r="AM38" s="2">
        <v>12</v>
      </c>
      <c r="AN38" s="48"/>
      <c r="AO38" t="s">
        <v>773</v>
      </c>
      <c r="AP38" s="122"/>
    </row>
    <row r="39" spans="1:42" s="123" customFormat="1" ht="24" x14ac:dyDescent="0.3">
      <c r="A39" s="4">
        <v>36</v>
      </c>
      <c r="B39" s="2" t="s">
        <v>142</v>
      </c>
      <c r="C39" s="2" t="s">
        <v>66</v>
      </c>
      <c r="D39" s="2">
        <v>106.674189</v>
      </c>
      <c r="E39" s="2">
        <v>10.830633000000001</v>
      </c>
      <c r="F39" s="2" t="s">
        <v>481</v>
      </c>
      <c r="G39" s="34" t="s">
        <v>356</v>
      </c>
      <c r="H39" s="27" t="s">
        <v>901</v>
      </c>
      <c r="I39" s="25" t="s">
        <v>901</v>
      </c>
      <c r="J39" s="98">
        <v>44813</v>
      </c>
      <c r="K39" s="20">
        <f t="shared" si="1"/>
        <v>46638</v>
      </c>
      <c r="L39" s="34" t="s">
        <v>175</v>
      </c>
      <c r="M39" s="9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2" t="s">
        <v>908</v>
      </c>
      <c r="Z39" s="102">
        <v>7700000</v>
      </c>
      <c r="AA39" s="102">
        <v>7700000</v>
      </c>
      <c r="AB39" s="95">
        <v>11400000</v>
      </c>
      <c r="AC39" s="102">
        <v>7400000</v>
      </c>
      <c r="AD39" s="156">
        <v>0</v>
      </c>
      <c r="AE39" s="87" t="s">
        <v>17</v>
      </c>
      <c r="AF39" s="113" t="s">
        <v>77</v>
      </c>
      <c r="AG39" s="120"/>
      <c r="AH39" s="121" t="s">
        <v>482</v>
      </c>
      <c r="AI39" s="119" t="s">
        <v>483</v>
      </c>
      <c r="AJ39" s="112" t="s">
        <v>484</v>
      </c>
      <c r="AK39" s="2" t="s">
        <v>485</v>
      </c>
      <c r="AL39" s="2">
        <v>13.5</v>
      </c>
      <c r="AM39" s="2">
        <v>6</v>
      </c>
      <c r="AN39" s="48"/>
      <c r="AO39" t="s">
        <v>773</v>
      </c>
      <c r="AP39" s="122"/>
    </row>
    <row r="40" spans="1:42" s="123" customFormat="1" ht="24" x14ac:dyDescent="0.3">
      <c r="A40" s="4">
        <v>37</v>
      </c>
      <c r="B40" s="2" t="s">
        <v>486</v>
      </c>
      <c r="C40" s="2" t="s">
        <v>230</v>
      </c>
      <c r="D40" s="2">
        <v>106.59792899999999</v>
      </c>
      <c r="E40" s="2">
        <v>10.821275999999999</v>
      </c>
      <c r="F40" s="2" t="s">
        <v>487</v>
      </c>
      <c r="G40" s="34" t="s">
        <v>356</v>
      </c>
      <c r="H40" s="27" t="s">
        <v>901</v>
      </c>
      <c r="I40" s="25" t="s">
        <v>901</v>
      </c>
      <c r="J40" s="98">
        <v>44835</v>
      </c>
      <c r="K40" s="20">
        <f t="shared" si="1"/>
        <v>46660</v>
      </c>
      <c r="L40" s="34" t="s">
        <v>175</v>
      </c>
      <c r="M40" s="98">
        <v>44844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2" t="s">
        <v>911</v>
      </c>
      <c r="Z40" s="102">
        <v>6000000</v>
      </c>
      <c r="AA40" s="102"/>
      <c r="AB40" s="95">
        <v>12100000</v>
      </c>
      <c r="AC40" s="102">
        <v>0</v>
      </c>
      <c r="AD40" s="156">
        <v>0</v>
      </c>
      <c r="AE40" s="87">
        <v>44896</v>
      </c>
      <c r="AF40" s="113" t="s">
        <v>79</v>
      </c>
      <c r="AG40" s="120"/>
      <c r="AH40" s="121" t="s">
        <v>488</v>
      </c>
      <c r="AI40" s="119" t="s">
        <v>490</v>
      </c>
      <c r="AJ40" s="112" t="s">
        <v>489</v>
      </c>
      <c r="AK40" s="2" t="s">
        <v>491</v>
      </c>
      <c r="AL40" s="2">
        <v>12.5</v>
      </c>
      <c r="AM40" s="2">
        <v>12</v>
      </c>
      <c r="AN40" s="48"/>
      <c r="AO40" t="s">
        <v>773</v>
      </c>
      <c r="AP40" s="122"/>
    </row>
    <row r="41" spans="1:42" s="123" customFormat="1" ht="24" x14ac:dyDescent="0.3">
      <c r="A41" s="4">
        <v>38</v>
      </c>
      <c r="B41" s="2" t="s">
        <v>501</v>
      </c>
      <c r="C41" s="2" t="s">
        <v>32</v>
      </c>
      <c r="D41" s="2">
        <v>106.687494</v>
      </c>
      <c r="E41" s="2">
        <v>10.810822</v>
      </c>
      <c r="F41" s="2" t="s">
        <v>502</v>
      </c>
      <c r="G41" s="34" t="s">
        <v>356</v>
      </c>
      <c r="H41" s="27" t="s">
        <v>901</v>
      </c>
      <c r="I41" s="25" t="s">
        <v>901</v>
      </c>
      <c r="J41" s="98">
        <v>44859</v>
      </c>
      <c r="K41" s="20">
        <f t="shared" si="1"/>
        <v>46684</v>
      </c>
      <c r="L41" s="34" t="s">
        <v>175</v>
      </c>
      <c r="M41" s="9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2" t="s">
        <v>908</v>
      </c>
      <c r="Z41" s="102">
        <v>7000000</v>
      </c>
      <c r="AA41" s="102"/>
      <c r="AB41" s="95">
        <v>11900000</v>
      </c>
      <c r="AC41" s="102">
        <v>0</v>
      </c>
      <c r="AD41" s="156">
        <v>0</v>
      </c>
      <c r="AE41" s="87" t="s">
        <v>17</v>
      </c>
      <c r="AF41" s="126" t="s">
        <v>79</v>
      </c>
      <c r="AG41" s="120"/>
      <c r="AH41" s="121" t="s">
        <v>503</v>
      </c>
      <c r="AI41" s="119" t="s">
        <v>505</v>
      </c>
      <c r="AJ41" s="112" t="s">
        <v>504</v>
      </c>
      <c r="AK41" s="2" t="s">
        <v>506</v>
      </c>
      <c r="AL41" s="2">
        <v>17</v>
      </c>
      <c r="AM41" s="2">
        <v>6</v>
      </c>
      <c r="AN41" s="48"/>
      <c r="AO41" t="s">
        <v>773</v>
      </c>
      <c r="AP41" s="122"/>
    </row>
    <row r="42" spans="1:42" s="123" customFormat="1" ht="36" x14ac:dyDescent="0.3">
      <c r="A42" s="4">
        <v>39</v>
      </c>
      <c r="B42" s="2" t="s">
        <v>500</v>
      </c>
      <c r="C42" s="2" t="s">
        <v>32</v>
      </c>
      <c r="D42" s="2">
        <v>106.719729</v>
      </c>
      <c r="E42" s="2">
        <v>10.806206</v>
      </c>
      <c r="F42" s="2" t="s">
        <v>507</v>
      </c>
      <c r="G42" s="34" t="s">
        <v>356</v>
      </c>
      <c r="H42" s="27" t="s">
        <v>901</v>
      </c>
      <c r="I42" s="25" t="s">
        <v>901</v>
      </c>
      <c r="J42" s="125">
        <v>44881</v>
      </c>
      <c r="K42" s="20">
        <f t="shared" si="1"/>
        <v>46706</v>
      </c>
      <c r="L42" s="34"/>
      <c r="M42" s="9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2" t="s">
        <v>908</v>
      </c>
      <c r="Z42" s="102">
        <v>8000000</v>
      </c>
      <c r="AA42" s="102"/>
      <c r="AB42" s="95">
        <v>12600000</v>
      </c>
      <c r="AC42" s="102">
        <v>0</v>
      </c>
      <c r="AD42" s="156">
        <v>0</v>
      </c>
      <c r="AE42" s="87" t="s">
        <v>17</v>
      </c>
      <c r="AF42" s="113" t="s">
        <v>77</v>
      </c>
      <c r="AG42" s="120"/>
      <c r="AH42" s="121" t="s">
        <v>516</v>
      </c>
      <c r="AI42" s="119" t="s">
        <v>508</v>
      </c>
      <c r="AJ42" s="112" t="s">
        <v>509</v>
      </c>
      <c r="AK42" s="2" t="s">
        <v>510</v>
      </c>
      <c r="AL42" s="2">
        <v>35.799999999999997</v>
      </c>
      <c r="AM42" s="2">
        <v>6</v>
      </c>
      <c r="AN42" s="48"/>
      <c r="AO42" t="s">
        <v>773</v>
      </c>
      <c r="AP42" s="122"/>
    </row>
    <row r="43" spans="1:42" s="123" customFormat="1" ht="24" x14ac:dyDescent="0.3">
      <c r="A43" s="4">
        <v>40</v>
      </c>
      <c r="B43" s="2" t="s">
        <v>492</v>
      </c>
      <c r="C43" s="2" t="s">
        <v>66</v>
      </c>
      <c r="D43" s="2">
        <v>106.697784</v>
      </c>
      <c r="E43" s="2">
        <v>10.826632999999999</v>
      </c>
      <c r="F43" s="2" t="s">
        <v>511</v>
      </c>
      <c r="G43" s="34" t="s">
        <v>357</v>
      </c>
      <c r="H43" s="27" t="s">
        <v>901</v>
      </c>
      <c r="I43" s="34" t="s">
        <v>906</v>
      </c>
      <c r="J43" s="125">
        <v>44885</v>
      </c>
      <c r="K43" s="20">
        <f t="shared" si="1"/>
        <v>46710</v>
      </c>
      <c r="L43" s="34"/>
      <c r="M43" s="9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2" t="s">
        <v>908</v>
      </c>
      <c r="Z43" s="102">
        <v>7000000</v>
      </c>
      <c r="AA43" s="102">
        <v>5300000</v>
      </c>
      <c r="AB43" s="95">
        <v>8000000</v>
      </c>
      <c r="AC43" s="102">
        <v>6500000</v>
      </c>
      <c r="AD43" s="156">
        <v>0</v>
      </c>
      <c r="AE43" s="87" t="s">
        <v>17</v>
      </c>
      <c r="AF43" s="113" t="s">
        <v>77</v>
      </c>
      <c r="AG43" s="120"/>
      <c r="AH43" s="121" t="s">
        <v>513</v>
      </c>
      <c r="AI43" s="119" t="s">
        <v>512</v>
      </c>
      <c r="AJ43" s="112" t="s">
        <v>514</v>
      </c>
      <c r="AK43" s="2" t="s">
        <v>515</v>
      </c>
      <c r="AL43" s="2">
        <v>23</v>
      </c>
      <c r="AM43" s="2">
        <v>6</v>
      </c>
      <c r="AN43" s="48"/>
      <c r="AO43" t="s">
        <v>773</v>
      </c>
      <c r="AP43" s="122"/>
    </row>
    <row r="44" spans="1:42" s="123" customFormat="1" ht="36" x14ac:dyDescent="0.3">
      <c r="A44" s="4">
        <v>41</v>
      </c>
      <c r="B44" s="2" t="s">
        <v>549</v>
      </c>
      <c r="C44" s="2" t="s">
        <v>380</v>
      </c>
      <c r="D44" s="2">
        <v>106.80708300000001</v>
      </c>
      <c r="E44" s="2">
        <v>10.852672999999999</v>
      </c>
      <c r="F44" s="2" t="s">
        <v>550</v>
      </c>
      <c r="G44" s="34" t="s">
        <v>356</v>
      </c>
      <c r="H44" s="27" t="s">
        <v>901</v>
      </c>
      <c r="I44" s="25" t="s">
        <v>901</v>
      </c>
      <c r="J44" s="125">
        <v>44985</v>
      </c>
      <c r="K44" s="20">
        <f t="shared" si="1"/>
        <v>46810</v>
      </c>
      <c r="L44" s="34"/>
      <c r="M44" s="9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2" t="s">
        <v>908</v>
      </c>
      <c r="Z44" s="102">
        <v>6500000</v>
      </c>
      <c r="AA44" s="102"/>
      <c r="AB44" s="95">
        <v>11400000</v>
      </c>
      <c r="AC44" s="102">
        <v>0</v>
      </c>
      <c r="AD44" s="156">
        <v>0</v>
      </c>
      <c r="AE44" s="87" t="s">
        <v>17</v>
      </c>
      <c r="AF44" s="113" t="s">
        <v>77</v>
      </c>
      <c r="AG44" s="120"/>
      <c r="AH44" s="121" t="s">
        <v>551</v>
      </c>
      <c r="AI44" s="119" t="s">
        <v>552</v>
      </c>
      <c r="AJ44" s="112" t="s">
        <v>195</v>
      </c>
      <c r="AK44" s="2" t="s">
        <v>553</v>
      </c>
      <c r="AL44" s="2">
        <v>14</v>
      </c>
      <c r="AM44" s="2">
        <v>9</v>
      </c>
      <c r="AN44" s="48"/>
      <c r="AO44" t="s">
        <v>774</v>
      </c>
      <c r="AP44" s="122"/>
    </row>
    <row r="45" spans="1:42" s="123" customFormat="1" ht="24" x14ac:dyDescent="0.3">
      <c r="A45" s="4">
        <v>42</v>
      </c>
      <c r="B45" s="2" t="s">
        <v>558</v>
      </c>
      <c r="C45" s="2" t="s">
        <v>230</v>
      </c>
      <c r="D45" s="2">
        <v>106.58574299999999</v>
      </c>
      <c r="E45" s="2">
        <v>10.793623999999999</v>
      </c>
      <c r="F45" s="2" t="s">
        <v>559</v>
      </c>
      <c r="G45" s="34" t="s">
        <v>356</v>
      </c>
      <c r="H45" s="27" t="s">
        <v>901</v>
      </c>
      <c r="I45" s="25" t="s">
        <v>901</v>
      </c>
      <c r="J45" s="125">
        <v>45001</v>
      </c>
      <c r="K45" s="20">
        <f t="shared" si="1"/>
        <v>46827</v>
      </c>
      <c r="L45" s="34"/>
      <c r="M45" s="9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2" t="s">
        <v>908</v>
      </c>
      <c r="Z45" s="102">
        <v>6000000</v>
      </c>
      <c r="AA45" s="102"/>
      <c r="AB45" s="95">
        <v>11000000</v>
      </c>
      <c r="AC45" s="102">
        <v>0</v>
      </c>
      <c r="AD45" s="156">
        <v>0</v>
      </c>
      <c r="AE45" s="87"/>
      <c r="AF45" s="113" t="s">
        <v>77</v>
      </c>
      <c r="AG45" s="120"/>
      <c r="AH45" s="121" t="s">
        <v>560</v>
      </c>
      <c r="AI45" s="119" t="s">
        <v>561</v>
      </c>
      <c r="AJ45" s="112" t="s">
        <v>171</v>
      </c>
      <c r="AK45" s="2" t="s">
        <v>562</v>
      </c>
      <c r="AL45" s="2">
        <v>12.5</v>
      </c>
      <c r="AM45" s="2">
        <v>12</v>
      </c>
      <c r="AN45" s="48"/>
      <c r="AO45" t="s">
        <v>774</v>
      </c>
      <c r="AP45" s="122"/>
    </row>
    <row r="46" spans="1:42" s="123" customFormat="1" ht="24" x14ac:dyDescent="0.3">
      <c r="A46" s="4">
        <v>43</v>
      </c>
      <c r="B46" s="155" t="s">
        <v>565</v>
      </c>
      <c r="C46" s="2" t="s">
        <v>564</v>
      </c>
      <c r="D46" s="2">
        <v>106.67829</v>
      </c>
      <c r="E46" s="2">
        <v>10.7887</v>
      </c>
      <c r="F46" s="2" t="s">
        <v>563</v>
      </c>
      <c r="G46" s="34" t="s">
        <v>357</v>
      </c>
      <c r="H46" s="27" t="s">
        <v>901</v>
      </c>
      <c r="I46" s="25" t="s">
        <v>901</v>
      </c>
      <c r="J46" s="125">
        <v>44985</v>
      </c>
      <c r="K46" s="20">
        <f t="shared" si="1"/>
        <v>46810</v>
      </c>
      <c r="L46" s="34"/>
      <c r="M46" s="9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2" t="s">
        <v>912</v>
      </c>
      <c r="Z46" s="102">
        <v>0</v>
      </c>
      <c r="AA46" s="102"/>
      <c r="AB46" s="95">
        <v>6500000</v>
      </c>
      <c r="AC46" s="102">
        <v>0</v>
      </c>
      <c r="AD46" s="102">
        <v>0</v>
      </c>
      <c r="AE46" s="87"/>
      <c r="AF46" s="113" t="s">
        <v>77</v>
      </c>
      <c r="AG46" s="120"/>
      <c r="AH46" s="121" t="s">
        <v>568</v>
      </c>
      <c r="AI46" s="119" t="s">
        <v>567</v>
      </c>
      <c r="AJ46" s="112" t="s">
        <v>406</v>
      </c>
      <c r="AK46" s="2" t="s">
        <v>566</v>
      </c>
      <c r="AL46" s="2">
        <v>14</v>
      </c>
      <c r="AM46" s="2">
        <v>6</v>
      </c>
      <c r="AN46" s="48"/>
      <c r="AO46" t="s">
        <v>774</v>
      </c>
      <c r="AP46" s="122"/>
    </row>
    <row r="47" spans="1:42" s="123" customFormat="1" ht="24" x14ac:dyDescent="0.3">
      <c r="A47" s="4">
        <v>44</v>
      </c>
      <c r="B47" s="155" t="s">
        <v>1152</v>
      </c>
      <c r="C47" s="2" t="s">
        <v>32</v>
      </c>
      <c r="D47" s="2">
        <v>106.71091</v>
      </c>
      <c r="E47" s="2">
        <v>10.79884</v>
      </c>
      <c r="F47" s="2" t="s">
        <v>569</v>
      </c>
      <c r="G47" s="112" t="s">
        <v>356</v>
      </c>
      <c r="H47" s="27" t="s">
        <v>901</v>
      </c>
      <c r="I47" s="25" t="s">
        <v>901</v>
      </c>
      <c r="J47" s="125" t="s">
        <v>908</v>
      </c>
      <c r="K47" s="125" t="s">
        <v>908</v>
      </c>
      <c r="L47" s="112"/>
      <c r="M47" s="98">
        <v>44510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2" t="s">
        <v>913</v>
      </c>
      <c r="Z47" s="102">
        <v>0</v>
      </c>
      <c r="AA47" s="102"/>
      <c r="AB47" s="95">
        <v>10700000</v>
      </c>
      <c r="AC47" s="102">
        <v>0</v>
      </c>
      <c r="AD47" s="102">
        <v>0</v>
      </c>
      <c r="AE47" s="87"/>
      <c r="AF47" s="113" t="s">
        <v>79</v>
      </c>
      <c r="AG47" s="120"/>
      <c r="AH47" s="121" t="s">
        <v>641</v>
      </c>
      <c r="AI47" s="119" t="s">
        <v>642</v>
      </c>
      <c r="AJ47" s="112" t="s">
        <v>643</v>
      </c>
      <c r="AK47" s="2" t="s">
        <v>648</v>
      </c>
      <c r="AL47" s="2"/>
      <c r="AM47" s="2"/>
      <c r="AN47" s="48"/>
      <c r="AO47" t="s">
        <v>775</v>
      </c>
      <c r="AP47" s="122"/>
    </row>
    <row r="48" spans="1:42" s="123" customFormat="1" ht="24" x14ac:dyDescent="0.3">
      <c r="A48" s="4">
        <v>45</v>
      </c>
      <c r="B48" s="2" t="s">
        <v>576</v>
      </c>
      <c r="C48" s="2" t="s">
        <v>476</v>
      </c>
      <c r="D48" s="2">
        <v>106.627933</v>
      </c>
      <c r="E48" s="2">
        <v>10.788978999999999</v>
      </c>
      <c r="F48" s="2" t="s">
        <v>602</v>
      </c>
      <c r="G48" s="34" t="s">
        <v>357</v>
      </c>
      <c r="H48" s="27" t="s">
        <v>901</v>
      </c>
      <c r="I48" s="25" t="s">
        <v>901</v>
      </c>
      <c r="J48" s="125">
        <v>45102</v>
      </c>
      <c r="K48" s="20">
        <f t="shared" si="1"/>
        <v>46928</v>
      </c>
      <c r="L48" s="34"/>
      <c r="M48" s="9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2" t="s">
        <v>914</v>
      </c>
      <c r="Z48" s="102">
        <v>4300000</v>
      </c>
      <c r="AA48" s="102">
        <v>4500000</v>
      </c>
      <c r="AB48" s="95">
        <v>6500000</v>
      </c>
      <c r="AC48" s="102">
        <v>0</v>
      </c>
      <c r="AD48" s="156">
        <v>0</v>
      </c>
      <c r="AE48" s="87"/>
      <c r="AF48" s="113" t="s">
        <v>79</v>
      </c>
      <c r="AG48" s="120"/>
      <c r="AH48" s="121" t="s">
        <v>603</v>
      </c>
      <c r="AI48" s="119" t="s">
        <v>605</v>
      </c>
      <c r="AJ48" s="112" t="s">
        <v>604</v>
      </c>
      <c r="AK48" s="2" t="s">
        <v>606</v>
      </c>
      <c r="AL48" s="2">
        <v>15.5</v>
      </c>
      <c r="AM48" s="2">
        <v>6</v>
      </c>
      <c r="AN48" s="48"/>
      <c r="AO48" t="s">
        <v>774</v>
      </c>
      <c r="AP48" s="122"/>
    </row>
    <row r="49" spans="1:42" s="123" customFormat="1" ht="24" x14ac:dyDescent="0.3">
      <c r="A49" s="4">
        <v>46</v>
      </c>
      <c r="B49" s="2" t="s">
        <v>577</v>
      </c>
      <c r="C49" s="2" t="s">
        <v>581</v>
      </c>
      <c r="D49" s="2">
        <v>106.7666253</v>
      </c>
      <c r="E49" s="2">
        <v>10.8351422</v>
      </c>
      <c r="F49" s="2" t="s">
        <v>582</v>
      </c>
      <c r="G49" s="34" t="s">
        <v>356</v>
      </c>
      <c r="H49" s="27" t="s">
        <v>901</v>
      </c>
      <c r="I49" s="25" t="s">
        <v>901</v>
      </c>
      <c r="J49" s="125">
        <v>45061</v>
      </c>
      <c r="K49" s="20">
        <f t="shared" si="1"/>
        <v>46887</v>
      </c>
      <c r="L49" s="34"/>
      <c r="M49" s="9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2" t="s">
        <v>908</v>
      </c>
      <c r="Z49" s="102">
        <v>6000000</v>
      </c>
      <c r="AA49" s="102"/>
      <c r="AB49" s="95">
        <v>11200000</v>
      </c>
      <c r="AC49" s="102">
        <v>0</v>
      </c>
      <c r="AD49" s="156">
        <v>0</v>
      </c>
      <c r="AE49" s="87"/>
      <c r="AF49" s="113" t="s">
        <v>79</v>
      </c>
      <c r="AG49" s="120"/>
      <c r="AH49" s="121" t="s">
        <v>583</v>
      </c>
      <c r="AI49" s="119" t="s">
        <v>584</v>
      </c>
      <c r="AJ49" s="112" t="s">
        <v>406</v>
      </c>
      <c r="AK49" s="2" t="s">
        <v>585</v>
      </c>
      <c r="AL49" s="2">
        <v>11</v>
      </c>
      <c r="AM49" s="2">
        <v>12</v>
      </c>
      <c r="AN49" s="48"/>
      <c r="AO49" t="s">
        <v>774</v>
      </c>
      <c r="AP49" s="122"/>
    </row>
    <row r="50" spans="1:42" s="123" customFormat="1" ht="24" x14ac:dyDescent="0.3">
      <c r="A50" s="4">
        <v>47</v>
      </c>
      <c r="B50" s="2" t="s">
        <v>578</v>
      </c>
      <c r="C50" s="2" t="s">
        <v>587</v>
      </c>
      <c r="D50" s="2">
        <v>106.663482</v>
      </c>
      <c r="E50" s="2">
        <v>10.76826</v>
      </c>
      <c r="F50" s="2" t="s">
        <v>586</v>
      </c>
      <c r="G50" s="34" t="s">
        <v>357</v>
      </c>
      <c r="H50" s="27" t="s">
        <v>901</v>
      </c>
      <c r="I50" s="25" t="s">
        <v>901</v>
      </c>
      <c r="J50" s="125">
        <v>45078</v>
      </c>
      <c r="K50" s="20">
        <f t="shared" si="1"/>
        <v>46904</v>
      </c>
      <c r="L50" s="34"/>
      <c r="M50" s="9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2" t="s">
        <v>908</v>
      </c>
      <c r="Z50" s="102">
        <v>4000000</v>
      </c>
      <c r="AA50" s="102">
        <v>5000000</v>
      </c>
      <c r="AB50" s="95">
        <v>7000000</v>
      </c>
      <c r="AC50" s="102">
        <v>0</v>
      </c>
      <c r="AD50" s="156">
        <v>0</v>
      </c>
      <c r="AE50" s="87"/>
      <c r="AF50" s="113" t="s">
        <v>79</v>
      </c>
      <c r="AG50" s="120"/>
      <c r="AH50" s="121" t="s">
        <v>588</v>
      </c>
      <c r="AI50" s="119" t="s">
        <v>589</v>
      </c>
      <c r="AJ50" s="119" t="s">
        <v>171</v>
      </c>
      <c r="AK50" s="2" t="s">
        <v>590</v>
      </c>
      <c r="AL50" s="2">
        <v>17</v>
      </c>
      <c r="AM50" s="2">
        <v>6</v>
      </c>
      <c r="AN50" s="48"/>
      <c r="AO50" t="s">
        <v>774</v>
      </c>
      <c r="AP50" s="122"/>
    </row>
    <row r="51" spans="1:42" s="123" customFormat="1" ht="24" x14ac:dyDescent="0.3">
      <c r="A51" s="4">
        <v>48</v>
      </c>
      <c r="B51" s="2" t="s">
        <v>579</v>
      </c>
      <c r="C51" s="2" t="s">
        <v>587</v>
      </c>
      <c r="D51" s="2">
        <v>106.66824699999999</v>
      </c>
      <c r="E51" s="2">
        <v>10.784117</v>
      </c>
      <c r="F51" s="2" t="s">
        <v>591</v>
      </c>
      <c r="G51" s="34" t="s">
        <v>357</v>
      </c>
      <c r="H51" s="27" t="s">
        <v>901</v>
      </c>
      <c r="I51" s="25" t="s">
        <v>901</v>
      </c>
      <c r="J51" s="125">
        <v>45078</v>
      </c>
      <c r="K51" s="20">
        <f t="shared" si="1"/>
        <v>46904</v>
      </c>
      <c r="L51" s="34"/>
      <c r="M51" s="9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2" t="s">
        <v>915</v>
      </c>
      <c r="Z51" s="102">
        <v>4000000</v>
      </c>
      <c r="AA51" s="102">
        <v>5000000</v>
      </c>
      <c r="AB51" s="95">
        <v>7000000</v>
      </c>
      <c r="AC51" s="102">
        <v>0</v>
      </c>
      <c r="AD51" s="156">
        <v>0</v>
      </c>
      <c r="AE51" s="87"/>
      <c r="AF51" s="113" t="s">
        <v>79</v>
      </c>
      <c r="AG51" s="120"/>
      <c r="AH51" s="121" t="s">
        <v>593</v>
      </c>
      <c r="AI51" s="119" t="s">
        <v>592</v>
      </c>
      <c r="AJ51" s="112" t="s">
        <v>594</v>
      </c>
      <c r="AK51" s="2" t="s">
        <v>595</v>
      </c>
      <c r="AL51" s="2">
        <v>14.5</v>
      </c>
      <c r="AM51" s="2">
        <v>6</v>
      </c>
      <c r="AN51" s="48"/>
      <c r="AO51" t="s">
        <v>774</v>
      </c>
      <c r="AP51" s="122"/>
    </row>
    <row r="52" spans="1:42" s="123" customFormat="1" ht="24" x14ac:dyDescent="0.3">
      <c r="A52" s="4">
        <v>49</v>
      </c>
      <c r="B52" s="2" t="s">
        <v>580</v>
      </c>
      <c r="C52" s="2" t="s">
        <v>476</v>
      </c>
      <c r="D52" s="2">
        <v>106.636156</v>
      </c>
      <c r="E52" s="2">
        <v>10.783979</v>
      </c>
      <c r="F52" s="2" t="s">
        <v>596</v>
      </c>
      <c r="G52" s="34" t="s">
        <v>356</v>
      </c>
      <c r="H52" s="27" t="s">
        <v>901</v>
      </c>
      <c r="I52" s="25" t="s">
        <v>901</v>
      </c>
      <c r="J52" s="125">
        <v>45073</v>
      </c>
      <c r="K52" s="20">
        <f t="shared" si="1"/>
        <v>46899</v>
      </c>
      <c r="L52" s="34"/>
      <c r="M52" s="9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2" t="s">
        <v>908</v>
      </c>
      <c r="Z52" s="102">
        <v>6500000</v>
      </c>
      <c r="AA52" s="102"/>
      <c r="AB52" s="95">
        <v>10100000</v>
      </c>
      <c r="AC52" s="102">
        <v>0</v>
      </c>
      <c r="AD52" s="156">
        <v>0</v>
      </c>
      <c r="AE52" s="87"/>
      <c r="AF52" s="113" t="s">
        <v>79</v>
      </c>
      <c r="AG52" s="120"/>
      <c r="AH52" s="121" t="s">
        <v>598</v>
      </c>
      <c r="AI52" s="119" t="s">
        <v>597</v>
      </c>
      <c r="AJ52" s="112" t="s">
        <v>599</v>
      </c>
      <c r="AK52" s="2" t="s">
        <v>600</v>
      </c>
      <c r="AL52" s="2">
        <v>24</v>
      </c>
      <c r="AM52" s="2">
        <v>6</v>
      </c>
      <c r="AN52" s="48"/>
      <c r="AO52" t="s">
        <v>774</v>
      </c>
      <c r="AP52" s="122"/>
    </row>
    <row r="53" spans="1:42" s="123" customFormat="1" ht="24" x14ac:dyDescent="0.3">
      <c r="A53" s="4">
        <v>50</v>
      </c>
      <c r="B53" s="2" t="s">
        <v>622</v>
      </c>
      <c r="C53" s="2" t="s">
        <v>581</v>
      </c>
      <c r="D53" s="2">
        <v>106.732218</v>
      </c>
      <c r="E53" s="2">
        <v>10.863514</v>
      </c>
      <c r="F53" s="2" t="s">
        <v>623</v>
      </c>
      <c r="G53" s="34" t="s">
        <v>356</v>
      </c>
      <c r="H53" s="27" t="s">
        <v>901</v>
      </c>
      <c r="I53" s="25" t="s">
        <v>901</v>
      </c>
      <c r="J53" s="125">
        <v>45232</v>
      </c>
      <c r="K53" s="20">
        <f t="shared" si="1"/>
        <v>47058</v>
      </c>
      <c r="L53" s="34"/>
      <c r="M53" s="9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2" t="s">
        <v>908</v>
      </c>
      <c r="Z53" s="102">
        <v>6000000</v>
      </c>
      <c r="AA53" s="102">
        <v>7000000</v>
      </c>
      <c r="AB53" s="95">
        <v>10200000</v>
      </c>
      <c r="AC53" s="102">
        <v>0</v>
      </c>
      <c r="AD53" s="156">
        <v>0</v>
      </c>
      <c r="AE53" s="87"/>
      <c r="AF53" s="113" t="s">
        <v>79</v>
      </c>
      <c r="AG53" s="120"/>
      <c r="AH53" s="121" t="s">
        <v>625</v>
      </c>
      <c r="AI53" s="119" t="s">
        <v>624</v>
      </c>
      <c r="AJ53" s="112" t="s">
        <v>594</v>
      </c>
      <c r="AK53" s="2" t="s">
        <v>626</v>
      </c>
      <c r="AL53" s="2">
        <v>16</v>
      </c>
      <c r="AM53" s="2">
        <v>9</v>
      </c>
      <c r="AN53" s="48"/>
      <c r="AO53" t="s">
        <v>774</v>
      </c>
      <c r="AP53" s="122"/>
    </row>
    <row r="54" spans="1:42" s="123" customFormat="1" ht="24" x14ac:dyDescent="0.3">
      <c r="A54" s="4">
        <v>51</v>
      </c>
      <c r="B54" s="2" t="s">
        <v>627</v>
      </c>
      <c r="C54" s="2" t="s">
        <v>581</v>
      </c>
      <c r="D54" s="2">
        <v>106.755152</v>
      </c>
      <c r="E54" s="2">
        <v>10.838282</v>
      </c>
      <c r="F54" s="2" t="s">
        <v>628</v>
      </c>
      <c r="G54" s="34" t="s">
        <v>356</v>
      </c>
      <c r="H54" s="27" t="s">
        <v>901</v>
      </c>
      <c r="I54" s="25" t="s">
        <v>901</v>
      </c>
      <c r="J54" s="125">
        <v>45216</v>
      </c>
      <c r="K54" s="20">
        <f t="shared" si="1"/>
        <v>47042</v>
      </c>
      <c r="L54" s="34"/>
      <c r="M54" s="9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2" t="s">
        <v>908</v>
      </c>
      <c r="Z54" s="102">
        <v>6000000</v>
      </c>
      <c r="AA54" s="102">
        <v>7000000</v>
      </c>
      <c r="AB54" s="95">
        <v>11300000</v>
      </c>
      <c r="AC54" s="102">
        <v>0</v>
      </c>
      <c r="AD54" s="156">
        <v>0</v>
      </c>
      <c r="AE54" s="87"/>
      <c r="AF54" s="113" t="s">
        <v>79</v>
      </c>
      <c r="AG54" s="120"/>
      <c r="AH54" s="121" t="s">
        <v>630</v>
      </c>
      <c r="AI54" s="119" t="s">
        <v>629</v>
      </c>
      <c r="AJ54" s="112" t="s">
        <v>631</v>
      </c>
      <c r="AK54" s="2" t="s">
        <v>632</v>
      </c>
      <c r="AL54" s="2">
        <v>15</v>
      </c>
      <c r="AM54" s="2">
        <v>12</v>
      </c>
      <c r="AN54" s="48"/>
      <c r="AO54" t="s">
        <v>774</v>
      </c>
      <c r="AP54" s="122"/>
    </row>
    <row r="55" spans="1:42" s="123" customFormat="1" ht="36" x14ac:dyDescent="0.3">
      <c r="A55" s="4">
        <v>52</v>
      </c>
      <c r="B55" s="2" t="s">
        <v>616</v>
      </c>
      <c r="C55" s="2" t="s">
        <v>581</v>
      </c>
      <c r="D55" s="2">
        <v>106.832753</v>
      </c>
      <c r="E55" s="2">
        <v>10.887543000000001</v>
      </c>
      <c r="F55" s="2" t="s">
        <v>633</v>
      </c>
      <c r="G55" s="34" t="s">
        <v>356</v>
      </c>
      <c r="H55" s="27" t="s">
        <v>901</v>
      </c>
      <c r="I55" s="25" t="s">
        <v>901</v>
      </c>
      <c r="J55" s="125">
        <v>45164</v>
      </c>
      <c r="K55" s="20">
        <f t="shared" si="1"/>
        <v>46990</v>
      </c>
      <c r="L55" s="34"/>
      <c r="M55" s="9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2" t="s">
        <v>908</v>
      </c>
      <c r="Z55" s="102">
        <v>6000000</v>
      </c>
      <c r="AA55" s="102"/>
      <c r="AB55" s="95">
        <v>12000000</v>
      </c>
      <c r="AC55" s="102">
        <v>0</v>
      </c>
      <c r="AD55" s="156">
        <v>0</v>
      </c>
      <c r="AE55" s="87"/>
      <c r="AF55" s="113" t="s">
        <v>79</v>
      </c>
      <c r="AG55" s="120"/>
      <c r="AH55" s="121" t="s">
        <v>634</v>
      </c>
      <c r="AI55" s="119" t="s">
        <v>635</v>
      </c>
      <c r="AJ55" s="112" t="s">
        <v>636</v>
      </c>
      <c r="AK55" s="2" t="s">
        <v>637</v>
      </c>
      <c r="AL55" s="2">
        <v>17</v>
      </c>
      <c r="AM55" s="2">
        <v>9</v>
      </c>
      <c r="AN55" s="48"/>
      <c r="AO55" t="s">
        <v>774</v>
      </c>
      <c r="AP55" s="122"/>
    </row>
    <row r="56" spans="1:42" s="123" customFormat="1" ht="24" x14ac:dyDescent="0.3">
      <c r="A56" s="4">
        <v>53</v>
      </c>
      <c r="B56" s="2" t="s">
        <v>644</v>
      </c>
      <c r="C56" s="2" t="s">
        <v>564</v>
      </c>
      <c r="D56" s="2">
        <v>106.67816500000001</v>
      </c>
      <c r="E56" s="2">
        <v>10.767367</v>
      </c>
      <c r="F56" s="2" t="s">
        <v>646</v>
      </c>
      <c r="G56" s="34" t="s">
        <v>357</v>
      </c>
      <c r="H56" s="27" t="s">
        <v>901</v>
      </c>
      <c r="I56" s="25" t="s">
        <v>901</v>
      </c>
      <c r="J56" s="125">
        <v>45225</v>
      </c>
      <c r="K56" s="20">
        <f t="shared" si="1"/>
        <v>47051</v>
      </c>
      <c r="L56" s="34"/>
      <c r="M56" s="9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2" t="s">
        <v>908</v>
      </c>
      <c r="Z56" s="102">
        <v>4000000</v>
      </c>
      <c r="AA56" s="102"/>
      <c r="AB56" s="95">
        <v>6600000</v>
      </c>
      <c r="AC56" s="102">
        <v>0</v>
      </c>
      <c r="AD56" s="156">
        <v>0</v>
      </c>
      <c r="AE56" s="87"/>
      <c r="AF56" s="113" t="s">
        <v>79</v>
      </c>
      <c r="AG56" s="120"/>
      <c r="AH56" s="121" t="s">
        <v>658</v>
      </c>
      <c r="AI56" s="119" t="s">
        <v>657</v>
      </c>
      <c r="AJ56" s="112" t="s">
        <v>154</v>
      </c>
      <c r="AK56" s="2" t="s">
        <v>659</v>
      </c>
      <c r="AL56" s="2">
        <v>24</v>
      </c>
      <c r="AM56" s="2">
        <v>6</v>
      </c>
      <c r="AN56" s="48"/>
      <c r="AO56" t="s">
        <v>774</v>
      </c>
      <c r="AP56" s="122"/>
    </row>
    <row r="57" spans="1:42" s="123" customFormat="1" ht="24" x14ac:dyDescent="0.3">
      <c r="A57" s="4">
        <v>54</v>
      </c>
      <c r="B57" s="2" t="s">
        <v>645</v>
      </c>
      <c r="C57" s="2" t="s">
        <v>587</v>
      </c>
      <c r="D57" s="2">
        <v>106.662549</v>
      </c>
      <c r="E57" s="2">
        <v>10.771064000000001</v>
      </c>
      <c r="F57" s="2" t="s">
        <v>647</v>
      </c>
      <c r="G57" s="34" t="s">
        <v>357</v>
      </c>
      <c r="H57" s="27" t="s">
        <v>901</v>
      </c>
      <c r="I57" s="25" t="s">
        <v>901</v>
      </c>
      <c r="J57" s="125">
        <v>45231</v>
      </c>
      <c r="K57" s="20">
        <f t="shared" si="1"/>
        <v>47057</v>
      </c>
      <c r="L57" s="34"/>
      <c r="M57" s="9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2" t="s">
        <v>908</v>
      </c>
      <c r="Z57" s="102">
        <v>4500000</v>
      </c>
      <c r="AA57" s="102"/>
      <c r="AB57" s="95">
        <v>6700000</v>
      </c>
      <c r="AC57" s="102">
        <v>0</v>
      </c>
      <c r="AD57" s="156">
        <v>0</v>
      </c>
      <c r="AE57" s="87"/>
      <c r="AF57" s="113" t="s">
        <v>79</v>
      </c>
      <c r="AG57" s="120"/>
      <c r="AH57" s="121" t="s">
        <v>661</v>
      </c>
      <c r="AI57" s="119" t="s">
        <v>662</v>
      </c>
      <c r="AJ57" s="112" t="s">
        <v>594</v>
      </c>
      <c r="AK57" s="2" t="s">
        <v>660</v>
      </c>
      <c r="AL57" s="2">
        <v>24</v>
      </c>
      <c r="AM57" s="2">
        <v>6</v>
      </c>
      <c r="AN57" s="48"/>
      <c r="AO57" t="s">
        <v>774</v>
      </c>
      <c r="AP57" s="122"/>
    </row>
    <row r="58" spans="1:42" s="123" customFormat="1" ht="24" x14ac:dyDescent="0.3">
      <c r="A58" s="4">
        <v>55</v>
      </c>
      <c r="B58" s="2" t="s">
        <v>676</v>
      </c>
      <c r="C58" s="2" t="s">
        <v>66</v>
      </c>
      <c r="D58" s="2">
        <v>106.68352400000001</v>
      </c>
      <c r="E58" s="2">
        <v>10.845613</v>
      </c>
      <c r="F58" s="2" t="s">
        <v>681</v>
      </c>
      <c r="G58" s="34" t="s">
        <v>357</v>
      </c>
      <c r="H58" s="27" t="s">
        <v>901</v>
      </c>
      <c r="I58" s="25" t="s">
        <v>901</v>
      </c>
      <c r="J58" s="125">
        <v>45295</v>
      </c>
      <c r="K58" s="20">
        <f t="shared" si="1"/>
        <v>47121</v>
      </c>
      <c r="L58" s="34"/>
      <c r="M58" s="9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2" t="s">
        <v>908</v>
      </c>
      <c r="Z58" s="102">
        <v>4000000</v>
      </c>
      <c r="AA58" s="102">
        <v>4600000</v>
      </c>
      <c r="AB58" s="95">
        <v>6500000</v>
      </c>
      <c r="AC58" s="102">
        <v>0</v>
      </c>
      <c r="AD58" s="156">
        <v>0</v>
      </c>
      <c r="AE58" s="87"/>
      <c r="AF58" s="113" t="s">
        <v>79</v>
      </c>
      <c r="AG58" s="120"/>
      <c r="AH58" s="121" t="s">
        <v>686</v>
      </c>
      <c r="AI58" s="119" t="s">
        <v>687</v>
      </c>
      <c r="AJ58" s="112" t="s">
        <v>406</v>
      </c>
      <c r="AK58" s="2" t="s">
        <v>688</v>
      </c>
      <c r="AL58" s="2">
        <v>15.5</v>
      </c>
      <c r="AM58" s="2">
        <v>6</v>
      </c>
      <c r="AN58" s="48"/>
      <c r="AO58" t="s">
        <v>776</v>
      </c>
      <c r="AP58" s="122"/>
    </row>
    <row r="59" spans="1:42" s="123" customFormat="1" ht="24" x14ac:dyDescent="0.3">
      <c r="A59" s="4">
        <v>56</v>
      </c>
      <c r="B59" s="2" t="s">
        <v>677</v>
      </c>
      <c r="C59" s="2" t="s">
        <v>32</v>
      </c>
      <c r="D59" s="2">
        <v>106.68946819999999</v>
      </c>
      <c r="E59" s="2">
        <v>10.8050829</v>
      </c>
      <c r="F59" s="2" t="s">
        <v>682</v>
      </c>
      <c r="G59" s="34" t="s">
        <v>357</v>
      </c>
      <c r="H59" s="27" t="s">
        <v>901</v>
      </c>
      <c r="I59" s="25" t="s">
        <v>901</v>
      </c>
      <c r="J59" s="125">
        <v>45309</v>
      </c>
      <c r="K59" s="20">
        <f t="shared" si="1"/>
        <v>47135</v>
      </c>
      <c r="L59" s="34"/>
      <c r="M59" s="9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2" t="s">
        <v>908</v>
      </c>
      <c r="Z59" s="102">
        <v>4000000</v>
      </c>
      <c r="AA59" s="102"/>
      <c r="AB59" s="95">
        <v>6700000</v>
      </c>
      <c r="AC59" s="102">
        <v>0</v>
      </c>
      <c r="AD59" s="156">
        <v>0</v>
      </c>
      <c r="AE59" s="87"/>
      <c r="AF59" s="113" t="s">
        <v>79</v>
      </c>
      <c r="AG59" s="120"/>
      <c r="AH59" s="121" t="s">
        <v>690</v>
      </c>
      <c r="AI59" s="119" t="s">
        <v>691</v>
      </c>
      <c r="AJ59" s="112" t="s">
        <v>416</v>
      </c>
      <c r="AK59" s="2" t="s">
        <v>689</v>
      </c>
      <c r="AL59" s="2">
        <v>15</v>
      </c>
      <c r="AM59" s="2">
        <v>6</v>
      </c>
      <c r="AN59" s="48"/>
      <c r="AO59" t="s">
        <v>776</v>
      </c>
      <c r="AP59" s="122"/>
    </row>
    <row r="60" spans="1:42" s="123" customFormat="1" ht="24" x14ac:dyDescent="0.3">
      <c r="A60" s="4">
        <v>57</v>
      </c>
      <c r="B60" s="2" t="s">
        <v>678</v>
      </c>
      <c r="C60" s="2" t="s">
        <v>587</v>
      </c>
      <c r="D60" s="2">
        <v>106.67948699999999</v>
      </c>
      <c r="E60" s="2">
        <v>10.778354</v>
      </c>
      <c r="F60" s="2" t="s">
        <v>683</v>
      </c>
      <c r="G60" s="34" t="s">
        <v>357</v>
      </c>
      <c r="H60" s="27" t="s">
        <v>901</v>
      </c>
      <c r="I60" s="25" t="s">
        <v>901</v>
      </c>
      <c r="J60" s="125">
        <v>45310</v>
      </c>
      <c r="K60" s="20">
        <f t="shared" si="1"/>
        <v>47136</v>
      </c>
      <c r="L60" s="34"/>
      <c r="M60" s="9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2" t="s">
        <v>908</v>
      </c>
      <c r="Z60" s="102">
        <v>4000000</v>
      </c>
      <c r="AA60" s="102"/>
      <c r="AB60" s="95">
        <v>6700000</v>
      </c>
      <c r="AC60" s="102">
        <v>0</v>
      </c>
      <c r="AD60" s="156">
        <v>0</v>
      </c>
      <c r="AE60" s="87"/>
      <c r="AF60" s="113" t="s">
        <v>79</v>
      </c>
      <c r="AG60" s="120"/>
      <c r="AH60" s="121" t="s">
        <v>693</v>
      </c>
      <c r="AI60" s="119" t="s">
        <v>694</v>
      </c>
      <c r="AJ60" s="112" t="s">
        <v>695</v>
      </c>
      <c r="AK60" s="2" t="s">
        <v>692</v>
      </c>
      <c r="AL60" s="2">
        <v>17.5</v>
      </c>
      <c r="AM60" s="2">
        <v>6</v>
      </c>
      <c r="AN60" s="48"/>
      <c r="AO60" t="s">
        <v>776</v>
      </c>
      <c r="AP60" s="122"/>
    </row>
    <row r="61" spans="1:42" s="123" customFormat="1" ht="24" x14ac:dyDescent="0.3">
      <c r="A61" s="4">
        <v>58</v>
      </c>
      <c r="B61" s="2" t="s">
        <v>679</v>
      </c>
      <c r="C61" s="2" t="s">
        <v>157</v>
      </c>
      <c r="D61" s="2">
        <v>106.64586</v>
      </c>
      <c r="E61" s="2">
        <v>10.80012</v>
      </c>
      <c r="F61" s="2" t="s">
        <v>684</v>
      </c>
      <c r="G61" s="34" t="s">
        <v>357</v>
      </c>
      <c r="H61" s="27" t="s">
        <v>901</v>
      </c>
      <c r="I61" s="25" t="s">
        <v>901</v>
      </c>
      <c r="J61" s="125">
        <v>45345</v>
      </c>
      <c r="K61" s="20">
        <f t="shared" si="1"/>
        <v>47171</v>
      </c>
      <c r="L61" s="34"/>
      <c r="M61" s="9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2" t="s">
        <v>908</v>
      </c>
      <c r="Z61" s="102">
        <v>4000000</v>
      </c>
      <c r="AA61" s="102"/>
      <c r="AB61" s="95">
        <v>6700000</v>
      </c>
      <c r="AC61" s="102">
        <v>0</v>
      </c>
      <c r="AD61" s="156">
        <v>0</v>
      </c>
      <c r="AE61" s="87"/>
      <c r="AF61" s="113" t="s">
        <v>79</v>
      </c>
      <c r="AG61" s="120"/>
      <c r="AH61" s="121" t="s">
        <v>702</v>
      </c>
      <c r="AI61" s="119" t="s">
        <v>701</v>
      </c>
      <c r="AJ61" s="112" t="s">
        <v>416</v>
      </c>
      <c r="AK61" s="2" t="s">
        <v>700</v>
      </c>
      <c r="AL61" s="2"/>
      <c r="AM61" s="2"/>
      <c r="AN61" s="48"/>
      <c r="AO61" t="s">
        <v>776</v>
      </c>
      <c r="AP61" s="122"/>
    </row>
    <row r="62" spans="1:42" s="123" customFormat="1" ht="24" x14ac:dyDescent="0.3">
      <c r="A62" s="4">
        <v>59</v>
      </c>
      <c r="B62" s="2" t="s">
        <v>680</v>
      </c>
      <c r="C62" s="2" t="s">
        <v>157</v>
      </c>
      <c r="D62" s="2">
        <v>106.64458</v>
      </c>
      <c r="E62" s="2">
        <v>10.80631</v>
      </c>
      <c r="F62" s="2" t="s">
        <v>685</v>
      </c>
      <c r="G62" s="34" t="s">
        <v>357</v>
      </c>
      <c r="H62" s="27" t="s">
        <v>901</v>
      </c>
      <c r="I62" s="25" t="s">
        <v>901</v>
      </c>
      <c r="J62" s="125">
        <v>45352</v>
      </c>
      <c r="K62" s="20">
        <f t="shared" si="1"/>
        <v>47177</v>
      </c>
      <c r="L62" s="34"/>
      <c r="M62" s="9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2" t="s">
        <v>916</v>
      </c>
      <c r="Z62" s="102">
        <v>4000000</v>
      </c>
      <c r="AA62" s="102"/>
      <c r="AB62" s="95">
        <v>6600000</v>
      </c>
      <c r="AC62" s="102">
        <v>0</v>
      </c>
      <c r="AD62" s="156">
        <v>0</v>
      </c>
      <c r="AE62" s="87"/>
      <c r="AF62" s="113" t="s">
        <v>79</v>
      </c>
      <c r="AG62" s="120"/>
      <c r="AH62" s="121" t="s">
        <v>697</v>
      </c>
      <c r="AI62" s="119" t="s">
        <v>698</v>
      </c>
      <c r="AJ62" s="112" t="s">
        <v>699</v>
      </c>
      <c r="AK62" s="2" t="s">
        <v>696</v>
      </c>
      <c r="AL62" s="2"/>
      <c r="AM62" s="2"/>
      <c r="AN62" s="48"/>
      <c r="AO62" t="s">
        <v>776</v>
      </c>
      <c r="AP62" s="122"/>
    </row>
    <row r="63" spans="1:42" s="123" customFormat="1" ht="24" x14ac:dyDescent="0.3">
      <c r="A63" s="4">
        <v>60</v>
      </c>
      <c r="B63" s="2" t="s">
        <v>710</v>
      </c>
      <c r="C63" s="2" t="s">
        <v>291</v>
      </c>
      <c r="D63" s="2">
        <v>106.6938191</v>
      </c>
      <c r="E63" s="2">
        <v>10.8678408</v>
      </c>
      <c r="F63" s="2" t="s">
        <v>711</v>
      </c>
      <c r="G63" s="34" t="s">
        <v>356</v>
      </c>
      <c r="H63" s="27" t="s">
        <v>901</v>
      </c>
      <c r="I63" s="25" t="s">
        <v>901</v>
      </c>
      <c r="J63" s="125">
        <v>45392</v>
      </c>
      <c r="K63" s="20">
        <f t="shared" si="1"/>
        <v>47217</v>
      </c>
      <c r="L63" s="34"/>
      <c r="M63" s="9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2" t="s">
        <v>917</v>
      </c>
      <c r="Z63" s="102">
        <v>5500000</v>
      </c>
      <c r="AA63" s="102"/>
      <c r="AB63" s="95">
        <v>11300000</v>
      </c>
      <c r="AC63" s="102">
        <v>0</v>
      </c>
      <c r="AD63" s="156">
        <v>0</v>
      </c>
      <c r="AE63" s="87" t="s">
        <v>727</v>
      </c>
      <c r="AF63" s="113" t="s">
        <v>79</v>
      </c>
      <c r="AG63" s="120"/>
      <c r="AH63" s="121" t="s">
        <v>729</v>
      </c>
      <c r="AI63" s="119" t="s">
        <v>728</v>
      </c>
      <c r="AJ63" s="112" t="s">
        <v>154</v>
      </c>
      <c r="AK63" s="2" t="s">
        <v>712</v>
      </c>
      <c r="AL63" s="2">
        <v>12.5</v>
      </c>
      <c r="AM63" s="2">
        <v>9</v>
      </c>
      <c r="AN63" s="48"/>
      <c r="AO63" t="s">
        <v>776</v>
      </c>
      <c r="AP63" s="122"/>
    </row>
    <row r="64" spans="1:42" s="123" customFormat="1" ht="24" x14ac:dyDescent="0.3">
      <c r="A64" s="4">
        <v>61</v>
      </c>
      <c r="B64" s="2" t="s">
        <v>713</v>
      </c>
      <c r="C64" s="2" t="s">
        <v>291</v>
      </c>
      <c r="D64" s="2">
        <v>106.643762</v>
      </c>
      <c r="E64" s="2">
        <v>10.889957000000001</v>
      </c>
      <c r="F64" s="2" t="s">
        <v>714</v>
      </c>
      <c r="G64" s="34" t="s">
        <v>356</v>
      </c>
      <c r="H64" s="27" t="s">
        <v>901</v>
      </c>
      <c r="I64" s="34" t="s">
        <v>906</v>
      </c>
      <c r="J64" s="125">
        <v>45402</v>
      </c>
      <c r="K64" s="20">
        <f t="shared" si="1"/>
        <v>47227</v>
      </c>
      <c r="L64" s="34"/>
      <c r="M64" s="9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2" t="s">
        <v>918</v>
      </c>
      <c r="Z64" s="102">
        <v>5000000</v>
      </c>
      <c r="AA64" s="102"/>
      <c r="AB64" s="95">
        <v>9800000</v>
      </c>
      <c r="AC64" s="102">
        <v>8000000</v>
      </c>
      <c r="AD64" s="156">
        <v>0</v>
      </c>
      <c r="AE64" s="87" t="s">
        <v>726</v>
      </c>
      <c r="AF64" s="113" t="s">
        <v>79</v>
      </c>
      <c r="AG64" s="120"/>
      <c r="AH64" s="121" t="s">
        <v>725</v>
      </c>
      <c r="AI64" s="119" t="s">
        <v>724</v>
      </c>
      <c r="AJ64" s="112" t="s">
        <v>416</v>
      </c>
      <c r="AK64" s="2" t="s">
        <v>715</v>
      </c>
      <c r="AL64" s="2">
        <v>13.5</v>
      </c>
      <c r="AM64" s="2">
        <v>12</v>
      </c>
      <c r="AN64" s="48"/>
      <c r="AO64" t="s">
        <v>776</v>
      </c>
      <c r="AP64" s="122"/>
    </row>
    <row r="65" spans="1:42" s="123" customFormat="1" ht="36" x14ac:dyDescent="0.3">
      <c r="A65" s="4">
        <v>62</v>
      </c>
      <c r="B65" s="2" t="s">
        <v>716</v>
      </c>
      <c r="C65" s="2" t="s">
        <v>32</v>
      </c>
      <c r="D65" s="2">
        <v>106.722944</v>
      </c>
      <c r="E65" s="2">
        <v>10.80025</v>
      </c>
      <c r="F65" s="2" t="s">
        <v>717</v>
      </c>
      <c r="G65" s="34" t="s">
        <v>356</v>
      </c>
      <c r="H65" s="27" t="s">
        <v>901</v>
      </c>
      <c r="I65" s="25" t="s">
        <v>901</v>
      </c>
      <c r="J65" s="125">
        <v>45422</v>
      </c>
      <c r="K65" s="20">
        <f t="shared" si="1"/>
        <v>47247</v>
      </c>
      <c r="L65" s="34"/>
      <c r="M65" s="9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2" t="s">
        <v>908</v>
      </c>
      <c r="Z65" s="102">
        <v>7500000</v>
      </c>
      <c r="AA65" s="102"/>
      <c r="AB65" s="95">
        <v>13300000</v>
      </c>
      <c r="AC65" s="102">
        <v>0</v>
      </c>
      <c r="AD65" s="156">
        <v>0</v>
      </c>
      <c r="AE65" s="87" t="s">
        <v>747</v>
      </c>
      <c r="AF65" s="113" t="s">
        <v>79</v>
      </c>
      <c r="AG65" s="120"/>
      <c r="AH65" s="150" t="s">
        <v>737</v>
      </c>
      <c r="AI65" s="151" t="s">
        <v>736</v>
      </c>
      <c r="AJ65" s="36" t="s">
        <v>811</v>
      </c>
      <c r="AK65" s="8" t="s">
        <v>718</v>
      </c>
      <c r="AL65" s="8">
        <v>25</v>
      </c>
      <c r="AM65" s="8">
        <v>12</v>
      </c>
      <c r="AN65" s="100"/>
      <c r="AO65" t="s">
        <v>776</v>
      </c>
      <c r="AP65" s="122"/>
    </row>
    <row r="66" spans="1:42" s="123" customFormat="1" ht="24" x14ac:dyDescent="0.3">
      <c r="A66" s="4">
        <v>63</v>
      </c>
      <c r="B66" s="2" t="s">
        <v>719</v>
      </c>
      <c r="C66" s="2" t="s">
        <v>230</v>
      </c>
      <c r="D66" s="2">
        <v>106.577326</v>
      </c>
      <c r="E66" s="2">
        <v>10.760555999999999</v>
      </c>
      <c r="F66" s="2" t="s">
        <v>720</v>
      </c>
      <c r="G66" s="34" t="s">
        <v>356</v>
      </c>
      <c r="H66" s="27" t="s">
        <v>901</v>
      </c>
      <c r="I66" s="25" t="s">
        <v>901</v>
      </c>
      <c r="J66" s="125">
        <v>45430</v>
      </c>
      <c r="K66" s="20">
        <f t="shared" si="1"/>
        <v>47255</v>
      </c>
      <c r="L66" s="34"/>
      <c r="M66" s="9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2" t="s">
        <v>919</v>
      </c>
      <c r="Z66" s="102">
        <v>5000000</v>
      </c>
      <c r="AA66" s="102"/>
      <c r="AB66" s="95">
        <v>10000000</v>
      </c>
      <c r="AC66" s="102">
        <v>0</v>
      </c>
      <c r="AD66" s="156">
        <v>0</v>
      </c>
      <c r="AE66" s="87" t="s">
        <v>730</v>
      </c>
      <c r="AF66" s="113" t="s">
        <v>79</v>
      </c>
      <c r="AG66" s="120"/>
      <c r="AH66" s="121" t="s">
        <v>722</v>
      </c>
      <c r="AI66" s="119" t="s">
        <v>723</v>
      </c>
      <c r="AJ66" s="112" t="s">
        <v>171</v>
      </c>
      <c r="AK66" s="2" t="s">
        <v>721</v>
      </c>
      <c r="AL66" s="2">
        <v>14</v>
      </c>
      <c r="AM66" s="2"/>
      <c r="AN66" s="48"/>
      <c r="AO66" t="s">
        <v>776</v>
      </c>
      <c r="AP66" s="122"/>
    </row>
    <row r="67" spans="1:42" s="123" customFormat="1" ht="24" x14ac:dyDescent="0.3">
      <c r="A67" s="4">
        <v>64</v>
      </c>
      <c r="B67" s="2" t="s">
        <v>731</v>
      </c>
      <c r="C67" s="2" t="s">
        <v>15</v>
      </c>
      <c r="D67" s="2">
        <v>106.610331</v>
      </c>
      <c r="E67" s="2">
        <v>10.845826000000001</v>
      </c>
      <c r="F67" s="2" t="s">
        <v>732</v>
      </c>
      <c r="G67" s="34" t="s">
        <v>356</v>
      </c>
      <c r="H67" s="27" t="s">
        <v>901</v>
      </c>
      <c r="I67" s="34" t="s">
        <v>906</v>
      </c>
      <c r="J67" s="125">
        <v>45397</v>
      </c>
      <c r="K67" s="20">
        <f t="shared" si="1"/>
        <v>47222</v>
      </c>
      <c r="L67" s="34"/>
      <c r="M67" s="9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2" t="s">
        <v>920</v>
      </c>
      <c r="Z67" s="102">
        <v>5000000</v>
      </c>
      <c r="AA67" s="102"/>
      <c r="AB67" s="95">
        <v>9500000</v>
      </c>
      <c r="AC67" s="102">
        <v>0</v>
      </c>
      <c r="AD67" s="156">
        <v>0</v>
      </c>
      <c r="AE67" s="87" t="s">
        <v>745</v>
      </c>
      <c r="AF67" s="113" t="s">
        <v>79</v>
      </c>
      <c r="AG67" s="120"/>
      <c r="AH67" s="121" t="s">
        <v>733</v>
      </c>
      <c r="AI67" s="119" t="s">
        <v>734</v>
      </c>
      <c r="AJ67" s="112" t="s">
        <v>401</v>
      </c>
      <c r="AK67" s="2" t="s">
        <v>735</v>
      </c>
      <c r="AL67" s="2">
        <v>22</v>
      </c>
      <c r="AM67" s="2">
        <v>6</v>
      </c>
      <c r="AN67" s="48"/>
      <c r="AO67" t="s">
        <v>776</v>
      </c>
      <c r="AP67" s="122"/>
    </row>
    <row r="68" spans="1:42" s="123" customFormat="1" ht="36" x14ac:dyDescent="0.3">
      <c r="A68" s="4">
        <v>65</v>
      </c>
      <c r="B68" s="2" t="s">
        <v>738</v>
      </c>
      <c r="C68" s="2" t="s">
        <v>291</v>
      </c>
      <c r="D68" s="2">
        <v>106.695172</v>
      </c>
      <c r="E68" s="2">
        <v>10.842267</v>
      </c>
      <c r="F68" s="2" t="s">
        <v>739</v>
      </c>
      <c r="G68" s="34" t="s">
        <v>357</v>
      </c>
      <c r="H68" s="27" t="s">
        <v>901</v>
      </c>
      <c r="I68" s="25" t="s">
        <v>901</v>
      </c>
      <c r="J68" s="125">
        <v>45388</v>
      </c>
      <c r="K68" s="20">
        <f t="shared" si="1"/>
        <v>47213</v>
      </c>
      <c r="L68" s="34"/>
      <c r="M68" s="9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2" t="s">
        <v>908</v>
      </c>
      <c r="Z68" s="102">
        <v>4000000</v>
      </c>
      <c r="AA68" s="102"/>
      <c r="AB68" s="95">
        <v>6400000</v>
      </c>
      <c r="AC68" s="102">
        <v>0</v>
      </c>
      <c r="AD68" s="156">
        <v>0</v>
      </c>
      <c r="AE68" s="87" t="s">
        <v>742</v>
      </c>
      <c r="AF68" s="113" t="s">
        <v>79</v>
      </c>
      <c r="AG68" s="120"/>
      <c r="AH68" s="121" t="s">
        <v>741</v>
      </c>
      <c r="AI68" s="119" t="s">
        <v>740</v>
      </c>
      <c r="AJ68" s="112" t="s">
        <v>743</v>
      </c>
      <c r="AK68" s="2" t="s">
        <v>744</v>
      </c>
      <c r="AL68" s="2">
        <v>13</v>
      </c>
      <c r="AM68" s="2">
        <v>6</v>
      </c>
      <c r="AN68" s="48"/>
      <c r="AO68" t="s">
        <v>776</v>
      </c>
      <c r="AP68" s="122"/>
    </row>
    <row r="69" spans="1:42" s="123" customFormat="1" ht="24" x14ac:dyDescent="0.3">
      <c r="A69" s="4">
        <v>66</v>
      </c>
      <c r="B69" s="2" t="s">
        <v>748</v>
      </c>
      <c r="C69" s="2" t="s">
        <v>15</v>
      </c>
      <c r="D69" s="2">
        <v>106.608891</v>
      </c>
      <c r="E69" s="2">
        <v>10.858193999999999</v>
      </c>
      <c r="F69" s="2" t="s">
        <v>761</v>
      </c>
      <c r="G69" s="34" t="s">
        <v>356</v>
      </c>
      <c r="H69" s="27" t="s">
        <v>901</v>
      </c>
      <c r="I69" s="25" t="s">
        <v>901</v>
      </c>
      <c r="J69" s="125">
        <v>45465</v>
      </c>
      <c r="K69" s="20">
        <f t="shared" ref="K69:K102" si="3">EDATE(J69,60)-1</f>
        <v>47290</v>
      </c>
      <c r="L69" s="34"/>
      <c r="M69" s="9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2" t="s">
        <v>921</v>
      </c>
      <c r="Z69" s="102">
        <v>5000000</v>
      </c>
      <c r="AA69" s="102"/>
      <c r="AB69" s="95">
        <v>9000000</v>
      </c>
      <c r="AC69" s="102">
        <v>0</v>
      </c>
      <c r="AD69" s="156">
        <v>0</v>
      </c>
      <c r="AE69" s="87" t="s">
        <v>767</v>
      </c>
      <c r="AF69" s="113" t="s">
        <v>79</v>
      </c>
      <c r="AG69" s="120"/>
      <c r="AH69" s="121" t="s">
        <v>762</v>
      </c>
      <c r="AI69" s="119" t="s">
        <v>763</v>
      </c>
      <c r="AJ69" s="112" t="s">
        <v>709</v>
      </c>
      <c r="AK69" s="2" t="s">
        <v>760</v>
      </c>
      <c r="AL69" s="2"/>
      <c r="AM69" s="2"/>
      <c r="AN69" s="48"/>
      <c r="AO69" t="s">
        <v>776</v>
      </c>
      <c r="AP69" s="122"/>
    </row>
    <row r="70" spans="1:42" s="123" customFormat="1" ht="24" x14ac:dyDescent="0.3">
      <c r="A70" s="4">
        <v>67</v>
      </c>
      <c r="B70" s="2" t="s">
        <v>749</v>
      </c>
      <c r="C70" s="2" t="s">
        <v>117</v>
      </c>
      <c r="D70" s="2">
        <v>106.58026</v>
      </c>
      <c r="E70" s="2">
        <v>10.693832</v>
      </c>
      <c r="F70" s="2" t="s">
        <v>756</v>
      </c>
      <c r="G70" s="34" t="s">
        <v>357</v>
      </c>
      <c r="H70" s="27" t="s">
        <v>901</v>
      </c>
      <c r="I70" s="25" t="s">
        <v>901</v>
      </c>
      <c r="J70" s="125">
        <v>45469</v>
      </c>
      <c r="K70" s="20">
        <f t="shared" si="3"/>
        <v>47294</v>
      </c>
      <c r="L70" s="34"/>
      <c r="M70" s="9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2" t="s">
        <v>908</v>
      </c>
      <c r="Z70" s="102">
        <v>4500000</v>
      </c>
      <c r="AA70" s="102"/>
      <c r="AB70" s="95">
        <v>6400000</v>
      </c>
      <c r="AC70" s="102">
        <v>0</v>
      </c>
      <c r="AD70" s="156">
        <v>0</v>
      </c>
      <c r="AE70" s="87"/>
      <c r="AF70" s="113" t="s">
        <v>79</v>
      </c>
      <c r="AG70" s="120"/>
      <c r="AH70" s="121" t="s">
        <v>758</v>
      </c>
      <c r="AI70" s="119" t="s">
        <v>757</v>
      </c>
      <c r="AJ70" s="112" t="s">
        <v>709</v>
      </c>
      <c r="AK70" s="2" t="s">
        <v>759</v>
      </c>
      <c r="AL70" s="2"/>
      <c r="AM70" s="2"/>
      <c r="AN70" s="48"/>
      <c r="AO70" t="s">
        <v>776</v>
      </c>
      <c r="AP70" s="122"/>
    </row>
    <row r="71" spans="1:42" s="123" customFormat="1" ht="24" x14ac:dyDescent="0.3">
      <c r="A71" s="4">
        <v>68</v>
      </c>
      <c r="B71" s="2" t="s">
        <v>750</v>
      </c>
      <c r="C71" s="2" t="s">
        <v>15</v>
      </c>
      <c r="D71" s="2">
        <v>106.648195</v>
      </c>
      <c r="E71" s="2">
        <v>10.901745</v>
      </c>
      <c r="F71" s="2" t="s">
        <v>752</v>
      </c>
      <c r="G71" s="34" t="s">
        <v>356</v>
      </c>
      <c r="H71" s="27" t="s">
        <v>901</v>
      </c>
      <c r="I71" s="25" t="s">
        <v>901</v>
      </c>
      <c r="J71" s="125">
        <v>45483</v>
      </c>
      <c r="K71" s="20">
        <f t="shared" si="3"/>
        <v>47308</v>
      </c>
      <c r="L71" s="34"/>
      <c r="M71" s="9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2" t="s">
        <v>908</v>
      </c>
      <c r="Z71" s="102">
        <v>5500000</v>
      </c>
      <c r="AA71" s="102"/>
      <c r="AB71" s="95">
        <v>9400000</v>
      </c>
      <c r="AC71" s="102">
        <v>0</v>
      </c>
      <c r="AD71" s="156">
        <v>0</v>
      </c>
      <c r="AE71" s="87"/>
      <c r="AF71" s="113" t="s">
        <v>79</v>
      </c>
      <c r="AG71" s="120"/>
      <c r="AH71" s="121" t="s">
        <v>765</v>
      </c>
      <c r="AI71" s="119" t="s">
        <v>764</v>
      </c>
      <c r="AJ71" s="112" t="s">
        <v>766</v>
      </c>
      <c r="AK71" s="2" t="s">
        <v>753</v>
      </c>
      <c r="AL71" s="2">
        <v>12</v>
      </c>
      <c r="AM71" s="2">
        <v>12</v>
      </c>
      <c r="AN71" s="48"/>
      <c r="AO71" t="s">
        <v>776</v>
      </c>
      <c r="AP71" s="122"/>
    </row>
    <row r="72" spans="1:42" s="123" customFormat="1" ht="24" x14ac:dyDescent="0.3">
      <c r="A72" s="4">
        <v>69</v>
      </c>
      <c r="B72" s="2" t="s">
        <v>751</v>
      </c>
      <c r="C72" s="2" t="s">
        <v>230</v>
      </c>
      <c r="D72" s="2">
        <v>106.599693</v>
      </c>
      <c r="E72" s="2">
        <v>10.779717</v>
      </c>
      <c r="F72" s="2" t="s">
        <v>754</v>
      </c>
      <c r="G72" s="34" t="s">
        <v>356</v>
      </c>
      <c r="H72" s="27" t="s">
        <v>901</v>
      </c>
      <c r="I72" s="25" t="s">
        <v>901</v>
      </c>
      <c r="J72" s="125">
        <v>45483</v>
      </c>
      <c r="K72" s="20">
        <f t="shared" si="3"/>
        <v>47308</v>
      </c>
      <c r="L72" s="34"/>
      <c r="M72" s="9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2" t="s">
        <v>908</v>
      </c>
      <c r="Z72" s="102">
        <v>5000000</v>
      </c>
      <c r="AA72" s="102"/>
      <c r="AB72" s="95">
        <v>9400000</v>
      </c>
      <c r="AC72" s="102">
        <v>0</v>
      </c>
      <c r="AD72" s="156">
        <v>0</v>
      </c>
      <c r="AE72" s="87"/>
      <c r="AF72" s="113" t="s">
        <v>79</v>
      </c>
      <c r="AG72" s="120"/>
      <c r="AH72" s="121" t="s">
        <v>777</v>
      </c>
      <c r="AI72" s="119" t="s">
        <v>778</v>
      </c>
      <c r="AJ72" s="112" t="s">
        <v>779</v>
      </c>
      <c r="AK72" s="2" t="s">
        <v>755</v>
      </c>
      <c r="AL72" s="2">
        <v>11</v>
      </c>
      <c r="AM72" s="2">
        <v>12</v>
      </c>
      <c r="AN72" s="48"/>
      <c r="AO72" t="s">
        <v>776</v>
      </c>
      <c r="AP72" s="122"/>
    </row>
    <row r="73" spans="1:42" s="123" customFormat="1" ht="24" x14ac:dyDescent="0.3">
      <c r="A73" s="4">
        <v>70</v>
      </c>
      <c r="B73" s="2" t="s">
        <v>746</v>
      </c>
      <c r="C73" s="2" t="s">
        <v>32</v>
      </c>
      <c r="D73" s="2">
        <v>106.699208</v>
      </c>
      <c r="E73" s="2">
        <v>10.805695099999999</v>
      </c>
      <c r="F73" s="2" t="s">
        <v>769</v>
      </c>
      <c r="G73" s="34" t="s">
        <v>357</v>
      </c>
      <c r="H73" s="27" t="s">
        <v>901</v>
      </c>
      <c r="I73" s="25" t="s">
        <v>901</v>
      </c>
      <c r="J73" s="125">
        <v>45373</v>
      </c>
      <c r="K73" s="20">
        <f t="shared" si="3"/>
        <v>47198</v>
      </c>
      <c r="L73" s="34"/>
      <c r="M73" s="9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2" t="s">
        <v>908</v>
      </c>
      <c r="Z73" s="102">
        <v>4000000</v>
      </c>
      <c r="AA73" s="102"/>
      <c r="AB73" s="95">
        <v>6700000</v>
      </c>
      <c r="AC73" s="102">
        <v>0</v>
      </c>
      <c r="AD73" s="156">
        <v>0</v>
      </c>
      <c r="AE73" s="87"/>
      <c r="AF73" s="113" t="s">
        <v>79</v>
      </c>
      <c r="AG73" s="120"/>
      <c r="AH73" s="121" t="s">
        <v>703</v>
      </c>
      <c r="AI73" s="119" t="s">
        <v>704</v>
      </c>
      <c r="AJ73" s="112" t="s">
        <v>705</v>
      </c>
      <c r="AK73" s="2" t="s">
        <v>706</v>
      </c>
      <c r="AL73" s="2"/>
      <c r="AM73" s="2"/>
      <c r="AN73" s="48"/>
      <c r="AO73" t="s">
        <v>776</v>
      </c>
      <c r="AP73" s="122"/>
    </row>
    <row r="74" spans="1:42" s="123" customFormat="1" ht="24" x14ac:dyDescent="0.3">
      <c r="A74" s="4">
        <v>71</v>
      </c>
      <c r="B74" s="2" t="s">
        <v>615</v>
      </c>
      <c r="C74" s="2" t="s">
        <v>770</v>
      </c>
      <c r="D74" s="2">
        <v>106.69146499999999</v>
      </c>
      <c r="E74" s="2">
        <v>10.760405</v>
      </c>
      <c r="F74" s="2" t="s">
        <v>771</v>
      </c>
      <c r="G74" s="34" t="s">
        <v>357</v>
      </c>
      <c r="H74" s="27" t="s">
        <v>901</v>
      </c>
      <c r="I74" s="25" t="s">
        <v>901</v>
      </c>
      <c r="J74" s="125">
        <v>45078</v>
      </c>
      <c r="K74" s="20">
        <f t="shared" si="3"/>
        <v>46904</v>
      </c>
      <c r="L74" s="34"/>
      <c r="M74" s="9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2" t="s">
        <v>908</v>
      </c>
      <c r="Z74" s="102">
        <v>5500000</v>
      </c>
      <c r="AA74" s="102"/>
      <c r="AB74" s="95">
        <v>7500000</v>
      </c>
      <c r="AC74" s="102">
        <v>0</v>
      </c>
      <c r="AD74" s="156">
        <v>0</v>
      </c>
      <c r="AE74" s="87"/>
      <c r="AF74" s="113" t="s">
        <v>79</v>
      </c>
      <c r="AG74" s="120"/>
      <c r="AH74" s="121" t="s">
        <v>672</v>
      </c>
      <c r="AI74" s="119" t="s">
        <v>673</v>
      </c>
      <c r="AJ74" s="112" t="s">
        <v>674</v>
      </c>
      <c r="AK74" s="2" t="s">
        <v>675</v>
      </c>
      <c r="AL74" s="2"/>
      <c r="AM74" s="2"/>
      <c r="AN74" s="48"/>
      <c r="AO74" t="s">
        <v>774</v>
      </c>
      <c r="AP74" s="122"/>
    </row>
    <row r="75" spans="1:42" s="123" customFormat="1" ht="24" x14ac:dyDescent="0.3">
      <c r="A75" s="4">
        <v>72</v>
      </c>
      <c r="B75" s="2" t="s">
        <v>780</v>
      </c>
      <c r="C75" s="2" t="s">
        <v>32</v>
      </c>
      <c r="D75" s="2">
        <v>106.70027</v>
      </c>
      <c r="E75" s="2">
        <v>10.828835</v>
      </c>
      <c r="F75" s="2" t="s">
        <v>781</v>
      </c>
      <c r="G75" s="34" t="s">
        <v>356</v>
      </c>
      <c r="H75" s="27" t="s">
        <v>901</v>
      </c>
      <c r="I75" s="25" t="s">
        <v>901</v>
      </c>
      <c r="J75" s="125">
        <v>45469</v>
      </c>
      <c r="K75" s="20">
        <f t="shared" si="3"/>
        <v>47294</v>
      </c>
      <c r="L75" s="34"/>
      <c r="M75" s="9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2" t="s">
        <v>908</v>
      </c>
      <c r="Z75" s="102">
        <v>6000000</v>
      </c>
      <c r="AA75" s="102"/>
      <c r="AB75" s="95">
        <v>10500000</v>
      </c>
      <c r="AC75" s="102">
        <v>0</v>
      </c>
      <c r="AD75" s="156">
        <v>0</v>
      </c>
      <c r="AE75" s="87" t="s">
        <v>782</v>
      </c>
      <c r="AF75" s="113" t="s">
        <v>79</v>
      </c>
      <c r="AG75" s="120"/>
      <c r="AH75" s="121" t="s">
        <v>783</v>
      </c>
      <c r="AI75" s="119" t="s">
        <v>784</v>
      </c>
      <c r="AJ75" s="112" t="s">
        <v>779</v>
      </c>
      <c r="AK75" s="2" t="s">
        <v>785</v>
      </c>
      <c r="AL75" s="2" t="s">
        <v>786</v>
      </c>
      <c r="AM75" s="2">
        <v>9</v>
      </c>
      <c r="AN75" s="48"/>
      <c r="AO75" t="s">
        <v>776</v>
      </c>
      <c r="AP75" s="122"/>
    </row>
    <row r="76" spans="1:42" s="123" customFormat="1" ht="24" x14ac:dyDescent="0.3">
      <c r="A76" s="4">
        <v>73</v>
      </c>
      <c r="B76" s="2" t="s">
        <v>787</v>
      </c>
      <c r="C76" s="2" t="s">
        <v>157</v>
      </c>
      <c r="D76" s="2">
        <v>106.66424809999999</v>
      </c>
      <c r="E76" s="2">
        <v>10.790502399999999</v>
      </c>
      <c r="F76" s="2" t="s">
        <v>788</v>
      </c>
      <c r="G76" s="34" t="s">
        <v>357</v>
      </c>
      <c r="H76" s="27" t="s">
        <v>901</v>
      </c>
      <c r="I76" s="25" t="s">
        <v>901</v>
      </c>
      <c r="J76" s="125" t="s">
        <v>908</v>
      </c>
      <c r="K76" s="125" t="s">
        <v>908</v>
      </c>
      <c r="L76" s="34"/>
      <c r="M76" s="9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2" t="s">
        <v>908</v>
      </c>
      <c r="Z76" s="102">
        <v>4000000</v>
      </c>
      <c r="AA76" s="102"/>
      <c r="AB76" s="95">
        <v>6400000</v>
      </c>
      <c r="AC76" s="102">
        <v>0</v>
      </c>
      <c r="AD76" s="156">
        <v>0</v>
      </c>
      <c r="AE76" s="87" t="s">
        <v>782</v>
      </c>
      <c r="AF76" s="113" t="s">
        <v>79</v>
      </c>
      <c r="AG76" s="120"/>
      <c r="AH76" s="121" t="s">
        <v>789</v>
      </c>
      <c r="AI76" s="119" t="s">
        <v>790</v>
      </c>
      <c r="AJ76" s="112" t="s">
        <v>791</v>
      </c>
      <c r="AK76" s="2" t="s">
        <v>792</v>
      </c>
      <c r="AL76" s="2" t="s">
        <v>793</v>
      </c>
      <c r="AM76" s="2">
        <v>6</v>
      </c>
      <c r="AN76" s="48"/>
      <c r="AO76" t="s">
        <v>776</v>
      </c>
      <c r="AP76" s="122"/>
    </row>
    <row r="77" spans="1:42" s="123" customFormat="1" ht="24" x14ac:dyDescent="0.3">
      <c r="A77" s="4">
        <v>74</v>
      </c>
      <c r="B77" s="2" t="s">
        <v>796</v>
      </c>
      <c r="C77" s="2" t="s">
        <v>581</v>
      </c>
      <c r="D77" s="2">
        <v>106.787966</v>
      </c>
      <c r="E77" s="2">
        <v>10.769964999999999</v>
      </c>
      <c r="F77" s="2" t="s">
        <v>795</v>
      </c>
      <c r="G77" s="34" t="s">
        <v>356</v>
      </c>
      <c r="H77" s="27" t="s">
        <v>901</v>
      </c>
      <c r="I77" s="25" t="s">
        <v>901</v>
      </c>
      <c r="J77" s="125">
        <v>45616</v>
      </c>
      <c r="K77" s="20">
        <f t="shared" si="3"/>
        <v>47441</v>
      </c>
      <c r="L77" s="34"/>
      <c r="M77" s="9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2" t="s">
        <v>908</v>
      </c>
      <c r="Z77" s="102">
        <v>7000000</v>
      </c>
      <c r="AA77" s="102"/>
      <c r="AB77" s="95">
        <v>11400000</v>
      </c>
      <c r="AC77" s="102">
        <v>0</v>
      </c>
      <c r="AD77" s="156">
        <v>0</v>
      </c>
      <c r="AE77" s="87" t="s">
        <v>782</v>
      </c>
      <c r="AF77" s="113" t="s">
        <v>79</v>
      </c>
      <c r="AG77" s="120"/>
      <c r="AH77" s="121" t="s">
        <v>798</v>
      </c>
      <c r="AI77" s="119" t="s">
        <v>797</v>
      </c>
      <c r="AJ77" s="112" t="s">
        <v>799</v>
      </c>
      <c r="AK77" s="2" t="s">
        <v>794</v>
      </c>
      <c r="AL77" s="2" t="s">
        <v>793</v>
      </c>
      <c r="AM77" s="2">
        <v>9</v>
      </c>
      <c r="AN77" s="48"/>
      <c r="AO77" t="s">
        <v>776</v>
      </c>
      <c r="AP77" s="122"/>
    </row>
    <row r="78" spans="1:42" s="123" customFormat="1" ht="24" x14ac:dyDescent="0.3">
      <c r="A78" s="4">
        <v>75</v>
      </c>
      <c r="B78" s="2" t="s">
        <v>800</v>
      </c>
      <c r="C78" s="2" t="s">
        <v>32</v>
      </c>
      <c r="D78" s="2">
        <v>106.715318</v>
      </c>
      <c r="E78" s="2">
        <v>10.795153000000001</v>
      </c>
      <c r="F78" s="2" t="s">
        <v>810</v>
      </c>
      <c r="G78" s="34" t="s">
        <v>357</v>
      </c>
      <c r="H78" s="27" t="s">
        <v>901</v>
      </c>
      <c r="I78" s="25" t="s">
        <v>901</v>
      </c>
      <c r="J78" s="125">
        <v>45638</v>
      </c>
      <c r="K78" s="20">
        <f t="shared" si="3"/>
        <v>47463</v>
      </c>
      <c r="L78" s="34"/>
      <c r="M78" s="9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2" t="s">
        <v>908</v>
      </c>
      <c r="Z78" s="102">
        <v>4000000</v>
      </c>
      <c r="AA78" s="102">
        <v>4400000</v>
      </c>
      <c r="AB78" s="95">
        <v>6400000</v>
      </c>
      <c r="AC78" s="102">
        <v>0</v>
      </c>
      <c r="AD78" s="156">
        <v>0</v>
      </c>
      <c r="AE78" s="87" t="s">
        <v>808</v>
      </c>
      <c r="AF78" s="113" t="s">
        <v>79</v>
      </c>
      <c r="AG78" s="120"/>
      <c r="AH78" s="121" t="s">
        <v>807</v>
      </c>
      <c r="AI78" s="119" t="s">
        <v>867</v>
      </c>
      <c r="AJ78" s="112" t="s">
        <v>705</v>
      </c>
      <c r="AK78" s="2" t="s">
        <v>806</v>
      </c>
      <c r="AL78" s="2"/>
      <c r="AM78" s="2">
        <v>6</v>
      </c>
      <c r="AN78" s="48"/>
      <c r="AO78" t="s">
        <v>776</v>
      </c>
      <c r="AP78" s="122"/>
    </row>
    <row r="79" spans="1:42" s="123" customFormat="1" ht="24" x14ac:dyDescent="0.3">
      <c r="A79" s="4">
        <v>76</v>
      </c>
      <c r="B79" s="2" t="s">
        <v>801</v>
      </c>
      <c r="C79" s="2" t="s">
        <v>157</v>
      </c>
      <c r="D79" s="2">
        <v>106.6566996</v>
      </c>
      <c r="E79" s="2">
        <v>10.793421199999999</v>
      </c>
      <c r="F79" s="2" t="s">
        <v>802</v>
      </c>
      <c r="G79" s="34" t="s">
        <v>357</v>
      </c>
      <c r="H79" s="27" t="s">
        <v>901</v>
      </c>
      <c r="I79" s="25" t="s">
        <v>901</v>
      </c>
      <c r="J79" s="125" t="s">
        <v>908</v>
      </c>
      <c r="K79" s="125" t="s">
        <v>908</v>
      </c>
      <c r="L79" s="34"/>
      <c r="M79" s="9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2" t="s">
        <v>908</v>
      </c>
      <c r="Z79" s="102">
        <v>4000000</v>
      </c>
      <c r="AA79" s="102">
        <v>4500000</v>
      </c>
      <c r="AB79" s="95">
        <v>6500000</v>
      </c>
      <c r="AC79" s="102">
        <v>0</v>
      </c>
      <c r="AD79" s="156">
        <v>0</v>
      </c>
      <c r="AE79" s="87" t="s">
        <v>809</v>
      </c>
      <c r="AF79" s="113" t="s">
        <v>79</v>
      </c>
      <c r="AG79" s="120"/>
      <c r="AH79" s="121" t="s">
        <v>803</v>
      </c>
      <c r="AI79" s="119" t="s">
        <v>804</v>
      </c>
      <c r="AJ79" s="112" t="s">
        <v>171</v>
      </c>
      <c r="AK79" s="2" t="s">
        <v>805</v>
      </c>
      <c r="AL79" s="2"/>
      <c r="AM79" s="2">
        <v>6</v>
      </c>
      <c r="AN79" s="48"/>
      <c r="AO79" t="s">
        <v>776</v>
      </c>
      <c r="AP79" s="122"/>
    </row>
    <row r="80" spans="1:42" s="123" customFormat="1" ht="24" x14ac:dyDescent="0.3">
      <c r="A80" s="4">
        <v>77</v>
      </c>
      <c r="B80" s="2" t="s">
        <v>812</v>
      </c>
      <c r="C80" s="2" t="s">
        <v>117</v>
      </c>
      <c r="D80" s="2">
        <v>106.652019</v>
      </c>
      <c r="E80" s="2">
        <v>10.706345000000001</v>
      </c>
      <c r="F80" s="2" t="s">
        <v>813</v>
      </c>
      <c r="G80" s="34" t="s">
        <v>356</v>
      </c>
      <c r="H80" s="27" t="s">
        <v>901</v>
      </c>
      <c r="I80" s="25" t="s">
        <v>901</v>
      </c>
      <c r="J80" s="125">
        <v>45705</v>
      </c>
      <c r="K80" s="20">
        <f t="shared" si="3"/>
        <v>47530</v>
      </c>
      <c r="L80" s="34"/>
      <c r="M80" s="9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2" t="s">
        <v>908</v>
      </c>
      <c r="Z80" s="102">
        <v>5000000</v>
      </c>
      <c r="AA80" s="102">
        <v>6500000</v>
      </c>
      <c r="AB80" s="95">
        <v>9300000</v>
      </c>
      <c r="AC80" s="102">
        <v>0</v>
      </c>
      <c r="AD80" s="156">
        <v>0</v>
      </c>
      <c r="AE80" s="87" t="s">
        <v>809</v>
      </c>
      <c r="AF80" s="113" t="s">
        <v>79</v>
      </c>
      <c r="AG80" s="120"/>
      <c r="AH80" s="121" t="s">
        <v>814</v>
      </c>
      <c r="AI80" s="119" t="s">
        <v>815</v>
      </c>
      <c r="AJ80" s="112" t="s">
        <v>154</v>
      </c>
      <c r="AK80" s="2" t="s">
        <v>816</v>
      </c>
      <c r="AL80" s="2"/>
      <c r="AM80" s="2"/>
      <c r="AN80" s="48"/>
      <c r="AO80">
        <v>2025</v>
      </c>
      <c r="AP80" s="122"/>
    </row>
    <row r="81" spans="1:42" s="123" customFormat="1" ht="24" x14ac:dyDescent="0.3">
      <c r="A81" s="4">
        <v>78</v>
      </c>
      <c r="B81" s="2" t="s">
        <v>823</v>
      </c>
      <c r="C81" s="2" t="s">
        <v>66</v>
      </c>
      <c r="D81" s="2" t="s">
        <v>868</v>
      </c>
      <c r="E81" s="2" t="s">
        <v>869</v>
      </c>
      <c r="F81" s="2" t="s">
        <v>481</v>
      </c>
      <c r="G81" s="34" t="s">
        <v>903</v>
      </c>
      <c r="H81" s="27" t="s">
        <v>901</v>
      </c>
      <c r="I81" s="25" t="s">
        <v>901</v>
      </c>
      <c r="J81" s="125" t="s">
        <v>908</v>
      </c>
      <c r="K81" s="125" t="s">
        <v>908</v>
      </c>
      <c r="L81" s="34"/>
      <c r="M81" s="9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2" t="s">
        <v>908</v>
      </c>
      <c r="Z81" s="102">
        <v>0</v>
      </c>
      <c r="AA81" s="102"/>
      <c r="AB81" s="95">
        <v>1500000</v>
      </c>
      <c r="AC81" s="102">
        <v>0</v>
      </c>
      <c r="AD81" s="156">
        <v>0</v>
      </c>
      <c r="AE81" s="87"/>
      <c r="AF81" s="121" t="s">
        <v>909</v>
      </c>
      <c r="AG81" s="120"/>
      <c r="AH81" s="121" t="s">
        <v>909</v>
      </c>
      <c r="AI81" s="121" t="s">
        <v>909</v>
      </c>
      <c r="AJ81" s="121" t="s">
        <v>909</v>
      </c>
      <c r="AK81" s="121" t="s">
        <v>909</v>
      </c>
      <c r="AL81" s="2"/>
      <c r="AM81" s="2"/>
      <c r="AN81" s="48"/>
      <c r="AO81">
        <v>2025</v>
      </c>
      <c r="AP81" s="122"/>
    </row>
    <row r="82" spans="1:42" s="123" customFormat="1" ht="24" x14ac:dyDescent="0.3">
      <c r="A82" s="4">
        <v>79</v>
      </c>
      <c r="B82" s="2" t="s">
        <v>824</v>
      </c>
      <c r="C82" s="2" t="s">
        <v>66</v>
      </c>
      <c r="D82" s="2" t="s">
        <v>870</v>
      </c>
      <c r="E82" s="2" t="s">
        <v>869</v>
      </c>
      <c r="F82" s="2" t="s">
        <v>481</v>
      </c>
      <c r="G82" s="34" t="s">
        <v>903</v>
      </c>
      <c r="H82" s="27" t="s">
        <v>901</v>
      </c>
      <c r="I82" s="25" t="s">
        <v>901</v>
      </c>
      <c r="J82" s="125" t="s">
        <v>908</v>
      </c>
      <c r="K82" s="125" t="s">
        <v>908</v>
      </c>
      <c r="L82" s="34"/>
      <c r="M82" s="9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2" t="s">
        <v>908</v>
      </c>
      <c r="Z82" s="102">
        <v>0</v>
      </c>
      <c r="AA82" s="102"/>
      <c r="AB82" s="95">
        <v>1500000</v>
      </c>
      <c r="AC82" s="102">
        <v>0</v>
      </c>
      <c r="AD82" s="156">
        <v>0</v>
      </c>
      <c r="AE82" s="87"/>
      <c r="AF82" s="121" t="s">
        <v>909</v>
      </c>
      <c r="AG82" s="120"/>
      <c r="AH82" s="121" t="s">
        <v>909</v>
      </c>
      <c r="AI82" s="121" t="s">
        <v>909</v>
      </c>
      <c r="AJ82" s="121" t="s">
        <v>909</v>
      </c>
      <c r="AK82" s="121" t="s">
        <v>909</v>
      </c>
      <c r="AL82" s="2"/>
      <c r="AM82" s="2"/>
      <c r="AN82" s="48"/>
      <c r="AO82">
        <v>2025</v>
      </c>
      <c r="AP82" s="122"/>
    </row>
    <row r="83" spans="1:42" s="123" customFormat="1" ht="24" x14ac:dyDescent="0.3">
      <c r="A83" s="4">
        <v>80</v>
      </c>
      <c r="B83" s="2" t="s">
        <v>825</v>
      </c>
      <c r="C83" s="2" t="s">
        <v>66</v>
      </c>
      <c r="D83" s="2" t="s">
        <v>871</v>
      </c>
      <c r="E83" s="2" t="s">
        <v>872</v>
      </c>
      <c r="F83" s="2" t="s">
        <v>481</v>
      </c>
      <c r="G83" s="34" t="s">
        <v>903</v>
      </c>
      <c r="H83" s="27" t="s">
        <v>901</v>
      </c>
      <c r="I83" s="25" t="s">
        <v>901</v>
      </c>
      <c r="J83" s="125" t="s">
        <v>908</v>
      </c>
      <c r="K83" s="125" t="s">
        <v>908</v>
      </c>
      <c r="L83" s="34"/>
      <c r="M83" s="9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2" t="s">
        <v>908</v>
      </c>
      <c r="Z83" s="102">
        <v>0</v>
      </c>
      <c r="AA83" s="102"/>
      <c r="AB83" s="95">
        <v>1500000</v>
      </c>
      <c r="AC83" s="102">
        <v>0</v>
      </c>
      <c r="AD83" s="156">
        <v>0</v>
      </c>
      <c r="AE83" s="87"/>
      <c r="AF83" s="121" t="s">
        <v>909</v>
      </c>
      <c r="AG83" s="120"/>
      <c r="AH83" s="121" t="s">
        <v>909</v>
      </c>
      <c r="AI83" s="121" t="s">
        <v>909</v>
      </c>
      <c r="AJ83" s="121" t="s">
        <v>909</v>
      </c>
      <c r="AK83" s="121" t="s">
        <v>909</v>
      </c>
      <c r="AL83" s="2"/>
      <c r="AM83" s="2"/>
      <c r="AN83" s="48"/>
      <c r="AO83">
        <v>2025</v>
      </c>
      <c r="AP83" s="122"/>
    </row>
    <row r="84" spans="1:42" s="123" customFormat="1" ht="24" x14ac:dyDescent="0.3">
      <c r="A84" s="4">
        <v>81</v>
      </c>
      <c r="B84" s="2" t="s">
        <v>826</v>
      </c>
      <c r="C84" s="2" t="s">
        <v>66</v>
      </c>
      <c r="D84" s="2" t="s">
        <v>873</v>
      </c>
      <c r="E84" s="2" t="s">
        <v>874</v>
      </c>
      <c r="F84" s="2" t="s">
        <v>481</v>
      </c>
      <c r="G84" s="34" t="s">
        <v>903</v>
      </c>
      <c r="H84" s="27" t="s">
        <v>901</v>
      </c>
      <c r="I84" s="25" t="s">
        <v>901</v>
      </c>
      <c r="J84" s="125" t="s">
        <v>908</v>
      </c>
      <c r="K84" s="125" t="s">
        <v>908</v>
      </c>
      <c r="L84" s="34"/>
      <c r="M84" s="9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2" t="s">
        <v>908</v>
      </c>
      <c r="Z84" s="102">
        <v>0</v>
      </c>
      <c r="AA84" s="102"/>
      <c r="AB84" s="95">
        <v>1500000</v>
      </c>
      <c r="AC84" s="102">
        <v>0</v>
      </c>
      <c r="AD84" s="156">
        <v>0</v>
      </c>
      <c r="AE84" s="87"/>
      <c r="AF84" s="121" t="s">
        <v>909</v>
      </c>
      <c r="AG84" s="120"/>
      <c r="AH84" s="121" t="s">
        <v>909</v>
      </c>
      <c r="AI84" s="121" t="s">
        <v>909</v>
      </c>
      <c r="AJ84" s="121" t="s">
        <v>909</v>
      </c>
      <c r="AK84" s="121" t="s">
        <v>909</v>
      </c>
      <c r="AL84" s="2"/>
      <c r="AM84" s="2"/>
      <c r="AN84" s="48"/>
      <c r="AO84">
        <v>2025</v>
      </c>
      <c r="AP84" s="122"/>
    </row>
    <row r="85" spans="1:42" s="123" customFormat="1" ht="24" x14ac:dyDescent="0.3">
      <c r="A85" s="4">
        <v>82</v>
      </c>
      <c r="B85" s="2" t="s">
        <v>827</v>
      </c>
      <c r="C85" s="2" t="s">
        <v>66</v>
      </c>
      <c r="D85" s="2" t="s">
        <v>875</v>
      </c>
      <c r="E85" s="2" t="s">
        <v>876</v>
      </c>
      <c r="F85" s="2" t="s">
        <v>481</v>
      </c>
      <c r="G85" s="34" t="s">
        <v>903</v>
      </c>
      <c r="H85" s="27" t="s">
        <v>901</v>
      </c>
      <c r="I85" s="25" t="s">
        <v>901</v>
      </c>
      <c r="J85" s="125" t="s">
        <v>908</v>
      </c>
      <c r="K85" s="125" t="s">
        <v>908</v>
      </c>
      <c r="L85" s="34"/>
      <c r="M85" s="9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2" t="s">
        <v>908</v>
      </c>
      <c r="Z85" s="102">
        <v>0</v>
      </c>
      <c r="AA85" s="102"/>
      <c r="AB85" s="95">
        <v>1500000</v>
      </c>
      <c r="AC85" s="102">
        <v>0</v>
      </c>
      <c r="AD85" s="156">
        <v>0</v>
      </c>
      <c r="AE85" s="87"/>
      <c r="AF85" s="121" t="s">
        <v>909</v>
      </c>
      <c r="AG85" s="120"/>
      <c r="AH85" s="121" t="s">
        <v>909</v>
      </c>
      <c r="AI85" s="121" t="s">
        <v>909</v>
      </c>
      <c r="AJ85" s="121" t="s">
        <v>909</v>
      </c>
      <c r="AK85" s="121" t="s">
        <v>909</v>
      </c>
      <c r="AL85" s="2"/>
      <c r="AM85" s="2"/>
      <c r="AN85" s="48"/>
      <c r="AO85">
        <v>2025</v>
      </c>
      <c r="AP85" s="122"/>
    </row>
    <row r="86" spans="1:42" s="123" customFormat="1" ht="24" x14ac:dyDescent="0.3">
      <c r="A86" s="4">
        <v>83</v>
      </c>
      <c r="B86" s="2" t="s">
        <v>828</v>
      </c>
      <c r="C86" s="2" t="s">
        <v>66</v>
      </c>
      <c r="D86" s="2" t="s">
        <v>877</v>
      </c>
      <c r="E86" s="2" t="s">
        <v>878</v>
      </c>
      <c r="F86" s="2" t="s">
        <v>481</v>
      </c>
      <c r="G86" s="34" t="s">
        <v>903</v>
      </c>
      <c r="H86" s="27" t="s">
        <v>901</v>
      </c>
      <c r="I86" s="25" t="s">
        <v>901</v>
      </c>
      <c r="J86" s="125" t="s">
        <v>908</v>
      </c>
      <c r="K86" s="125" t="s">
        <v>908</v>
      </c>
      <c r="L86" s="34"/>
      <c r="M86" s="9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2" t="s">
        <v>908</v>
      </c>
      <c r="Z86" s="102">
        <v>0</v>
      </c>
      <c r="AA86" s="102"/>
      <c r="AB86" s="95">
        <v>1500000</v>
      </c>
      <c r="AC86" s="102">
        <v>0</v>
      </c>
      <c r="AD86" s="156">
        <v>0</v>
      </c>
      <c r="AE86" s="87"/>
      <c r="AF86" s="121" t="s">
        <v>909</v>
      </c>
      <c r="AG86" s="120"/>
      <c r="AH86" s="121" t="s">
        <v>909</v>
      </c>
      <c r="AI86" s="121" t="s">
        <v>909</v>
      </c>
      <c r="AJ86" s="121" t="s">
        <v>909</v>
      </c>
      <c r="AK86" s="121" t="s">
        <v>909</v>
      </c>
      <c r="AL86" s="2"/>
      <c r="AM86" s="2"/>
      <c r="AN86" s="48"/>
      <c r="AO86">
        <v>2025</v>
      </c>
      <c r="AP86" s="122"/>
    </row>
    <row r="87" spans="1:42" s="123" customFormat="1" ht="24" x14ac:dyDescent="0.3">
      <c r="A87" s="4">
        <v>84</v>
      </c>
      <c r="B87" s="2" t="s">
        <v>829</v>
      </c>
      <c r="C87" s="2" t="s">
        <v>66</v>
      </c>
      <c r="D87" s="2" t="s">
        <v>879</v>
      </c>
      <c r="E87" s="2" t="s">
        <v>880</v>
      </c>
      <c r="F87" s="2" t="s">
        <v>481</v>
      </c>
      <c r="G87" s="34" t="s">
        <v>903</v>
      </c>
      <c r="H87" s="27" t="s">
        <v>901</v>
      </c>
      <c r="I87" s="25" t="s">
        <v>901</v>
      </c>
      <c r="J87" s="125" t="s">
        <v>908</v>
      </c>
      <c r="K87" s="125" t="s">
        <v>908</v>
      </c>
      <c r="L87" s="34"/>
      <c r="M87" s="9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2" t="s">
        <v>908</v>
      </c>
      <c r="Z87" s="102">
        <v>0</v>
      </c>
      <c r="AA87" s="102"/>
      <c r="AB87" s="95">
        <v>1500000</v>
      </c>
      <c r="AC87" s="102">
        <v>0</v>
      </c>
      <c r="AD87" s="156">
        <v>0</v>
      </c>
      <c r="AE87" s="87"/>
      <c r="AF87" s="121" t="s">
        <v>909</v>
      </c>
      <c r="AG87" s="120"/>
      <c r="AH87" s="121" t="s">
        <v>909</v>
      </c>
      <c r="AI87" s="121" t="s">
        <v>909</v>
      </c>
      <c r="AJ87" s="121" t="s">
        <v>909</v>
      </c>
      <c r="AK87" s="121" t="s">
        <v>909</v>
      </c>
      <c r="AL87" s="2"/>
      <c r="AM87" s="2"/>
      <c r="AN87" s="48"/>
      <c r="AO87">
        <v>2025</v>
      </c>
      <c r="AP87" s="122"/>
    </row>
    <row r="88" spans="1:42" s="123" customFormat="1" ht="24" x14ac:dyDescent="0.3">
      <c r="A88" s="4">
        <v>85</v>
      </c>
      <c r="B88" s="2" t="s">
        <v>830</v>
      </c>
      <c r="C88" s="2" t="s">
        <v>66</v>
      </c>
      <c r="D88" s="2" t="s">
        <v>881</v>
      </c>
      <c r="E88" s="2" t="s">
        <v>882</v>
      </c>
      <c r="F88" s="2" t="s">
        <v>481</v>
      </c>
      <c r="G88" s="34" t="s">
        <v>903</v>
      </c>
      <c r="H88" s="27" t="s">
        <v>901</v>
      </c>
      <c r="I88" s="25" t="s">
        <v>901</v>
      </c>
      <c r="J88" s="125" t="s">
        <v>908</v>
      </c>
      <c r="K88" s="125" t="s">
        <v>908</v>
      </c>
      <c r="L88" s="34"/>
      <c r="M88" s="9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2" t="s">
        <v>908</v>
      </c>
      <c r="Z88" s="102">
        <v>0</v>
      </c>
      <c r="AA88" s="102"/>
      <c r="AB88" s="95">
        <v>1500000</v>
      </c>
      <c r="AC88" s="102">
        <v>0</v>
      </c>
      <c r="AD88" s="156">
        <v>0</v>
      </c>
      <c r="AE88" s="87"/>
      <c r="AF88" s="121" t="s">
        <v>909</v>
      </c>
      <c r="AG88" s="120"/>
      <c r="AH88" s="121" t="s">
        <v>909</v>
      </c>
      <c r="AI88" s="121" t="s">
        <v>909</v>
      </c>
      <c r="AJ88" s="121" t="s">
        <v>909</v>
      </c>
      <c r="AK88" s="121" t="s">
        <v>909</v>
      </c>
      <c r="AL88" s="2"/>
      <c r="AM88" s="2"/>
      <c r="AN88" s="48"/>
      <c r="AO88">
        <v>2025</v>
      </c>
      <c r="AP88" s="122"/>
    </row>
    <row r="89" spans="1:42" s="123" customFormat="1" x14ac:dyDescent="0.3">
      <c r="A89" s="4">
        <v>86</v>
      </c>
      <c r="B89" s="2" t="s">
        <v>831</v>
      </c>
      <c r="C89" s="2" t="s">
        <v>66</v>
      </c>
      <c r="D89" s="2" t="s">
        <v>883</v>
      </c>
      <c r="E89" s="2" t="s">
        <v>884</v>
      </c>
      <c r="F89" s="2" t="s">
        <v>835</v>
      </c>
      <c r="G89" s="34" t="s">
        <v>903</v>
      </c>
      <c r="H89" s="27" t="s">
        <v>901</v>
      </c>
      <c r="I89" s="25" t="s">
        <v>901</v>
      </c>
      <c r="J89" s="125" t="s">
        <v>908</v>
      </c>
      <c r="K89" s="125" t="s">
        <v>908</v>
      </c>
      <c r="L89" s="34"/>
      <c r="M89" s="9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2" t="s">
        <v>908</v>
      </c>
      <c r="Z89" s="102" t="s">
        <v>839</v>
      </c>
      <c r="AA89" s="102"/>
      <c r="AB89" s="95">
        <v>2200000</v>
      </c>
      <c r="AC89" s="102">
        <v>0</v>
      </c>
      <c r="AD89" s="156">
        <v>0</v>
      </c>
      <c r="AE89" s="87"/>
      <c r="AF89" s="121" t="s">
        <v>927</v>
      </c>
      <c r="AG89" s="120"/>
      <c r="AH89" s="121" t="s">
        <v>909</v>
      </c>
      <c r="AI89" s="121" t="s">
        <v>909</v>
      </c>
      <c r="AJ89" s="121" t="s">
        <v>909</v>
      </c>
      <c r="AK89" s="121" t="s">
        <v>909</v>
      </c>
      <c r="AL89" s="2"/>
      <c r="AM89" s="2"/>
      <c r="AN89" s="48"/>
      <c r="AO89">
        <v>2025</v>
      </c>
      <c r="AP89" s="122"/>
    </row>
    <row r="90" spans="1:42" s="123" customFormat="1" x14ac:dyDescent="0.3">
      <c r="A90" s="4">
        <v>87</v>
      </c>
      <c r="B90" s="2" t="s">
        <v>832</v>
      </c>
      <c r="C90" s="2" t="s">
        <v>66</v>
      </c>
      <c r="D90" s="2" t="s">
        <v>885</v>
      </c>
      <c r="E90" s="2" t="s">
        <v>886</v>
      </c>
      <c r="F90" s="2" t="s">
        <v>836</v>
      </c>
      <c r="G90" s="34" t="s">
        <v>903</v>
      </c>
      <c r="H90" s="27" t="s">
        <v>901</v>
      </c>
      <c r="I90" s="25" t="s">
        <v>901</v>
      </c>
      <c r="J90" s="125" t="s">
        <v>908</v>
      </c>
      <c r="K90" s="125" t="s">
        <v>908</v>
      </c>
      <c r="L90" s="34"/>
      <c r="M90" s="9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2" t="s">
        <v>908</v>
      </c>
      <c r="Z90" s="102" t="s">
        <v>839</v>
      </c>
      <c r="AA90" s="102"/>
      <c r="AB90" s="95">
        <v>2200000</v>
      </c>
      <c r="AC90" s="102">
        <v>0</v>
      </c>
      <c r="AD90" s="156">
        <v>0</v>
      </c>
      <c r="AE90" s="87"/>
      <c r="AF90" s="121" t="s">
        <v>927</v>
      </c>
      <c r="AG90" s="120"/>
      <c r="AH90" s="121" t="s">
        <v>909</v>
      </c>
      <c r="AI90" s="121" t="s">
        <v>909</v>
      </c>
      <c r="AJ90" s="121" t="s">
        <v>909</v>
      </c>
      <c r="AK90" s="121" t="s">
        <v>909</v>
      </c>
      <c r="AL90" s="2"/>
      <c r="AM90" s="2"/>
      <c r="AN90" s="48"/>
      <c r="AO90">
        <v>2025</v>
      </c>
      <c r="AP90" s="122"/>
    </row>
    <row r="91" spans="1:42" s="123" customFormat="1" x14ac:dyDescent="0.3">
      <c r="A91" s="4">
        <v>88</v>
      </c>
      <c r="B91" s="2" t="s">
        <v>833</v>
      </c>
      <c r="C91" s="2" t="s">
        <v>66</v>
      </c>
      <c r="D91" s="2" t="s">
        <v>887</v>
      </c>
      <c r="E91" s="2" t="s">
        <v>888</v>
      </c>
      <c r="F91" s="2" t="s">
        <v>837</v>
      </c>
      <c r="G91" s="34" t="s">
        <v>903</v>
      </c>
      <c r="H91" s="27" t="s">
        <v>901</v>
      </c>
      <c r="I91" s="25" t="s">
        <v>901</v>
      </c>
      <c r="J91" s="125" t="s">
        <v>908</v>
      </c>
      <c r="K91" s="125" t="s">
        <v>908</v>
      </c>
      <c r="L91" s="34"/>
      <c r="M91" s="9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2" t="s">
        <v>908</v>
      </c>
      <c r="Z91" s="102" t="s">
        <v>839</v>
      </c>
      <c r="AA91" s="102"/>
      <c r="AB91" s="95">
        <v>2200000</v>
      </c>
      <c r="AC91" s="102">
        <v>0</v>
      </c>
      <c r="AD91" s="156">
        <v>0</v>
      </c>
      <c r="AE91" s="87"/>
      <c r="AF91" s="121" t="s">
        <v>927</v>
      </c>
      <c r="AG91" s="120"/>
      <c r="AH91" s="121" t="s">
        <v>909</v>
      </c>
      <c r="AI91" s="121" t="s">
        <v>909</v>
      </c>
      <c r="AJ91" s="121" t="s">
        <v>909</v>
      </c>
      <c r="AK91" s="121" t="s">
        <v>909</v>
      </c>
      <c r="AL91" s="2"/>
      <c r="AM91" s="2"/>
      <c r="AN91" s="48"/>
      <c r="AO91">
        <v>2025</v>
      </c>
      <c r="AP91" s="122"/>
    </row>
    <row r="92" spans="1:42" s="123" customFormat="1" x14ac:dyDescent="0.3">
      <c r="A92" s="4">
        <v>89</v>
      </c>
      <c r="B92" s="2" t="s">
        <v>834</v>
      </c>
      <c r="C92" s="2" t="s">
        <v>66</v>
      </c>
      <c r="D92" s="2" t="s">
        <v>889</v>
      </c>
      <c r="E92" s="2" t="s">
        <v>890</v>
      </c>
      <c r="F92" s="2" t="s">
        <v>838</v>
      </c>
      <c r="G92" s="34" t="s">
        <v>903</v>
      </c>
      <c r="H92" s="27" t="s">
        <v>901</v>
      </c>
      <c r="I92" s="25" t="s">
        <v>901</v>
      </c>
      <c r="J92" s="125" t="s">
        <v>908</v>
      </c>
      <c r="K92" s="125" t="s">
        <v>908</v>
      </c>
      <c r="L92" s="34"/>
      <c r="M92" s="9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2" t="s">
        <v>908</v>
      </c>
      <c r="Z92" s="102" t="s">
        <v>839</v>
      </c>
      <c r="AA92" s="102"/>
      <c r="AB92" s="95">
        <v>2200000</v>
      </c>
      <c r="AC92" s="102">
        <v>0</v>
      </c>
      <c r="AD92" s="156">
        <v>0</v>
      </c>
      <c r="AE92" s="87"/>
      <c r="AF92" s="121" t="s">
        <v>927</v>
      </c>
      <c r="AG92" s="120"/>
      <c r="AH92" s="121" t="s">
        <v>909</v>
      </c>
      <c r="AI92" s="121" t="s">
        <v>909</v>
      </c>
      <c r="AJ92" s="121" t="s">
        <v>909</v>
      </c>
      <c r="AK92" s="121" t="s">
        <v>909</v>
      </c>
      <c r="AL92" s="2"/>
      <c r="AM92" s="2"/>
      <c r="AN92" s="48"/>
      <c r="AO92">
        <v>2025</v>
      </c>
      <c r="AP92" s="122"/>
    </row>
    <row r="93" spans="1:42" s="123" customFormat="1" ht="24" x14ac:dyDescent="0.3">
      <c r="A93" s="4">
        <v>90</v>
      </c>
      <c r="B93" s="2" t="s">
        <v>840</v>
      </c>
      <c r="C93" s="2" t="s">
        <v>15</v>
      </c>
      <c r="D93" s="2">
        <v>106.597342</v>
      </c>
      <c r="E93" s="2">
        <v>10.860189999999999</v>
      </c>
      <c r="F93" s="2" t="s">
        <v>841</v>
      </c>
      <c r="G93" s="34" t="s">
        <v>356</v>
      </c>
      <c r="H93" s="27" t="s">
        <v>901</v>
      </c>
      <c r="I93" s="25" t="s">
        <v>901</v>
      </c>
      <c r="J93" s="125">
        <v>45813</v>
      </c>
      <c r="K93" s="20">
        <f t="shared" si="3"/>
        <v>47638</v>
      </c>
      <c r="L93" s="34"/>
      <c r="M93" s="9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2" t="s">
        <v>922</v>
      </c>
      <c r="Z93" s="102">
        <v>5000000</v>
      </c>
      <c r="AA93" s="102">
        <v>6000000</v>
      </c>
      <c r="AB93" s="95">
        <v>9100000</v>
      </c>
      <c r="AC93" s="102">
        <v>0</v>
      </c>
      <c r="AD93" s="156">
        <v>0</v>
      </c>
      <c r="AE93" s="87">
        <v>45857</v>
      </c>
      <c r="AF93" s="113" t="s">
        <v>79</v>
      </c>
      <c r="AG93" s="120"/>
      <c r="AH93" s="121" t="s">
        <v>848</v>
      </c>
      <c r="AI93" s="119" t="s">
        <v>847</v>
      </c>
      <c r="AJ93" s="112" t="s">
        <v>154</v>
      </c>
      <c r="AK93" s="2" t="s">
        <v>849</v>
      </c>
      <c r="AL93" s="2"/>
      <c r="AM93" s="2">
        <v>9</v>
      </c>
      <c r="AN93" s="48"/>
      <c r="AO93">
        <v>2025</v>
      </c>
      <c r="AP93" s="122"/>
    </row>
    <row r="94" spans="1:42" s="123" customFormat="1" ht="33" customHeight="1" x14ac:dyDescent="0.3">
      <c r="A94" s="4">
        <v>91</v>
      </c>
      <c r="B94" s="2" t="s">
        <v>842</v>
      </c>
      <c r="C94" s="2" t="s">
        <v>230</v>
      </c>
      <c r="D94" s="2">
        <v>106.608164</v>
      </c>
      <c r="E94" s="2">
        <v>10.803616</v>
      </c>
      <c r="F94" s="2" t="s">
        <v>856</v>
      </c>
      <c r="G94" s="34" t="s">
        <v>356</v>
      </c>
      <c r="H94" s="27" t="s">
        <v>901</v>
      </c>
      <c r="I94" s="25" t="s">
        <v>901</v>
      </c>
      <c r="J94" s="125">
        <v>45809</v>
      </c>
      <c r="K94" s="20">
        <f t="shared" si="3"/>
        <v>47634</v>
      </c>
      <c r="L94" s="34"/>
      <c r="M94" s="9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2" t="s">
        <v>908</v>
      </c>
      <c r="Z94" s="102">
        <v>5000000</v>
      </c>
      <c r="AA94" s="102"/>
      <c r="AB94" s="95">
        <v>9900000</v>
      </c>
      <c r="AC94" s="102">
        <v>0</v>
      </c>
      <c r="AD94" s="156">
        <v>0</v>
      </c>
      <c r="AE94" s="87">
        <v>45870</v>
      </c>
      <c r="AF94" s="113" t="s">
        <v>79</v>
      </c>
      <c r="AG94" s="120"/>
      <c r="AH94" s="121" t="s">
        <v>858</v>
      </c>
      <c r="AI94" s="119" t="s">
        <v>857</v>
      </c>
      <c r="AJ94" s="112" t="s">
        <v>859</v>
      </c>
      <c r="AK94" s="2" t="s">
        <v>855</v>
      </c>
      <c r="AL94" s="2"/>
      <c r="AM94" s="2">
        <v>9</v>
      </c>
      <c r="AN94" s="48"/>
      <c r="AO94">
        <v>2025</v>
      </c>
      <c r="AP94" s="122"/>
    </row>
    <row r="95" spans="1:42" s="123" customFormat="1" ht="34.799999999999997" customHeight="1" x14ac:dyDescent="0.3">
      <c r="A95" s="4">
        <v>92</v>
      </c>
      <c r="B95" s="2" t="s">
        <v>844</v>
      </c>
      <c r="C95" s="2" t="s">
        <v>291</v>
      </c>
      <c r="D95" s="2">
        <v>106.6436025</v>
      </c>
      <c r="E95" s="2">
        <v>10.869358</v>
      </c>
      <c r="F95" s="2" t="s">
        <v>851</v>
      </c>
      <c r="G95" s="34" t="s">
        <v>357</v>
      </c>
      <c r="H95" s="27" t="s">
        <v>901</v>
      </c>
      <c r="I95" s="25" t="s">
        <v>901</v>
      </c>
      <c r="J95" s="125">
        <v>45785</v>
      </c>
      <c r="K95" s="20">
        <f t="shared" si="3"/>
        <v>47610</v>
      </c>
      <c r="L95" s="34"/>
      <c r="M95" s="9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2" t="s">
        <v>908</v>
      </c>
      <c r="Z95" s="102">
        <v>4000000</v>
      </c>
      <c r="AA95" s="102"/>
      <c r="AB95" s="95">
        <v>6250000</v>
      </c>
      <c r="AC95" s="102">
        <v>0</v>
      </c>
      <c r="AD95" s="156">
        <v>0</v>
      </c>
      <c r="AE95" s="87">
        <v>45846</v>
      </c>
      <c r="AF95" s="113" t="s">
        <v>79</v>
      </c>
      <c r="AG95" s="120"/>
      <c r="AH95" s="121" t="s">
        <v>853</v>
      </c>
      <c r="AI95" s="121" t="s">
        <v>852</v>
      </c>
      <c r="AJ95" s="112" t="s">
        <v>854</v>
      </c>
      <c r="AK95" s="2" t="s">
        <v>850</v>
      </c>
      <c r="AL95" s="2"/>
      <c r="AM95" s="2">
        <v>6</v>
      </c>
      <c r="AN95" s="48"/>
      <c r="AO95">
        <v>2025</v>
      </c>
      <c r="AP95" s="122"/>
    </row>
    <row r="96" spans="1:42" s="123" customFormat="1" ht="34.799999999999997" customHeight="1" x14ac:dyDescent="0.3">
      <c r="A96" s="4">
        <v>93</v>
      </c>
      <c r="B96" s="2" t="s">
        <v>988</v>
      </c>
      <c r="C96" s="2" t="s">
        <v>66</v>
      </c>
      <c r="D96" s="2">
        <v>106.683274</v>
      </c>
      <c r="E96" s="2">
        <v>10.837393199999999</v>
      </c>
      <c r="F96" s="2" t="s">
        <v>845</v>
      </c>
      <c r="G96" s="34" t="s">
        <v>357</v>
      </c>
      <c r="H96" s="27" t="s">
        <v>901</v>
      </c>
      <c r="I96" s="25" t="s">
        <v>901</v>
      </c>
      <c r="J96" s="125">
        <v>45804</v>
      </c>
      <c r="K96" s="20">
        <f t="shared" si="3"/>
        <v>47629</v>
      </c>
      <c r="L96" s="34"/>
      <c r="M96" s="9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2" t="s">
        <v>908</v>
      </c>
      <c r="Z96" s="102">
        <v>4000000</v>
      </c>
      <c r="AA96" s="102"/>
      <c r="AB96" s="95">
        <v>6400000</v>
      </c>
      <c r="AC96" s="102">
        <v>0</v>
      </c>
      <c r="AD96" s="156">
        <v>0</v>
      </c>
      <c r="AE96" s="87">
        <v>45804</v>
      </c>
      <c r="AF96" s="113" t="s">
        <v>79</v>
      </c>
      <c r="AG96" s="120"/>
      <c r="AH96" s="121" t="s">
        <v>821</v>
      </c>
      <c r="AI96" s="121" t="s">
        <v>820</v>
      </c>
      <c r="AJ96" s="112" t="s">
        <v>846</v>
      </c>
      <c r="AK96" s="2" t="s">
        <v>822</v>
      </c>
      <c r="AL96" s="2"/>
      <c r="AM96" s="2">
        <v>6</v>
      </c>
      <c r="AN96" s="48"/>
      <c r="AO96">
        <v>2025</v>
      </c>
      <c r="AP96" s="122"/>
    </row>
    <row r="97" spans="1:42" s="123" customFormat="1" ht="34.799999999999997" customHeight="1" x14ac:dyDescent="0.3">
      <c r="A97" s="4">
        <v>94</v>
      </c>
      <c r="B97" s="2" t="s">
        <v>817</v>
      </c>
      <c r="C97" s="2" t="s">
        <v>117</v>
      </c>
      <c r="D97" s="2">
        <v>106.518545</v>
      </c>
      <c r="E97" s="2">
        <v>10.738443</v>
      </c>
      <c r="F97" s="2" t="s">
        <v>860</v>
      </c>
      <c r="G97" s="34" t="s">
        <v>356</v>
      </c>
      <c r="H97" s="27" t="s">
        <v>901</v>
      </c>
      <c r="I97" s="25" t="s">
        <v>901</v>
      </c>
      <c r="J97" s="125">
        <v>45738</v>
      </c>
      <c r="K97" s="20">
        <f t="shared" si="3"/>
        <v>47563</v>
      </c>
      <c r="L97" s="34"/>
      <c r="M97" s="9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2" t="s">
        <v>923</v>
      </c>
      <c r="Z97" s="102">
        <v>3000000</v>
      </c>
      <c r="AA97" s="102"/>
      <c r="AB97" s="95">
        <v>13400000</v>
      </c>
      <c r="AC97" s="102">
        <v>0</v>
      </c>
      <c r="AD97" s="156">
        <v>0</v>
      </c>
      <c r="AE97" s="87">
        <v>45799</v>
      </c>
      <c r="AF97" s="113" t="s">
        <v>79</v>
      </c>
      <c r="AG97" s="120">
        <f>EDATE(AE97,6)</f>
        <v>45983</v>
      </c>
      <c r="AH97" s="121" t="s">
        <v>818</v>
      </c>
      <c r="AI97" s="121" t="s">
        <v>819</v>
      </c>
      <c r="AJ97" s="112" t="s">
        <v>171</v>
      </c>
      <c r="AK97" s="2" t="s">
        <v>861</v>
      </c>
      <c r="AL97" s="2">
        <v>0</v>
      </c>
      <c r="AM97" s="2">
        <v>30</v>
      </c>
      <c r="AN97" s="48"/>
      <c r="AO97">
        <v>2025</v>
      </c>
      <c r="AP97" s="122"/>
    </row>
    <row r="98" spans="1:42" s="123" customFormat="1" ht="24" x14ac:dyDescent="0.3">
      <c r="A98" s="4">
        <v>95</v>
      </c>
      <c r="B98" s="2" t="s">
        <v>843</v>
      </c>
      <c r="C98" s="2" t="s">
        <v>587</v>
      </c>
      <c r="D98" s="2">
        <v>106.6705798</v>
      </c>
      <c r="E98" s="2">
        <v>10.763659000000001</v>
      </c>
      <c r="F98" s="2" t="s">
        <v>862</v>
      </c>
      <c r="G98" s="34" t="s">
        <v>357</v>
      </c>
      <c r="H98" s="27" t="s">
        <v>901</v>
      </c>
      <c r="I98" s="25" t="s">
        <v>901</v>
      </c>
      <c r="J98" s="125">
        <v>45823</v>
      </c>
      <c r="K98" s="20">
        <f t="shared" si="3"/>
        <v>47648</v>
      </c>
      <c r="L98" s="34"/>
      <c r="M98" s="9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2" t="s">
        <v>908</v>
      </c>
      <c r="Z98" s="102">
        <v>5000000</v>
      </c>
      <c r="AA98" s="102"/>
      <c r="AB98" s="95">
        <v>6400000</v>
      </c>
      <c r="AC98" s="102">
        <v>0</v>
      </c>
      <c r="AD98" s="156">
        <v>0</v>
      </c>
      <c r="AE98" s="87"/>
      <c r="AF98" s="113" t="s">
        <v>79</v>
      </c>
      <c r="AG98" s="120"/>
      <c r="AH98" s="121" t="s">
        <v>865</v>
      </c>
      <c r="AI98" s="119" t="s">
        <v>863</v>
      </c>
      <c r="AJ98" s="112" t="s">
        <v>864</v>
      </c>
      <c r="AK98" s="2" t="s">
        <v>866</v>
      </c>
      <c r="AL98" s="2">
        <v>18</v>
      </c>
      <c r="AM98" s="2">
        <v>6</v>
      </c>
      <c r="AN98" s="48"/>
      <c r="AO98">
        <v>2025</v>
      </c>
      <c r="AP98" s="122"/>
    </row>
    <row r="99" spans="1:42" s="123" customFormat="1" ht="36" x14ac:dyDescent="0.3">
      <c r="A99" s="4">
        <v>96</v>
      </c>
      <c r="B99" s="2" t="s">
        <v>891</v>
      </c>
      <c r="C99" s="2" t="s">
        <v>66</v>
      </c>
      <c r="D99" s="2">
        <v>106.6493112</v>
      </c>
      <c r="E99" s="2">
        <v>10.8455811</v>
      </c>
      <c r="F99" s="2" t="s">
        <v>895</v>
      </c>
      <c r="G99" s="34" t="s">
        <v>357</v>
      </c>
      <c r="H99" s="27" t="s">
        <v>901</v>
      </c>
      <c r="I99" s="25" t="s">
        <v>901</v>
      </c>
      <c r="J99" s="125">
        <v>45850</v>
      </c>
      <c r="K99" s="20">
        <f t="shared" si="3"/>
        <v>47675</v>
      </c>
      <c r="L99" s="34"/>
      <c r="M99" s="9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2" t="s">
        <v>908</v>
      </c>
      <c r="Z99" s="102">
        <v>4000000</v>
      </c>
      <c r="AA99" s="102"/>
      <c r="AB99" s="95">
        <v>6500000</v>
      </c>
      <c r="AC99" s="102">
        <v>0</v>
      </c>
      <c r="AD99" s="102">
        <v>0</v>
      </c>
      <c r="AE99" s="87">
        <v>45905</v>
      </c>
      <c r="AF99" s="113" t="s">
        <v>79</v>
      </c>
      <c r="AG99" s="120"/>
      <c r="AH99" s="42" t="s">
        <v>893</v>
      </c>
      <c r="AI99" s="154" t="s">
        <v>892</v>
      </c>
      <c r="AJ99" s="41" t="s">
        <v>699</v>
      </c>
      <c r="AK99" s="2" t="s">
        <v>894</v>
      </c>
      <c r="AL99" s="2"/>
      <c r="AM99" s="2"/>
      <c r="AN99" s="48"/>
      <c r="AO99">
        <v>2025</v>
      </c>
      <c r="AP99" s="122"/>
    </row>
    <row r="100" spans="1:42" s="123" customFormat="1" ht="36" x14ac:dyDescent="0.3">
      <c r="A100" s="4">
        <v>97</v>
      </c>
      <c r="B100" s="2" t="s">
        <v>898</v>
      </c>
      <c r="C100" s="2" t="s">
        <v>66</v>
      </c>
      <c r="D100" s="2">
        <v>106.688222</v>
      </c>
      <c r="E100" s="2">
        <v>10.824833</v>
      </c>
      <c r="F100" s="2" t="s">
        <v>896</v>
      </c>
      <c r="G100" s="34" t="s">
        <v>356</v>
      </c>
      <c r="H100" s="27" t="s">
        <v>901</v>
      </c>
      <c r="I100" s="25" t="s">
        <v>901</v>
      </c>
      <c r="J100" s="125">
        <v>45878</v>
      </c>
      <c r="K100" s="20">
        <f t="shared" si="3"/>
        <v>47703</v>
      </c>
      <c r="L100" s="34"/>
      <c r="M100" s="9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2" t="s">
        <v>897</v>
      </c>
      <c r="Z100" s="102">
        <v>6000000</v>
      </c>
      <c r="AA100" s="102"/>
      <c r="AB100" s="95">
        <v>10600000</v>
      </c>
      <c r="AC100" s="102">
        <v>0</v>
      </c>
      <c r="AD100" s="102">
        <v>0</v>
      </c>
      <c r="AE100" s="87"/>
      <c r="AF100" s="113" t="s">
        <v>79</v>
      </c>
      <c r="AG100" s="120"/>
      <c r="AH100" s="42" t="s">
        <v>899</v>
      </c>
      <c r="AI100" s="154" t="s">
        <v>897</v>
      </c>
      <c r="AJ100" s="41" t="s">
        <v>102</v>
      </c>
      <c r="AK100" s="2" t="s">
        <v>900</v>
      </c>
      <c r="AL100" s="2"/>
      <c r="AM100" s="2"/>
      <c r="AN100" s="48"/>
      <c r="AO100">
        <v>2025</v>
      </c>
      <c r="AP100" s="122"/>
    </row>
    <row r="101" spans="1:42" x14ac:dyDescent="0.3">
      <c r="A101" s="4">
        <v>98</v>
      </c>
      <c r="B101" s="2" t="s">
        <v>1046</v>
      </c>
      <c r="C101" s="2" t="s">
        <v>402</v>
      </c>
      <c r="D101" s="2">
        <v>106.60477</v>
      </c>
      <c r="E101" s="2">
        <v>10.977980000000001</v>
      </c>
      <c r="F101" s="2" t="s">
        <v>1141</v>
      </c>
      <c r="G101" s="34" t="s">
        <v>356</v>
      </c>
      <c r="H101" s="27" t="s">
        <v>901</v>
      </c>
      <c r="I101" s="25" t="s">
        <v>901</v>
      </c>
      <c r="J101" s="125">
        <v>45286</v>
      </c>
      <c r="K101" s="20">
        <f t="shared" si="3"/>
        <v>47112</v>
      </c>
      <c r="L101" s="34"/>
      <c r="M101" s="98">
        <v>45437</v>
      </c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2" t="s">
        <v>1142</v>
      </c>
      <c r="Z101" s="102">
        <v>4500000</v>
      </c>
      <c r="AA101" s="102"/>
      <c r="AB101" s="95">
        <v>12000000</v>
      </c>
      <c r="AC101" s="102"/>
      <c r="AD101" s="102"/>
      <c r="AE101" s="87"/>
      <c r="AF101" s="113" t="s">
        <v>79</v>
      </c>
      <c r="AG101" s="120"/>
      <c r="AH101" s="18" t="s">
        <v>1143</v>
      </c>
      <c r="AI101" s="2" t="s">
        <v>1142</v>
      </c>
      <c r="AJ101" s="2" t="s">
        <v>406</v>
      </c>
      <c r="AK101" s="2" t="s">
        <v>1144</v>
      </c>
      <c r="AL101" s="2">
        <v>0</v>
      </c>
      <c r="AM101" s="2">
        <v>30</v>
      </c>
      <c r="AN101" s="48"/>
      <c r="AO101">
        <v>2023</v>
      </c>
    </row>
    <row r="102" spans="1:42" ht="24" x14ac:dyDescent="0.3">
      <c r="A102" s="4">
        <v>99</v>
      </c>
      <c r="B102" s="2" t="s">
        <v>1145</v>
      </c>
      <c r="C102" s="2" t="s">
        <v>15</v>
      </c>
      <c r="D102" s="2">
        <v>106.63862</v>
      </c>
      <c r="E102" s="2">
        <v>10.901565</v>
      </c>
      <c r="F102" s="2" t="s">
        <v>1146</v>
      </c>
      <c r="G102" s="34" t="s">
        <v>356</v>
      </c>
      <c r="H102" s="27" t="s">
        <v>901</v>
      </c>
      <c r="I102" s="25" t="s">
        <v>901</v>
      </c>
      <c r="J102" s="125">
        <v>45853</v>
      </c>
      <c r="K102" s="20">
        <f t="shared" si="3"/>
        <v>47678</v>
      </c>
      <c r="L102" s="34"/>
      <c r="M102" s="98">
        <v>45868</v>
      </c>
      <c r="N102" s="48"/>
      <c r="O102" s="98">
        <v>45952</v>
      </c>
      <c r="P102" s="98">
        <v>45952</v>
      </c>
      <c r="Q102" s="48"/>
      <c r="R102" s="48"/>
      <c r="S102" s="48"/>
      <c r="T102" s="48"/>
      <c r="U102" s="48"/>
      <c r="V102" s="48"/>
      <c r="W102" s="48"/>
      <c r="X102" s="48"/>
      <c r="Y102" s="2" t="s">
        <v>1147</v>
      </c>
      <c r="Z102" s="102">
        <v>6000000</v>
      </c>
      <c r="AA102" s="102"/>
      <c r="AB102" s="95">
        <v>9000000</v>
      </c>
      <c r="AC102" s="102"/>
      <c r="AD102" s="102"/>
      <c r="AE102" s="87"/>
      <c r="AF102" s="113" t="s">
        <v>79</v>
      </c>
      <c r="AG102" s="120"/>
      <c r="AH102" s="42" t="s">
        <v>1148</v>
      </c>
      <c r="AI102" s="2" t="s">
        <v>1147</v>
      </c>
      <c r="AJ102" s="41" t="s">
        <v>1149</v>
      </c>
      <c r="AK102" s="2" t="s">
        <v>1150</v>
      </c>
      <c r="AL102" s="2">
        <v>14</v>
      </c>
      <c r="AM102" s="2">
        <v>12</v>
      </c>
      <c r="AN102" s="48"/>
      <c r="AO102">
        <v>2025</v>
      </c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J85"/>
  <sheetViews>
    <sheetView tabSelected="1" topLeftCell="Q50" workbookViewId="0">
      <selection activeCell="AK85" sqref="AK85"/>
    </sheetView>
  </sheetViews>
  <sheetFormatPr defaultRowHeight="10.199999999999999" x14ac:dyDescent="0.2"/>
  <cols>
    <col min="1" max="3" width="9" style="161" bestFit="1" customWidth="1"/>
    <col min="4" max="4" width="17.33203125" style="224" customWidth="1"/>
    <col min="5" max="11" width="9" style="161" bestFit="1" customWidth="1"/>
    <col min="12" max="12" width="8.5546875" style="161" customWidth="1"/>
    <col min="13" max="15" width="9" style="161" bestFit="1" customWidth="1"/>
    <col min="16" max="16" width="7.88671875" style="161" customWidth="1"/>
    <col min="17" max="28" width="9" style="161" bestFit="1" customWidth="1"/>
    <col min="29" max="33" width="9" style="161" customWidth="1"/>
    <col min="34" max="34" width="9" style="161" bestFit="1" customWidth="1"/>
    <col min="35" max="35" width="10.21875" style="161" bestFit="1" customWidth="1"/>
    <col min="36" max="36" width="9" style="161" bestFit="1" customWidth="1"/>
    <col min="37" max="16384" width="8.88671875" style="161"/>
  </cols>
  <sheetData>
    <row r="1" spans="1:36" ht="30.6" x14ac:dyDescent="0.2">
      <c r="A1" s="157" t="s">
        <v>24</v>
      </c>
      <c r="B1" s="157" t="s">
        <v>366</v>
      </c>
      <c r="C1" s="157" t="s">
        <v>929</v>
      </c>
      <c r="D1" s="157" t="s">
        <v>930</v>
      </c>
      <c r="E1" s="158" t="s">
        <v>80</v>
      </c>
      <c r="F1" s="158" t="s">
        <v>82</v>
      </c>
      <c r="G1" s="158" t="s">
        <v>81</v>
      </c>
      <c r="H1" s="158" t="s">
        <v>68</v>
      </c>
      <c r="I1" s="157" t="s">
        <v>931</v>
      </c>
      <c r="J1" s="157" t="s">
        <v>994</v>
      </c>
      <c r="K1" s="157" t="s">
        <v>932</v>
      </c>
      <c r="L1" s="157" t="s">
        <v>933</v>
      </c>
      <c r="M1" s="157" t="s">
        <v>934</v>
      </c>
      <c r="N1" s="157" t="s">
        <v>935</v>
      </c>
      <c r="O1" s="157" t="s">
        <v>936</v>
      </c>
      <c r="P1" s="157" t="s">
        <v>937</v>
      </c>
      <c r="Q1" s="157" t="s">
        <v>938</v>
      </c>
      <c r="R1" s="157" t="s">
        <v>939</v>
      </c>
      <c r="S1" s="157" t="s">
        <v>940</v>
      </c>
      <c r="T1" s="159" t="s">
        <v>941</v>
      </c>
      <c r="U1" s="159" t="s">
        <v>942</v>
      </c>
      <c r="V1" s="159" t="s">
        <v>943</v>
      </c>
      <c r="W1" s="159" t="s">
        <v>944</v>
      </c>
      <c r="X1" s="159" t="s">
        <v>945</v>
      </c>
      <c r="Y1" s="159" t="s">
        <v>946</v>
      </c>
      <c r="Z1" s="159" t="s">
        <v>947</v>
      </c>
      <c r="AA1" s="159" t="s">
        <v>948</v>
      </c>
      <c r="AB1" s="159" t="s">
        <v>948</v>
      </c>
      <c r="AC1" s="159" t="s">
        <v>989</v>
      </c>
      <c r="AD1" s="159" t="s">
        <v>990</v>
      </c>
      <c r="AE1" s="159" t="s">
        <v>991</v>
      </c>
      <c r="AF1" s="159" t="s">
        <v>992</v>
      </c>
      <c r="AG1" s="159" t="s">
        <v>993</v>
      </c>
      <c r="AH1" s="160" t="s">
        <v>949</v>
      </c>
      <c r="AI1" s="157" t="s">
        <v>950</v>
      </c>
      <c r="AJ1" s="157" t="s">
        <v>173</v>
      </c>
    </row>
    <row r="2" spans="1:36" x14ac:dyDescent="0.2">
      <c r="A2" s="157">
        <f t="shared" ref="A2:AH2" si="0">SUBTOTAL(3,A4:A91)</f>
        <v>82</v>
      </c>
      <c r="B2" s="157">
        <f t="shared" si="0"/>
        <v>82</v>
      </c>
      <c r="C2" s="157">
        <f t="shared" si="0"/>
        <v>82</v>
      </c>
      <c r="D2" s="157">
        <f t="shared" si="0"/>
        <v>82</v>
      </c>
      <c r="E2" s="157">
        <f t="shared" si="0"/>
        <v>82</v>
      </c>
      <c r="F2" s="157">
        <f t="shared" si="0"/>
        <v>82</v>
      </c>
      <c r="G2" s="157">
        <f t="shared" si="0"/>
        <v>82</v>
      </c>
      <c r="H2" s="157">
        <f t="shared" si="0"/>
        <v>82</v>
      </c>
      <c r="I2" s="157">
        <f t="shared" si="0"/>
        <v>82</v>
      </c>
      <c r="J2" s="157">
        <f t="shared" si="0"/>
        <v>82</v>
      </c>
      <c r="K2" s="157">
        <f t="shared" si="0"/>
        <v>82</v>
      </c>
      <c r="L2" s="157">
        <f t="shared" si="0"/>
        <v>82</v>
      </c>
      <c r="M2" s="157">
        <f t="shared" si="0"/>
        <v>82</v>
      </c>
      <c r="N2" s="157">
        <f t="shared" si="0"/>
        <v>82</v>
      </c>
      <c r="O2" s="157">
        <f t="shared" si="0"/>
        <v>82</v>
      </c>
      <c r="P2" s="157">
        <f t="shared" si="0"/>
        <v>82</v>
      </c>
      <c r="Q2" s="157">
        <f t="shared" si="0"/>
        <v>82</v>
      </c>
      <c r="R2" s="157">
        <f t="shared" si="0"/>
        <v>82</v>
      </c>
      <c r="S2" s="157">
        <f t="shared" si="0"/>
        <v>82</v>
      </c>
      <c r="T2" s="157">
        <f t="shared" si="0"/>
        <v>82</v>
      </c>
      <c r="U2" s="157">
        <f t="shared" si="0"/>
        <v>82</v>
      </c>
      <c r="V2" s="157">
        <f t="shared" si="0"/>
        <v>82</v>
      </c>
      <c r="W2" s="157">
        <f t="shared" si="0"/>
        <v>82</v>
      </c>
      <c r="X2" s="157">
        <f t="shared" si="0"/>
        <v>82</v>
      </c>
      <c r="Y2" s="157">
        <f t="shared" si="0"/>
        <v>82</v>
      </c>
      <c r="Z2" s="157">
        <f t="shared" si="0"/>
        <v>82</v>
      </c>
      <c r="AA2" s="157">
        <f t="shared" si="0"/>
        <v>82</v>
      </c>
      <c r="AB2" s="157">
        <f t="shared" si="0"/>
        <v>82</v>
      </c>
      <c r="AC2" s="157">
        <f t="shared" ref="AC2:AF2" si="1">SUBTOTAL(3,AC4:AC91)</f>
        <v>82</v>
      </c>
      <c r="AD2" s="157">
        <f t="shared" si="1"/>
        <v>82</v>
      </c>
      <c r="AE2" s="157">
        <f t="shared" si="1"/>
        <v>82</v>
      </c>
      <c r="AF2" s="157">
        <f t="shared" si="1"/>
        <v>82</v>
      </c>
      <c r="AG2" s="157">
        <f t="shared" ref="AG2" si="2">SUBTOTAL(3,AG4:AG91)</f>
        <v>82</v>
      </c>
      <c r="AH2" s="157">
        <f t="shared" ca="1" si="0"/>
        <v>82</v>
      </c>
      <c r="AI2" s="162">
        <f>SUBTOTAL(9,AI4:AI90)</f>
        <v>2205675000</v>
      </c>
      <c r="AJ2" s="157">
        <f t="shared" ref="AJ2" si="3">SUBTOTAL(3,AJ4:AJ91)</f>
        <v>82</v>
      </c>
    </row>
    <row r="3" spans="1:36" x14ac:dyDescent="0.2">
      <c r="A3" s="163" t="s">
        <v>0</v>
      </c>
      <c r="B3" s="163" t="s">
        <v>0</v>
      </c>
      <c r="C3" s="163" t="s">
        <v>0</v>
      </c>
      <c r="D3" s="163" t="s">
        <v>0</v>
      </c>
      <c r="E3" s="163" t="s">
        <v>0</v>
      </c>
      <c r="F3" s="163" t="s">
        <v>0</v>
      </c>
      <c r="G3" s="163" t="s">
        <v>0</v>
      </c>
      <c r="H3" s="163" t="s">
        <v>0</v>
      </c>
      <c r="I3" s="163" t="s">
        <v>0</v>
      </c>
      <c r="J3" s="163" t="s">
        <v>0</v>
      </c>
      <c r="K3" s="163" t="s">
        <v>0</v>
      </c>
      <c r="L3" s="163" t="s">
        <v>0</v>
      </c>
      <c r="M3" s="163" t="s">
        <v>0</v>
      </c>
      <c r="N3" s="163" t="s">
        <v>0</v>
      </c>
      <c r="O3" s="163" t="s">
        <v>0</v>
      </c>
      <c r="P3" s="163" t="s">
        <v>0</v>
      </c>
      <c r="Q3" s="163" t="s">
        <v>0</v>
      </c>
      <c r="R3" s="163" t="s">
        <v>0</v>
      </c>
      <c r="S3" s="163" t="s">
        <v>0</v>
      </c>
      <c r="T3" s="163" t="s">
        <v>0</v>
      </c>
      <c r="U3" s="163" t="s">
        <v>0</v>
      </c>
      <c r="V3" s="163" t="s">
        <v>0</v>
      </c>
      <c r="W3" s="163" t="s">
        <v>0</v>
      </c>
      <c r="X3" s="163" t="s">
        <v>0</v>
      </c>
      <c r="Y3" s="163" t="s">
        <v>0</v>
      </c>
      <c r="Z3" s="163" t="s">
        <v>0</v>
      </c>
      <c r="AA3" s="163" t="s">
        <v>0</v>
      </c>
      <c r="AB3" s="163" t="s">
        <v>0</v>
      </c>
      <c r="AC3" s="163" t="s">
        <v>0</v>
      </c>
      <c r="AD3" s="163" t="s">
        <v>0</v>
      </c>
      <c r="AE3" s="163" t="s">
        <v>0</v>
      </c>
      <c r="AF3" s="163" t="s">
        <v>0</v>
      </c>
      <c r="AG3" s="163" t="s">
        <v>0</v>
      </c>
      <c r="AH3" s="163" t="s">
        <v>0</v>
      </c>
      <c r="AI3" s="163" t="s">
        <v>0</v>
      </c>
      <c r="AJ3" s="163" t="s">
        <v>0</v>
      </c>
    </row>
    <row r="4" spans="1:36" x14ac:dyDescent="0.2">
      <c r="A4" s="164">
        <v>1</v>
      </c>
      <c r="B4" s="165" t="s">
        <v>14</v>
      </c>
      <c r="C4" s="165" t="s">
        <v>15</v>
      </c>
      <c r="D4" s="166">
        <v>6500000</v>
      </c>
      <c r="E4" s="166">
        <f>VLOOKUP($B4,'[1]Theo dõi HĐ_Chi tiết'!$B$4:$AK$60,32,0)</f>
        <v>44683</v>
      </c>
      <c r="F4" s="166" t="str">
        <f>VLOOKUP($B4,'[1]Theo dõi HĐ_Chi tiết'!$B$4:$AK$60,33,0)</f>
        <v>221954599</v>
      </c>
      <c r="G4" s="166" t="str">
        <f>VLOOKUP($B4,'[1]Theo dõi HĐ_Chi tiết'!$B$4:$AK$60,34,0)</f>
        <v>Nguyễn Phùng Thành</v>
      </c>
      <c r="H4" s="166" t="str">
        <f>VLOOKUP($B4,'[1]Theo dõi HĐ_Chi tiết'!$B$4:$AK$60,35,0)</f>
        <v xml:space="preserve">Ngân hàng VP Bank </v>
      </c>
      <c r="I4" s="167" t="s">
        <v>77</v>
      </c>
      <c r="J4" s="168">
        <v>44593</v>
      </c>
      <c r="K4" s="169">
        <f>EDATE(J4,3)</f>
        <v>44682</v>
      </c>
      <c r="L4" s="169">
        <f t="shared" ref="L4:AG6" si="4">EDATE(K4,3)</f>
        <v>44774</v>
      </c>
      <c r="M4" s="169">
        <f t="shared" si="4"/>
        <v>44866</v>
      </c>
      <c r="N4" s="169">
        <f t="shared" si="4"/>
        <v>44958</v>
      </c>
      <c r="O4" s="169">
        <f t="shared" si="4"/>
        <v>45047</v>
      </c>
      <c r="P4" s="169">
        <f t="shared" si="4"/>
        <v>45139</v>
      </c>
      <c r="Q4" s="169">
        <f t="shared" si="4"/>
        <v>45231</v>
      </c>
      <c r="R4" s="169">
        <f t="shared" si="4"/>
        <v>45323</v>
      </c>
      <c r="S4" s="169">
        <f t="shared" si="4"/>
        <v>45413</v>
      </c>
      <c r="T4" s="169">
        <f t="shared" si="4"/>
        <v>45505</v>
      </c>
      <c r="U4" s="169">
        <f t="shared" si="4"/>
        <v>45597</v>
      </c>
      <c r="V4" s="169">
        <f t="shared" si="4"/>
        <v>45689</v>
      </c>
      <c r="W4" s="169">
        <f t="shared" si="4"/>
        <v>45778</v>
      </c>
      <c r="X4" s="169">
        <f t="shared" si="4"/>
        <v>45870</v>
      </c>
      <c r="Y4" s="169">
        <f t="shared" si="4"/>
        <v>45962</v>
      </c>
      <c r="Z4" s="169">
        <f t="shared" ref="Z4:AG4" si="5">EDATE(Y4,3)</f>
        <v>46054</v>
      </c>
      <c r="AA4" s="169">
        <f t="shared" si="5"/>
        <v>46143</v>
      </c>
      <c r="AB4" s="169">
        <f t="shared" si="5"/>
        <v>46235</v>
      </c>
      <c r="AC4" s="169">
        <f t="shared" si="5"/>
        <v>46327</v>
      </c>
      <c r="AD4" s="169">
        <f t="shared" si="5"/>
        <v>46419</v>
      </c>
      <c r="AE4" s="169">
        <f t="shared" si="5"/>
        <v>46508</v>
      </c>
      <c r="AF4" s="169">
        <f t="shared" si="5"/>
        <v>46600</v>
      </c>
      <c r="AG4" s="169">
        <f t="shared" si="5"/>
        <v>46692</v>
      </c>
      <c r="AH4" s="171">
        <f ca="1">AA4-TODAY()</f>
        <v>31</v>
      </c>
      <c r="AI4" s="172">
        <f>3*D4</f>
        <v>19500000</v>
      </c>
      <c r="AJ4" s="164" t="s">
        <v>951</v>
      </c>
    </row>
    <row r="5" spans="1:36" x14ac:dyDescent="0.2">
      <c r="A5" s="173">
        <v>2</v>
      </c>
      <c r="B5" s="174" t="s">
        <v>19</v>
      </c>
      <c r="C5" s="165" t="s">
        <v>15</v>
      </c>
      <c r="D5" s="175">
        <v>7000000</v>
      </c>
      <c r="E5" s="175" t="s">
        <v>91</v>
      </c>
      <c r="F5" s="175" t="s">
        <v>89</v>
      </c>
      <c r="G5" s="175" t="s">
        <v>90</v>
      </c>
      <c r="H5" s="175" t="s">
        <v>70</v>
      </c>
      <c r="I5" s="176" t="s">
        <v>77</v>
      </c>
      <c r="J5" s="177">
        <v>44535</v>
      </c>
      <c r="K5" s="178">
        <f>EDATE(J5,3)</f>
        <v>44625</v>
      </c>
      <c r="L5" s="177">
        <f t="shared" si="4"/>
        <v>44717</v>
      </c>
      <c r="M5" s="177">
        <f t="shared" si="4"/>
        <v>44809</v>
      </c>
      <c r="N5" s="179">
        <f t="shared" si="4"/>
        <v>44900</v>
      </c>
      <c r="O5" s="179">
        <f t="shared" si="4"/>
        <v>44990</v>
      </c>
      <c r="P5" s="179">
        <f t="shared" si="4"/>
        <v>45082</v>
      </c>
      <c r="Q5" s="179">
        <f t="shared" si="4"/>
        <v>45174</v>
      </c>
      <c r="R5" s="179">
        <f>EDATE(Q5,3)</f>
        <v>45265</v>
      </c>
      <c r="S5" s="179">
        <f t="shared" si="4"/>
        <v>45356</v>
      </c>
      <c r="T5" s="169">
        <f>EDATE(S5,3)</f>
        <v>45448</v>
      </c>
      <c r="U5" s="179">
        <f t="shared" si="4"/>
        <v>45540</v>
      </c>
      <c r="V5" s="179">
        <f>EDATE(U5,3)</f>
        <v>45631</v>
      </c>
      <c r="W5" s="179">
        <f t="shared" si="4"/>
        <v>45721</v>
      </c>
      <c r="X5" s="179">
        <f t="shared" si="4"/>
        <v>45813</v>
      </c>
      <c r="Y5" s="179">
        <f t="shared" si="4"/>
        <v>45905</v>
      </c>
      <c r="Z5" s="179">
        <f t="shared" si="4"/>
        <v>45996</v>
      </c>
      <c r="AA5" s="179">
        <f t="shared" si="4"/>
        <v>46086</v>
      </c>
      <c r="AB5" s="179">
        <f t="shared" si="4"/>
        <v>46178</v>
      </c>
      <c r="AC5" s="179">
        <f t="shared" si="4"/>
        <v>46270</v>
      </c>
      <c r="AD5" s="179">
        <f t="shared" si="4"/>
        <v>46361</v>
      </c>
      <c r="AE5" s="179">
        <f t="shared" si="4"/>
        <v>46451</v>
      </c>
      <c r="AF5" s="179">
        <f t="shared" si="4"/>
        <v>46543</v>
      </c>
      <c r="AG5" s="179">
        <f t="shared" si="4"/>
        <v>46635</v>
      </c>
      <c r="AH5" s="181">
        <f ca="1">AB5-TODAY()</f>
        <v>66</v>
      </c>
      <c r="AI5" s="175">
        <f>3*D5</f>
        <v>21000000</v>
      </c>
      <c r="AJ5" s="173" t="s">
        <v>952</v>
      </c>
    </row>
    <row r="6" spans="1:36" x14ac:dyDescent="0.2">
      <c r="A6" s="164">
        <v>3</v>
      </c>
      <c r="B6" s="165" t="s">
        <v>29</v>
      </c>
      <c r="C6" s="165" t="s">
        <v>15</v>
      </c>
      <c r="D6" s="182">
        <v>5875000</v>
      </c>
      <c r="E6" s="166" t="s">
        <v>87</v>
      </c>
      <c r="F6" s="166" t="s">
        <v>86</v>
      </c>
      <c r="G6" s="166" t="s">
        <v>88</v>
      </c>
      <c r="H6" s="166" t="s">
        <v>71</v>
      </c>
      <c r="I6" s="183" t="s">
        <v>77</v>
      </c>
      <c r="J6" s="168">
        <v>44681</v>
      </c>
      <c r="K6" s="184">
        <f>EDATE(J6,3)</f>
        <v>44772</v>
      </c>
      <c r="L6" s="169">
        <f t="shared" si="4"/>
        <v>44864</v>
      </c>
      <c r="M6" s="169">
        <f t="shared" si="4"/>
        <v>44956</v>
      </c>
      <c r="N6" s="169">
        <f t="shared" si="4"/>
        <v>45046</v>
      </c>
      <c r="O6" s="169">
        <f t="shared" si="4"/>
        <v>45137</v>
      </c>
      <c r="P6" s="169">
        <f t="shared" si="4"/>
        <v>45229</v>
      </c>
      <c r="Q6" s="169">
        <f t="shared" si="4"/>
        <v>45321</v>
      </c>
      <c r="R6" s="169">
        <f>EDATE(Q6,3)</f>
        <v>45412</v>
      </c>
      <c r="S6" s="169">
        <f>EDATE(R6,3)</f>
        <v>45503</v>
      </c>
      <c r="T6" s="169">
        <f>EDATE(S6,3)</f>
        <v>45595</v>
      </c>
      <c r="U6" s="169">
        <f>EDATE(T6,3)</f>
        <v>45687</v>
      </c>
      <c r="V6" s="169">
        <f>EDATE(U6,3)</f>
        <v>45777</v>
      </c>
      <c r="W6" s="169">
        <f>EDATE(V6,3)</f>
        <v>45868</v>
      </c>
      <c r="X6" s="169">
        <f t="shared" ref="X6:AG6" si="6">EDATE(W6,3)</f>
        <v>45960</v>
      </c>
      <c r="Y6" s="169">
        <f>EDATE(X6,3)</f>
        <v>46052</v>
      </c>
      <c r="Z6" s="170">
        <f>EDATE(Y6,3)</f>
        <v>46142</v>
      </c>
      <c r="AA6" s="169">
        <f t="shared" si="6"/>
        <v>46233</v>
      </c>
      <c r="AB6" s="169">
        <f t="shared" si="6"/>
        <v>46325</v>
      </c>
      <c r="AC6" s="169">
        <f t="shared" si="6"/>
        <v>46417</v>
      </c>
      <c r="AD6" s="169">
        <f t="shared" si="6"/>
        <v>46507</v>
      </c>
      <c r="AE6" s="169">
        <f t="shared" si="6"/>
        <v>46598</v>
      </c>
      <c r="AF6" s="169">
        <f t="shared" si="6"/>
        <v>46690</v>
      </c>
      <c r="AG6" s="169">
        <f t="shared" si="6"/>
        <v>46782</v>
      </c>
      <c r="AH6" s="171">
        <f ca="1">Z6-TODAY()</f>
        <v>30</v>
      </c>
      <c r="AI6" s="172">
        <f>3*D6</f>
        <v>17625000</v>
      </c>
      <c r="AJ6" s="164" t="s">
        <v>953</v>
      </c>
    </row>
    <row r="7" spans="1:36" x14ac:dyDescent="0.2">
      <c r="A7" s="173">
        <v>4</v>
      </c>
      <c r="B7" s="173" t="s">
        <v>987</v>
      </c>
      <c r="C7" s="165" t="s">
        <v>32</v>
      </c>
      <c r="D7" s="175">
        <v>4000000</v>
      </c>
      <c r="E7" s="175" t="s">
        <v>113</v>
      </c>
      <c r="F7" s="175" t="s">
        <v>112</v>
      </c>
      <c r="G7" s="175" t="s">
        <v>114</v>
      </c>
      <c r="H7" s="175" t="s">
        <v>72</v>
      </c>
      <c r="I7" s="185" t="s">
        <v>79</v>
      </c>
      <c r="J7" s="177">
        <v>44652</v>
      </c>
      <c r="K7" s="178">
        <f t="shared" ref="K7:P7" si="7">EDATE(J7,6)</f>
        <v>44835</v>
      </c>
      <c r="L7" s="178">
        <f t="shared" si="7"/>
        <v>45017</v>
      </c>
      <c r="M7" s="179">
        <f t="shared" si="7"/>
        <v>45200</v>
      </c>
      <c r="N7" s="178">
        <f t="shared" si="7"/>
        <v>45383</v>
      </c>
      <c r="O7" s="178">
        <f t="shared" si="7"/>
        <v>45566</v>
      </c>
      <c r="P7" s="178">
        <f t="shared" si="7"/>
        <v>45748</v>
      </c>
      <c r="Q7" s="178">
        <f>EDATE(P7,6)</f>
        <v>45931</v>
      </c>
      <c r="R7" s="178">
        <f>EDATE(Q7,6)</f>
        <v>46113</v>
      </c>
      <c r="S7" s="178">
        <f t="shared" ref="S7:AG7" si="8">EDATE(R7,6)</f>
        <v>46296</v>
      </c>
      <c r="T7" s="178">
        <f t="shared" si="8"/>
        <v>46478</v>
      </c>
      <c r="U7" s="178">
        <f t="shared" si="8"/>
        <v>46661</v>
      </c>
      <c r="V7" s="178">
        <f t="shared" si="8"/>
        <v>46844</v>
      </c>
      <c r="W7" s="178">
        <f t="shared" si="8"/>
        <v>47027</v>
      </c>
      <c r="X7" s="178">
        <f t="shared" si="8"/>
        <v>47209</v>
      </c>
      <c r="Y7" s="178">
        <f t="shared" si="8"/>
        <v>47392</v>
      </c>
      <c r="Z7" s="178">
        <f t="shared" si="8"/>
        <v>47574</v>
      </c>
      <c r="AA7" s="178">
        <f t="shared" si="8"/>
        <v>47757</v>
      </c>
      <c r="AB7" s="178">
        <f t="shared" si="8"/>
        <v>47939</v>
      </c>
      <c r="AC7" s="178">
        <f t="shared" si="8"/>
        <v>48122</v>
      </c>
      <c r="AD7" s="178">
        <f t="shared" si="8"/>
        <v>48305</v>
      </c>
      <c r="AE7" s="178">
        <f t="shared" si="8"/>
        <v>48488</v>
      </c>
      <c r="AF7" s="178">
        <f t="shared" si="8"/>
        <v>48670</v>
      </c>
      <c r="AG7" s="178">
        <f t="shared" si="8"/>
        <v>48853</v>
      </c>
      <c r="AH7" s="181">
        <f ca="1">R7-TODAY()</f>
        <v>1</v>
      </c>
      <c r="AI7" s="175">
        <f>6*D7</f>
        <v>24000000</v>
      </c>
      <c r="AJ7" s="173" t="s">
        <v>954</v>
      </c>
    </row>
    <row r="8" spans="1:36" x14ac:dyDescent="0.2">
      <c r="A8" s="164">
        <v>5</v>
      </c>
      <c r="B8" s="186" t="s">
        <v>97</v>
      </c>
      <c r="C8" s="165" t="s">
        <v>15</v>
      </c>
      <c r="D8" s="166">
        <v>4750000</v>
      </c>
      <c r="E8" s="166" t="s">
        <v>101</v>
      </c>
      <c r="F8" s="166" t="s">
        <v>99</v>
      </c>
      <c r="G8" s="166" t="s">
        <v>102</v>
      </c>
      <c r="H8" s="166" t="s">
        <v>103</v>
      </c>
      <c r="I8" s="167" t="s">
        <v>77</v>
      </c>
      <c r="J8" s="168">
        <v>44713</v>
      </c>
      <c r="K8" s="168">
        <f>J8+90+2</f>
        <v>44805</v>
      </c>
      <c r="L8" s="168">
        <f t="shared" ref="L8:R14" si="9">EDATE(K8,3)</f>
        <v>44896</v>
      </c>
      <c r="M8" s="168">
        <f t="shared" si="9"/>
        <v>44986</v>
      </c>
      <c r="N8" s="169">
        <f t="shared" si="9"/>
        <v>45078</v>
      </c>
      <c r="O8" s="168">
        <f>EDATE(N8,3)</f>
        <v>45170</v>
      </c>
      <c r="P8" s="169">
        <f>EDATE(O8,3)</f>
        <v>45261</v>
      </c>
      <c r="Q8" s="168">
        <f t="shared" ref="O8:AG14" si="10">EDATE(P8,3)</f>
        <v>45352</v>
      </c>
      <c r="R8" s="169">
        <f t="shared" si="10"/>
        <v>45444</v>
      </c>
      <c r="S8" s="168">
        <f t="shared" si="10"/>
        <v>45536</v>
      </c>
      <c r="T8" s="168">
        <f t="shared" si="10"/>
        <v>45627</v>
      </c>
      <c r="U8" s="168">
        <f t="shared" si="10"/>
        <v>45717</v>
      </c>
      <c r="V8" s="168">
        <f t="shared" si="10"/>
        <v>45809</v>
      </c>
      <c r="W8" s="168">
        <f t="shared" si="10"/>
        <v>45901</v>
      </c>
      <c r="X8" s="168">
        <f>EDATE(W8,3)</f>
        <v>45992</v>
      </c>
      <c r="Y8" s="187">
        <f>EDATE(X8,3)</f>
        <v>46082</v>
      </c>
      <c r="Z8" s="168">
        <f>EDATE(Y8,3)-1</f>
        <v>46173</v>
      </c>
      <c r="AA8" s="168">
        <f t="shared" ref="Z8:AG9" si="11">EDATE(Z8,3)</f>
        <v>46265</v>
      </c>
      <c r="AB8" s="168">
        <f t="shared" si="11"/>
        <v>46356</v>
      </c>
      <c r="AC8" s="168">
        <f t="shared" si="11"/>
        <v>46446</v>
      </c>
      <c r="AD8" s="168">
        <f t="shared" si="11"/>
        <v>46535</v>
      </c>
      <c r="AE8" s="168">
        <f t="shared" si="11"/>
        <v>46627</v>
      </c>
      <c r="AF8" s="168">
        <f t="shared" si="11"/>
        <v>46719</v>
      </c>
      <c r="AG8" s="168">
        <f t="shared" si="11"/>
        <v>46811</v>
      </c>
      <c r="AH8" s="188">
        <f ca="1">Z8-TODAY()</f>
        <v>61</v>
      </c>
      <c r="AI8" s="166">
        <f>3*D8</f>
        <v>14250000</v>
      </c>
      <c r="AJ8" s="164" t="s">
        <v>953</v>
      </c>
    </row>
    <row r="9" spans="1:36" x14ac:dyDescent="0.2">
      <c r="A9" s="173">
        <v>6</v>
      </c>
      <c r="B9" s="164" t="s">
        <v>254</v>
      </c>
      <c r="C9" s="165" t="s">
        <v>107</v>
      </c>
      <c r="D9" s="166">
        <v>8300000</v>
      </c>
      <c r="E9" s="166" t="s">
        <v>132</v>
      </c>
      <c r="F9" s="166" t="s">
        <v>131</v>
      </c>
      <c r="G9" s="166" t="s">
        <v>102</v>
      </c>
      <c r="H9" s="166" t="s">
        <v>133</v>
      </c>
      <c r="I9" s="167" t="s">
        <v>77</v>
      </c>
      <c r="J9" s="169">
        <v>44696</v>
      </c>
      <c r="K9" s="169">
        <f>EDATE(J9,3)</f>
        <v>44788</v>
      </c>
      <c r="L9" s="169">
        <f t="shared" si="9"/>
        <v>44880</v>
      </c>
      <c r="M9" s="169">
        <f t="shared" si="9"/>
        <v>44972</v>
      </c>
      <c r="N9" s="169">
        <f t="shared" si="9"/>
        <v>45061</v>
      </c>
      <c r="O9" s="169">
        <f t="shared" si="10"/>
        <v>45153</v>
      </c>
      <c r="P9" s="169">
        <f t="shared" si="9"/>
        <v>45245</v>
      </c>
      <c r="Q9" s="169">
        <f>EDATE(P9,3)</f>
        <v>45337</v>
      </c>
      <c r="R9" s="169">
        <f t="shared" si="9"/>
        <v>45427</v>
      </c>
      <c r="S9" s="169">
        <f>EDATE(R9,3)</f>
        <v>45519</v>
      </c>
      <c r="T9" s="169">
        <f t="shared" si="10"/>
        <v>45611</v>
      </c>
      <c r="U9" s="169">
        <f>EDATE(T9,3)</f>
        <v>45703</v>
      </c>
      <c r="V9" s="169">
        <f t="shared" si="10"/>
        <v>45792</v>
      </c>
      <c r="W9" s="169">
        <f t="shared" si="10"/>
        <v>45884</v>
      </c>
      <c r="X9" s="169">
        <f>EDATE(W9,3)</f>
        <v>45976</v>
      </c>
      <c r="Y9" s="169">
        <f>EDATE(X9,3)</f>
        <v>46068</v>
      </c>
      <c r="Z9" s="170">
        <f t="shared" si="11"/>
        <v>46157</v>
      </c>
      <c r="AA9" s="169">
        <f t="shared" si="11"/>
        <v>46249</v>
      </c>
      <c r="AB9" s="169">
        <f t="shared" si="11"/>
        <v>46341</v>
      </c>
      <c r="AC9" s="169">
        <f t="shared" si="11"/>
        <v>46433</v>
      </c>
      <c r="AD9" s="169">
        <f t="shared" si="11"/>
        <v>46522</v>
      </c>
      <c r="AE9" s="169">
        <f t="shared" si="11"/>
        <v>46614</v>
      </c>
      <c r="AF9" s="169">
        <f t="shared" si="11"/>
        <v>46706</v>
      </c>
      <c r="AG9" s="169">
        <f t="shared" si="11"/>
        <v>46798</v>
      </c>
      <c r="AH9" s="171">
        <f ca="1">Z9-TODAY()</f>
        <v>45</v>
      </c>
      <c r="AI9" s="166">
        <f>3*D9</f>
        <v>24900000</v>
      </c>
      <c r="AJ9" s="164" t="s">
        <v>955</v>
      </c>
    </row>
    <row r="10" spans="1:36" x14ac:dyDescent="0.2">
      <c r="A10" s="164">
        <v>7</v>
      </c>
      <c r="B10" s="164" t="s">
        <v>257</v>
      </c>
      <c r="C10" s="165" t="s">
        <v>117</v>
      </c>
      <c r="D10" s="166">
        <v>6000000</v>
      </c>
      <c r="E10" s="166" t="s">
        <v>120</v>
      </c>
      <c r="F10" s="166" t="s">
        <v>121</v>
      </c>
      <c r="G10" s="166" t="s">
        <v>122</v>
      </c>
      <c r="H10" s="166" t="s">
        <v>123</v>
      </c>
      <c r="I10" s="167" t="s">
        <v>77</v>
      </c>
      <c r="J10" s="169">
        <v>44652</v>
      </c>
      <c r="K10" s="184">
        <f>EDATE(J10,3)</f>
        <v>44743</v>
      </c>
      <c r="L10" s="169">
        <f t="shared" si="9"/>
        <v>44835</v>
      </c>
      <c r="M10" s="169">
        <f t="shared" si="9"/>
        <v>44927</v>
      </c>
      <c r="N10" s="169">
        <f t="shared" si="9"/>
        <v>45017</v>
      </c>
      <c r="O10" s="169">
        <f t="shared" si="10"/>
        <v>45108</v>
      </c>
      <c r="P10" s="169">
        <f>EDATE(O10,3)</f>
        <v>45200</v>
      </c>
      <c r="Q10" s="169">
        <f>EDATE(P10,3)</f>
        <v>45292</v>
      </c>
      <c r="R10" s="169">
        <f>EDATE(Q10,3)</f>
        <v>45383</v>
      </c>
      <c r="S10" s="169">
        <f>EDATE(R10,3)</f>
        <v>45474</v>
      </c>
      <c r="T10" s="169">
        <f>EDATE(S10,3)</f>
        <v>45566</v>
      </c>
      <c r="U10" s="169">
        <f>EDATE(T10,3)</f>
        <v>45658</v>
      </c>
      <c r="V10" s="169">
        <f t="shared" si="10"/>
        <v>45748</v>
      </c>
      <c r="W10" s="169">
        <f t="shared" si="10"/>
        <v>45839</v>
      </c>
      <c r="X10" s="169">
        <f t="shared" si="10"/>
        <v>45931</v>
      </c>
      <c r="Y10" s="169">
        <f>EDATE(X10,3)</f>
        <v>46023</v>
      </c>
      <c r="Z10" s="170">
        <f>EDATE(Y10,3)</f>
        <v>46113</v>
      </c>
      <c r="AA10" s="169">
        <f t="shared" si="10"/>
        <v>46204</v>
      </c>
      <c r="AB10" s="169">
        <f t="shared" si="10"/>
        <v>46296</v>
      </c>
      <c r="AC10" s="169">
        <f t="shared" si="10"/>
        <v>46388</v>
      </c>
      <c r="AD10" s="169">
        <f t="shared" si="10"/>
        <v>46478</v>
      </c>
      <c r="AE10" s="169">
        <f t="shared" si="10"/>
        <v>46569</v>
      </c>
      <c r="AF10" s="169">
        <f t="shared" si="10"/>
        <v>46661</v>
      </c>
      <c r="AG10" s="169">
        <f t="shared" si="10"/>
        <v>46753</v>
      </c>
      <c r="AH10" s="171">
        <f ca="1">Z10-TODAY()</f>
        <v>1</v>
      </c>
      <c r="AI10" s="166">
        <f>D10*3</f>
        <v>18000000</v>
      </c>
      <c r="AJ10" s="164" t="s">
        <v>953</v>
      </c>
    </row>
    <row r="11" spans="1:36" x14ac:dyDescent="0.2">
      <c r="A11" s="173">
        <v>8</v>
      </c>
      <c r="B11" s="164" t="s">
        <v>30</v>
      </c>
      <c r="C11" s="165" t="s">
        <v>32</v>
      </c>
      <c r="D11" s="166">
        <v>7000000</v>
      </c>
      <c r="E11" s="166" t="s">
        <v>152</v>
      </c>
      <c r="F11" s="166" t="s">
        <v>153</v>
      </c>
      <c r="G11" s="166" t="s">
        <v>154</v>
      </c>
      <c r="H11" s="166" t="s">
        <v>155</v>
      </c>
      <c r="I11" s="167" t="s">
        <v>77</v>
      </c>
      <c r="J11" s="169">
        <v>44645</v>
      </c>
      <c r="K11" s="184">
        <f>EDATE(J11,3)</f>
        <v>44737</v>
      </c>
      <c r="L11" s="169">
        <f t="shared" si="9"/>
        <v>44829</v>
      </c>
      <c r="M11" s="169">
        <f t="shared" si="9"/>
        <v>44920</v>
      </c>
      <c r="N11" s="169">
        <f t="shared" si="9"/>
        <v>45010</v>
      </c>
      <c r="O11" s="169">
        <f t="shared" si="10"/>
        <v>45102</v>
      </c>
      <c r="P11" s="169">
        <f>EDATE(O11,3)</f>
        <v>45194</v>
      </c>
      <c r="Q11" s="169">
        <f t="shared" si="10"/>
        <v>45285</v>
      </c>
      <c r="R11" s="169">
        <f t="shared" si="10"/>
        <v>45376</v>
      </c>
      <c r="S11" s="169">
        <f t="shared" si="10"/>
        <v>45468</v>
      </c>
      <c r="T11" s="169">
        <f t="shared" si="10"/>
        <v>45560</v>
      </c>
      <c r="U11" s="169">
        <f t="shared" si="10"/>
        <v>45651</v>
      </c>
      <c r="V11" s="169">
        <f t="shared" si="10"/>
        <v>45741</v>
      </c>
      <c r="W11" s="169">
        <f t="shared" si="10"/>
        <v>45833</v>
      </c>
      <c r="X11" s="169">
        <f t="shared" si="10"/>
        <v>45925</v>
      </c>
      <c r="Y11" s="169">
        <f t="shared" si="10"/>
        <v>46016</v>
      </c>
      <c r="Z11" s="170">
        <f t="shared" si="10"/>
        <v>46106</v>
      </c>
      <c r="AA11" s="169">
        <f t="shared" si="10"/>
        <v>46198</v>
      </c>
      <c r="AB11" s="169">
        <f t="shared" si="10"/>
        <v>46290</v>
      </c>
      <c r="AC11" s="169">
        <f t="shared" si="10"/>
        <v>46381</v>
      </c>
      <c r="AD11" s="169">
        <f t="shared" si="10"/>
        <v>46471</v>
      </c>
      <c r="AE11" s="169">
        <f t="shared" si="10"/>
        <v>46563</v>
      </c>
      <c r="AF11" s="169">
        <f t="shared" si="10"/>
        <v>46655</v>
      </c>
      <c r="AG11" s="169">
        <f t="shared" si="10"/>
        <v>46746</v>
      </c>
      <c r="AH11" s="171">
        <f ca="1">Z11-TODAY()</f>
        <v>-6</v>
      </c>
      <c r="AI11" s="189">
        <f>D11*3</f>
        <v>21000000</v>
      </c>
      <c r="AJ11" s="165" t="s">
        <v>953</v>
      </c>
    </row>
    <row r="12" spans="1:36" x14ac:dyDescent="0.2">
      <c r="A12" s="164">
        <v>9</v>
      </c>
      <c r="B12" s="164" t="s">
        <v>156</v>
      </c>
      <c r="C12" s="165" t="s">
        <v>157</v>
      </c>
      <c r="D12" s="166">
        <v>6500000</v>
      </c>
      <c r="E12" s="166" t="s">
        <v>160</v>
      </c>
      <c r="F12" s="166" t="s">
        <v>161</v>
      </c>
      <c r="G12" s="166" t="s">
        <v>154</v>
      </c>
      <c r="H12" s="166" t="s">
        <v>162</v>
      </c>
      <c r="I12" s="167" t="s">
        <v>77</v>
      </c>
      <c r="J12" s="169">
        <v>44743</v>
      </c>
      <c r="K12" s="184">
        <f>EDATE(J12,3)</f>
        <v>44835</v>
      </c>
      <c r="L12" s="169">
        <f t="shared" si="9"/>
        <v>44927</v>
      </c>
      <c r="M12" s="169">
        <f t="shared" si="9"/>
        <v>45017</v>
      </c>
      <c r="N12" s="169">
        <f t="shared" si="9"/>
        <v>45108</v>
      </c>
      <c r="O12" s="169">
        <f t="shared" si="10"/>
        <v>45200</v>
      </c>
      <c r="P12" s="169">
        <f>EDATE(O12,3)</f>
        <v>45292</v>
      </c>
      <c r="Q12" s="169">
        <f t="shared" si="10"/>
        <v>45383</v>
      </c>
      <c r="R12" s="169">
        <f t="shared" si="10"/>
        <v>45474</v>
      </c>
      <c r="S12" s="169">
        <f>EDATE(R12,3)</f>
        <v>45566</v>
      </c>
      <c r="T12" s="169">
        <f t="shared" si="10"/>
        <v>45658</v>
      </c>
      <c r="U12" s="169">
        <f>EDATE(T12,3)</f>
        <v>45748</v>
      </c>
      <c r="V12" s="169">
        <f>EDATE(U12,3)</f>
        <v>45839</v>
      </c>
      <c r="W12" s="169">
        <f t="shared" si="10"/>
        <v>45931</v>
      </c>
      <c r="X12" s="169">
        <f>EDATE(W12,3)</f>
        <v>46023</v>
      </c>
      <c r="Y12" s="170">
        <f>EDATE(X12,3)</f>
        <v>46113</v>
      </c>
      <c r="Z12" s="169">
        <f t="shared" si="10"/>
        <v>46204</v>
      </c>
      <c r="AA12" s="169">
        <f t="shared" si="10"/>
        <v>46296</v>
      </c>
      <c r="AB12" s="169">
        <f t="shared" si="10"/>
        <v>46388</v>
      </c>
      <c r="AC12" s="169">
        <f t="shared" si="10"/>
        <v>46478</v>
      </c>
      <c r="AD12" s="169">
        <f t="shared" si="10"/>
        <v>46569</v>
      </c>
      <c r="AE12" s="169">
        <f t="shared" si="10"/>
        <v>46661</v>
      </c>
      <c r="AF12" s="169">
        <f t="shared" si="10"/>
        <v>46753</v>
      </c>
      <c r="AG12" s="169">
        <f t="shared" si="10"/>
        <v>46844</v>
      </c>
      <c r="AH12" s="171">
        <f ca="1">Y12-TODAY()</f>
        <v>1</v>
      </c>
      <c r="AI12" s="166">
        <f>3*D12</f>
        <v>19500000</v>
      </c>
      <c r="AJ12" s="164" t="s">
        <v>956</v>
      </c>
    </row>
    <row r="13" spans="1:36" x14ac:dyDescent="0.2">
      <c r="A13" s="173">
        <v>10</v>
      </c>
      <c r="B13" s="164" t="s">
        <v>260</v>
      </c>
      <c r="C13" s="165" t="s">
        <v>66</v>
      </c>
      <c r="D13" s="166">
        <v>7000000</v>
      </c>
      <c r="E13" s="190" t="s">
        <v>957</v>
      </c>
      <c r="F13" s="166" t="s">
        <v>170</v>
      </c>
      <c r="G13" s="191" t="s">
        <v>709</v>
      </c>
      <c r="H13" s="166" t="s">
        <v>172</v>
      </c>
      <c r="I13" s="167" t="s">
        <v>77</v>
      </c>
      <c r="J13" s="169">
        <v>44653</v>
      </c>
      <c r="K13" s="184">
        <f>EDATE(J13,3)</f>
        <v>44744</v>
      </c>
      <c r="L13" s="169">
        <f t="shared" si="9"/>
        <v>44836</v>
      </c>
      <c r="M13" s="169">
        <f t="shared" si="9"/>
        <v>44928</v>
      </c>
      <c r="N13" s="169">
        <f t="shared" si="9"/>
        <v>45018</v>
      </c>
      <c r="O13" s="169">
        <f>EDATE(N13,3)</f>
        <v>45109</v>
      </c>
      <c r="P13" s="169">
        <f>EDATE(O13,3)</f>
        <v>45201</v>
      </c>
      <c r="Q13" s="169">
        <f t="shared" si="10"/>
        <v>45293</v>
      </c>
      <c r="R13" s="169">
        <f t="shared" si="10"/>
        <v>45384</v>
      </c>
      <c r="S13" s="169">
        <f>EDATE(R13,3)</f>
        <v>45475</v>
      </c>
      <c r="T13" s="169">
        <f>EDATE(S13,3)</f>
        <v>45567</v>
      </c>
      <c r="U13" s="169">
        <f>EDATE(T13,3)</f>
        <v>45659</v>
      </c>
      <c r="V13" s="169">
        <f>EDATE(U13,3)</f>
        <v>45749</v>
      </c>
      <c r="W13" s="169">
        <f>EDATE(V13,3)</f>
        <v>45840</v>
      </c>
      <c r="X13" s="169">
        <f>EDATE(W13,3)</f>
        <v>45932</v>
      </c>
      <c r="Y13" s="169">
        <f>EDATE(X13,3)</f>
        <v>46024</v>
      </c>
      <c r="Z13" s="170">
        <f t="shared" ref="Z13:AG13" si="12">EDATE(Y13,3)</f>
        <v>46114</v>
      </c>
      <c r="AA13" s="169">
        <f t="shared" si="12"/>
        <v>46205</v>
      </c>
      <c r="AB13" s="169">
        <f t="shared" si="12"/>
        <v>46297</v>
      </c>
      <c r="AC13" s="169">
        <f t="shared" si="12"/>
        <v>46389</v>
      </c>
      <c r="AD13" s="169">
        <f t="shared" si="12"/>
        <v>46479</v>
      </c>
      <c r="AE13" s="169">
        <f t="shared" si="12"/>
        <v>46570</v>
      </c>
      <c r="AF13" s="169">
        <f t="shared" si="12"/>
        <v>46662</v>
      </c>
      <c r="AG13" s="169">
        <f t="shared" si="12"/>
        <v>46754</v>
      </c>
      <c r="AH13" s="171">
        <f ca="1">Z13-TODAY()</f>
        <v>2</v>
      </c>
      <c r="AI13" s="166">
        <f>3*7000000</f>
        <v>21000000</v>
      </c>
      <c r="AJ13" s="164" t="s">
        <v>953</v>
      </c>
    </row>
    <row r="14" spans="1:36" x14ac:dyDescent="0.2">
      <c r="A14" s="164">
        <v>11</v>
      </c>
      <c r="B14" s="164" t="s">
        <v>423</v>
      </c>
      <c r="C14" s="165" t="s">
        <v>15</v>
      </c>
      <c r="D14" s="166">
        <v>6000000</v>
      </c>
      <c r="E14" s="166" t="s">
        <v>182</v>
      </c>
      <c r="F14" s="166" t="s">
        <v>181</v>
      </c>
      <c r="G14" s="166" t="s">
        <v>183</v>
      </c>
      <c r="H14" s="166" t="s">
        <v>184</v>
      </c>
      <c r="I14" s="167" t="s">
        <v>77</v>
      </c>
      <c r="J14" s="169">
        <v>44753</v>
      </c>
      <c r="K14" s="169">
        <f>J14+3*30+2</f>
        <v>44845</v>
      </c>
      <c r="L14" s="169">
        <f t="shared" si="9"/>
        <v>44937</v>
      </c>
      <c r="M14" s="169">
        <f t="shared" si="9"/>
        <v>45027</v>
      </c>
      <c r="N14" s="169">
        <f t="shared" si="9"/>
        <v>45118</v>
      </c>
      <c r="O14" s="169">
        <f>EDATE(N14,3)</f>
        <v>45210</v>
      </c>
      <c r="P14" s="169">
        <f t="shared" si="9"/>
        <v>45302</v>
      </c>
      <c r="Q14" s="169">
        <f t="shared" si="10"/>
        <v>45393</v>
      </c>
      <c r="R14" s="169">
        <f t="shared" si="10"/>
        <v>45484</v>
      </c>
      <c r="S14" s="169">
        <f>EDATE(R14,3)</f>
        <v>45576</v>
      </c>
      <c r="T14" s="169">
        <f>EDATE(S14,3)</f>
        <v>45668</v>
      </c>
      <c r="U14" s="169">
        <f>EDATE(T14,3)</f>
        <v>45758</v>
      </c>
      <c r="V14" s="169">
        <f t="shared" ref="V14:AG14" si="13">EDATE(U14,3)</f>
        <v>45849</v>
      </c>
      <c r="W14" s="169">
        <f>EDATE(V14,3)</f>
        <v>45941</v>
      </c>
      <c r="X14" s="169">
        <f>EDATE(W14,3)</f>
        <v>46033</v>
      </c>
      <c r="Y14" s="170">
        <f t="shared" si="13"/>
        <v>46123</v>
      </c>
      <c r="Z14" s="169">
        <f t="shared" si="13"/>
        <v>46214</v>
      </c>
      <c r="AA14" s="169">
        <f t="shared" si="13"/>
        <v>46306</v>
      </c>
      <c r="AB14" s="169">
        <f t="shared" si="13"/>
        <v>46398</v>
      </c>
      <c r="AC14" s="169">
        <f t="shared" si="13"/>
        <v>46488</v>
      </c>
      <c r="AD14" s="169">
        <f t="shared" si="13"/>
        <v>46579</v>
      </c>
      <c r="AE14" s="169">
        <f t="shared" si="13"/>
        <v>46671</v>
      </c>
      <c r="AF14" s="169">
        <f t="shared" si="13"/>
        <v>46763</v>
      </c>
      <c r="AG14" s="169">
        <f t="shared" si="13"/>
        <v>46854</v>
      </c>
      <c r="AH14" s="188">
        <f ca="1">Y14-TODAY()</f>
        <v>11</v>
      </c>
      <c r="AI14" s="166">
        <f>3*D14</f>
        <v>18000000</v>
      </c>
      <c r="AJ14" s="164" t="s">
        <v>956</v>
      </c>
    </row>
    <row r="15" spans="1:36" x14ac:dyDescent="0.2">
      <c r="A15" s="173">
        <v>12</v>
      </c>
      <c r="B15" s="164" t="s">
        <v>185</v>
      </c>
      <c r="C15" s="165" t="s">
        <v>66</v>
      </c>
      <c r="D15" s="166">
        <v>7000000</v>
      </c>
      <c r="E15" s="166" t="s">
        <v>307</v>
      </c>
      <c r="F15" s="166" t="s">
        <v>187</v>
      </c>
      <c r="G15" s="166" t="s">
        <v>195</v>
      </c>
      <c r="H15" s="166" t="s">
        <v>189</v>
      </c>
      <c r="I15" s="167" t="s">
        <v>79</v>
      </c>
      <c r="J15" s="169">
        <v>44793</v>
      </c>
      <c r="K15" s="169">
        <f>EDATE(J15,6)</f>
        <v>44977</v>
      </c>
      <c r="L15" s="169">
        <f>EDATE(K15,6)</f>
        <v>45158</v>
      </c>
      <c r="M15" s="168">
        <f>EDATE(L15,6)</f>
        <v>45342</v>
      </c>
      <c r="N15" s="169">
        <f>EDATE(M15,6)</f>
        <v>45524</v>
      </c>
      <c r="O15" s="169">
        <f>EDATE(N15,6)</f>
        <v>45708</v>
      </c>
      <c r="P15" s="169">
        <f t="shared" ref="P15:AG16" si="14">EDATE(O15,6)</f>
        <v>45889</v>
      </c>
      <c r="Q15" s="169">
        <f t="shared" si="14"/>
        <v>46073</v>
      </c>
      <c r="R15" s="170">
        <f t="shared" si="14"/>
        <v>46254</v>
      </c>
      <c r="S15" s="169">
        <f t="shared" si="14"/>
        <v>46438</v>
      </c>
      <c r="T15" s="169">
        <f t="shared" si="14"/>
        <v>46619</v>
      </c>
      <c r="U15" s="169">
        <f t="shared" si="14"/>
        <v>46803</v>
      </c>
      <c r="V15" s="169">
        <f t="shared" si="14"/>
        <v>46985</v>
      </c>
      <c r="W15" s="169">
        <f t="shared" si="14"/>
        <v>47169</v>
      </c>
      <c r="X15" s="169">
        <f t="shared" si="14"/>
        <v>47350</v>
      </c>
      <c r="Y15" s="169">
        <f t="shared" si="14"/>
        <v>47534</v>
      </c>
      <c r="Z15" s="169">
        <f t="shared" si="14"/>
        <v>47715</v>
      </c>
      <c r="AA15" s="169">
        <f t="shared" si="14"/>
        <v>47899</v>
      </c>
      <c r="AB15" s="169">
        <f t="shared" si="14"/>
        <v>48080</v>
      </c>
      <c r="AC15" s="169">
        <f t="shared" si="14"/>
        <v>48264</v>
      </c>
      <c r="AD15" s="169">
        <f t="shared" si="14"/>
        <v>48446</v>
      </c>
      <c r="AE15" s="169">
        <f t="shared" si="14"/>
        <v>48630</v>
      </c>
      <c r="AF15" s="169">
        <f t="shared" si="14"/>
        <v>48811</v>
      </c>
      <c r="AG15" s="169">
        <f t="shared" si="14"/>
        <v>48995</v>
      </c>
      <c r="AH15" s="188">
        <f ca="1">R15-TODAY()</f>
        <v>142</v>
      </c>
      <c r="AI15" s="166">
        <f>6*D15</f>
        <v>42000000</v>
      </c>
      <c r="AJ15" s="164" t="s">
        <v>954</v>
      </c>
    </row>
    <row r="16" spans="1:36" x14ac:dyDescent="0.2">
      <c r="A16" s="164">
        <v>13</v>
      </c>
      <c r="B16" s="164" t="s">
        <v>190</v>
      </c>
      <c r="C16" s="165" t="s">
        <v>15</v>
      </c>
      <c r="D16" s="166">
        <v>6600000</v>
      </c>
      <c r="E16" s="166" t="s">
        <v>193</v>
      </c>
      <c r="F16" s="166" t="s">
        <v>194</v>
      </c>
      <c r="G16" s="166" t="s">
        <v>195</v>
      </c>
      <c r="H16" s="166" t="s">
        <v>192</v>
      </c>
      <c r="I16" s="192" t="s">
        <v>79</v>
      </c>
      <c r="J16" s="169">
        <v>44706</v>
      </c>
      <c r="K16" s="169">
        <v>44890</v>
      </c>
      <c r="L16" s="168">
        <f>EDATE(K16,6)</f>
        <v>45071</v>
      </c>
      <c r="M16" s="169">
        <f>EDATE(L16,6)</f>
        <v>45255</v>
      </c>
      <c r="N16" s="169">
        <f>EDATE(M16,6)</f>
        <v>45437</v>
      </c>
      <c r="O16" s="169">
        <f>EDATE(N16,6)</f>
        <v>45621</v>
      </c>
      <c r="P16" s="169">
        <f t="shared" si="14"/>
        <v>45802</v>
      </c>
      <c r="Q16" s="170">
        <f t="shared" si="14"/>
        <v>45986</v>
      </c>
      <c r="R16" s="169">
        <f t="shared" si="14"/>
        <v>46167</v>
      </c>
      <c r="S16" s="169">
        <f t="shared" si="14"/>
        <v>46351</v>
      </c>
      <c r="T16" s="169">
        <f t="shared" si="14"/>
        <v>46532</v>
      </c>
      <c r="U16" s="169">
        <f t="shared" si="14"/>
        <v>46716</v>
      </c>
      <c r="V16" s="169">
        <f t="shared" si="14"/>
        <v>46898</v>
      </c>
      <c r="W16" s="169">
        <f t="shared" si="14"/>
        <v>47082</v>
      </c>
      <c r="X16" s="169">
        <f t="shared" si="14"/>
        <v>47263</v>
      </c>
      <c r="Y16" s="169">
        <f t="shared" si="14"/>
        <v>47447</v>
      </c>
      <c r="Z16" s="169">
        <f t="shared" si="14"/>
        <v>47628</v>
      </c>
      <c r="AA16" s="169">
        <f t="shared" si="14"/>
        <v>47812</v>
      </c>
      <c r="AB16" s="169">
        <f t="shared" si="14"/>
        <v>47993</v>
      </c>
      <c r="AC16" s="169">
        <f t="shared" si="14"/>
        <v>48177</v>
      </c>
      <c r="AD16" s="169">
        <f t="shared" si="14"/>
        <v>48359</v>
      </c>
      <c r="AE16" s="169">
        <f t="shared" si="14"/>
        <v>48543</v>
      </c>
      <c r="AF16" s="169">
        <f t="shared" si="14"/>
        <v>48724</v>
      </c>
      <c r="AG16" s="169">
        <f t="shared" si="14"/>
        <v>48908</v>
      </c>
      <c r="AH16" s="171">
        <f ca="1">R16-TODAY()</f>
        <v>55</v>
      </c>
      <c r="AI16" s="166">
        <f>6*D16</f>
        <v>39600000</v>
      </c>
      <c r="AJ16" s="164" t="s">
        <v>954</v>
      </c>
    </row>
    <row r="17" spans="1:36" x14ac:dyDescent="0.2">
      <c r="A17" s="173">
        <v>14</v>
      </c>
      <c r="B17" s="186" t="s">
        <v>229</v>
      </c>
      <c r="C17" s="165" t="s">
        <v>230</v>
      </c>
      <c r="D17" s="166">
        <v>7000000</v>
      </c>
      <c r="E17" s="166" t="s">
        <v>958</v>
      </c>
      <c r="F17" s="166" t="s">
        <v>233</v>
      </c>
      <c r="G17" s="166" t="s">
        <v>102</v>
      </c>
      <c r="H17" s="166" t="s">
        <v>234</v>
      </c>
      <c r="I17" s="167" t="s">
        <v>77</v>
      </c>
      <c r="J17" s="169">
        <v>44713</v>
      </c>
      <c r="K17" s="168">
        <f>J17+90+2</f>
        <v>44805</v>
      </c>
      <c r="L17" s="168">
        <f t="shared" ref="L17:R17" si="15">EDATE(K17,3)</f>
        <v>44896</v>
      </c>
      <c r="M17" s="168">
        <f t="shared" si="15"/>
        <v>44986</v>
      </c>
      <c r="N17" s="169">
        <f t="shared" si="15"/>
        <v>45078</v>
      </c>
      <c r="O17" s="168">
        <f t="shared" si="15"/>
        <v>45170</v>
      </c>
      <c r="P17" s="168">
        <f t="shared" si="15"/>
        <v>45261</v>
      </c>
      <c r="Q17" s="168">
        <f t="shared" si="15"/>
        <v>45352</v>
      </c>
      <c r="R17" s="168">
        <f t="shared" si="15"/>
        <v>45444</v>
      </c>
      <c r="S17" s="168">
        <f>EDATE(R17,3)</f>
        <v>45536</v>
      </c>
      <c r="T17" s="168">
        <f>EDATE(S17,3)</f>
        <v>45627</v>
      </c>
      <c r="U17" s="168">
        <f t="shared" ref="U17:AG17" si="16">EDATE(T17,3)</f>
        <v>45717</v>
      </c>
      <c r="V17" s="168">
        <f t="shared" si="16"/>
        <v>45809</v>
      </c>
      <c r="W17" s="168">
        <f t="shared" si="16"/>
        <v>45901</v>
      </c>
      <c r="X17" s="168">
        <f t="shared" si="16"/>
        <v>45992</v>
      </c>
      <c r="Y17" s="187">
        <f>EDATE(X17,3)</f>
        <v>46082</v>
      </c>
      <c r="Z17" s="168">
        <f>EDATE(Y17,3)</f>
        <v>46174</v>
      </c>
      <c r="AA17" s="168">
        <f t="shared" si="16"/>
        <v>46266</v>
      </c>
      <c r="AB17" s="168">
        <f t="shared" si="16"/>
        <v>46357</v>
      </c>
      <c r="AC17" s="168">
        <f t="shared" si="16"/>
        <v>46447</v>
      </c>
      <c r="AD17" s="168">
        <f t="shared" si="16"/>
        <v>46539</v>
      </c>
      <c r="AE17" s="168">
        <f t="shared" si="16"/>
        <v>46631</v>
      </c>
      <c r="AF17" s="168">
        <f t="shared" si="16"/>
        <v>46722</v>
      </c>
      <c r="AG17" s="168">
        <f t="shared" si="16"/>
        <v>46813</v>
      </c>
      <c r="AH17" s="188">
        <f ca="1">Z17-TODAY()</f>
        <v>62</v>
      </c>
      <c r="AI17" s="166">
        <f>3*D17</f>
        <v>21000000</v>
      </c>
      <c r="AJ17" s="164" t="s">
        <v>953</v>
      </c>
    </row>
    <row r="18" spans="1:36" x14ac:dyDescent="0.2">
      <c r="A18" s="164">
        <v>15</v>
      </c>
      <c r="B18" s="164" t="s">
        <v>290</v>
      </c>
      <c r="C18" s="165" t="s">
        <v>291</v>
      </c>
      <c r="D18" s="166">
        <v>5300000</v>
      </c>
      <c r="E18" s="166" t="s">
        <v>302</v>
      </c>
      <c r="F18" s="166" t="s">
        <v>301</v>
      </c>
      <c r="G18" s="166" t="s">
        <v>303</v>
      </c>
      <c r="H18" s="166" t="s">
        <v>298</v>
      </c>
      <c r="I18" s="193" t="s">
        <v>79</v>
      </c>
      <c r="J18" s="169">
        <v>44727</v>
      </c>
      <c r="K18" s="169">
        <f>EDATE(J18,6)</f>
        <v>44910</v>
      </c>
      <c r="L18" s="169">
        <f>EDATE(K18,6)</f>
        <v>45092</v>
      </c>
      <c r="M18" s="169">
        <f>EDATE(L18,6)</f>
        <v>45275</v>
      </c>
      <c r="N18" s="169">
        <f>EDATE(M18,6)</f>
        <v>45458</v>
      </c>
      <c r="O18" s="169">
        <f>EDATE(N18,6)</f>
        <v>45641</v>
      </c>
      <c r="P18" s="169">
        <f t="shared" ref="P18:AG18" si="17">EDATE(O18,6)</f>
        <v>45823</v>
      </c>
      <c r="Q18" s="169">
        <f t="shared" si="17"/>
        <v>46006</v>
      </c>
      <c r="R18" s="170">
        <f t="shared" si="17"/>
        <v>46188</v>
      </c>
      <c r="S18" s="169">
        <f t="shared" si="17"/>
        <v>46371</v>
      </c>
      <c r="T18" s="169">
        <f t="shared" si="17"/>
        <v>46553</v>
      </c>
      <c r="U18" s="169">
        <f t="shared" si="17"/>
        <v>46736</v>
      </c>
      <c r="V18" s="169">
        <f t="shared" si="17"/>
        <v>46919</v>
      </c>
      <c r="W18" s="169">
        <f t="shared" si="17"/>
        <v>47102</v>
      </c>
      <c r="X18" s="169">
        <f t="shared" si="17"/>
        <v>47284</v>
      </c>
      <c r="Y18" s="169">
        <f t="shared" si="17"/>
        <v>47467</v>
      </c>
      <c r="Z18" s="169">
        <f t="shared" si="17"/>
        <v>47649</v>
      </c>
      <c r="AA18" s="169">
        <f t="shared" si="17"/>
        <v>47832</v>
      </c>
      <c r="AB18" s="169">
        <f t="shared" si="17"/>
        <v>48014</v>
      </c>
      <c r="AC18" s="169">
        <f t="shared" si="17"/>
        <v>48197</v>
      </c>
      <c r="AD18" s="169">
        <f t="shared" si="17"/>
        <v>48380</v>
      </c>
      <c r="AE18" s="169">
        <f t="shared" si="17"/>
        <v>48563</v>
      </c>
      <c r="AF18" s="169">
        <f t="shared" si="17"/>
        <v>48745</v>
      </c>
      <c r="AG18" s="169">
        <f t="shared" si="17"/>
        <v>48928</v>
      </c>
      <c r="AH18" s="188">
        <f ca="1">R18-TODAY()</f>
        <v>76</v>
      </c>
      <c r="AI18" s="166">
        <f>6*D18</f>
        <v>31800000</v>
      </c>
      <c r="AJ18" s="164" t="s">
        <v>954</v>
      </c>
    </row>
    <row r="19" spans="1:36" x14ac:dyDescent="0.2">
      <c r="A19" s="173">
        <v>16</v>
      </c>
      <c r="B19" s="164" t="s">
        <v>316</v>
      </c>
      <c r="C19" s="165" t="s">
        <v>15</v>
      </c>
      <c r="D19" s="166">
        <v>6000000</v>
      </c>
      <c r="E19" s="166" t="s">
        <v>332</v>
      </c>
      <c r="F19" s="166" t="s">
        <v>333</v>
      </c>
      <c r="G19" s="166" t="s">
        <v>334</v>
      </c>
      <c r="H19" s="166" t="s">
        <v>335</v>
      </c>
      <c r="I19" s="167" t="s">
        <v>77</v>
      </c>
      <c r="J19" s="169">
        <v>44785</v>
      </c>
      <c r="K19" s="169">
        <f t="shared" ref="K19:Q19" si="18">EDATE(J19,3)</f>
        <v>44877</v>
      </c>
      <c r="L19" s="169">
        <f t="shared" si="18"/>
        <v>44969</v>
      </c>
      <c r="M19" s="169">
        <f t="shared" si="18"/>
        <v>45058</v>
      </c>
      <c r="N19" s="169">
        <f t="shared" si="18"/>
        <v>45150</v>
      </c>
      <c r="O19" s="169">
        <f t="shared" si="18"/>
        <v>45242</v>
      </c>
      <c r="P19" s="169">
        <f t="shared" si="18"/>
        <v>45334</v>
      </c>
      <c r="Q19" s="169">
        <f t="shared" si="18"/>
        <v>45424</v>
      </c>
      <c r="R19" s="169">
        <f>EDATE(Q19,3)</f>
        <v>45516</v>
      </c>
      <c r="S19" s="169">
        <f t="shared" ref="S19:AG19" si="19">EDATE(R19,3)</f>
        <v>45608</v>
      </c>
      <c r="T19" s="169">
        <f t="shared" si="19"/>
        <v>45700</v>
      </c>
      <c r="U19" s="169">
        <f t="shared" si="19"/>
        <v>45789</v>
      </c>
      <c r="V19" s="169">
        <f t="shared" si="19"/>
        <v>45881</v>
      </c>
      <c r="W19" s="169">
        <f>EDATE(V19,3)</f>
        <v>45973</v>
      </c>
      <c r="X19" s="169">
        <f>EDATE(W19,3)</f>
        <v>46065</v>
      </c>
      <c r="Y19" s="170">
        <f t="shared" si="19"/>
        <v>46154</v>
      </c>
      <c r="Z19" s="169">
        <f t="shared" si="19"/>
        <v>46246</v>
      </c>
      <c r="AA19" s="169">
        <f t="shared" si="19"/>
        <v>46338</v>
      </c>
      <c r="AB19" s="169">
        <f t="shared" si="19"/>
        <v>46430</v>
      </c>
      <c r="AC19" s="169">
        <f t="shared" si="19"/>
        <v>46519</v>
      </c>
      <c r="AD19" s="169">
        <f t="shared" si="19"/>
        <v>46611</v>
      </c>
      <c r="AE19" s="169">
        <f t="shared" si="19"/>
        <v>46703</v>
      </c>
      <c r="AF19" s="169">
        <f t="shared" si="19"/>
        <v>46795</v>
      </c>
      <c r="AG19" s="169">
        <f t="shared" si="19"/>
        <v>46885</v>
      </c>
      <c r="AH19" s="188">
        <f ca="1">Y19-TODAY()</f>
        <v>42</v>
      </c>
      <c r="AI19" s="166">
        <f>3*D19</f>
        <v>18000000</v>
      </c>
      <c r="AJ19" s="164" t="s">
        <v>956</v>
      </c>
    </row>
    <row r="20" spans="1:36" x14ac:dyDescent="0.2">
      <c r="A20" s="164">
        <v>17</v>
      </c>
      <c r="B20" s="174" t="s">
        <v>427</v>
      </c>
      <c r="C20" s="165" t="s">
        <v>15</v>
      </c>
      <c r="D20" s="175">
        <v>5000000</v>
      </c>
      <c r="E20" s="175" t="s">
        <v>339</v>
      </c>
      <c r="F20" s="175" t="s">
        <v>340</v>
      </c>
      <c r="G20" s="175" t="s">
        <v>341</v>
      </c>
      <c r="H20" s="175" t="s">
        <v>342</v>
      </c>
      <c r="I20" s="176" t="s">
        <v>79</v>
      </c>
      <c r="J20" s="179">
        <v>44805</v>
      </c>
      <c r="K20" s="179">
        <f>EDATE(J20,6)</f>
        <v>44986</v>
      </c>
      <c r="L20" s="177">
        <f t="shared" ref="L20:AG20" si="20">EDATE(K20,6)</f>
        <v>45170</v>
      </c>
      <c r="M20" s="177">
        <f t="shared" si="20"/>
        <v>45352</v>
      </c>
      <c r="N20" s="179">
        <f>EDATE(M20,6)</f>
        <v>45536</v>
      </c>
      <c r="O20" s="179">
        <f>EDATE(N20,6)</f>
        <v>45717</v>
      </c>
      <c r="P20" s="179">
        <f>EDATE(O20,6)</f>
        <v>45901</v>
      </c>
      <c r="Q20" s="180">
        <f>EDATE(P20,6)</f>
        <v>46082</v>
      </c>
      <c r="R20" s="179">
        <f t="shared" si="20"/>
        <v>46266</v>
      </c>
      <c r="S20" s="179">
        <f t="shared" si="20"/>
        <v>46447</v>
      </c>
      <c r="T20" s="179">
        <f t="shared" si="20"/>
        <v>46631</v>
      </c>
      <c r="U20" s="179">
        <f t="shared" si="20"/>
        <v>46813</v>
      </c>
      <c r="V20" s="179">
        <f>EDATE(U20,6)-1</f>
        <v>46996</v>
      </c>
      <c r="W20" s="179">
        <f t="shared" si="20"/>
        <v>47177</v>
      </c>
      <c r="X20" s="179">
        <f t="shared" si="20"/>
        <v>47358</v>
      </c>
      <c r="Y20" s="179">
        <f t="shared" si="20"/>
        <v>47542</v>
      </c>
      <c r="Z20" s="179">
        <f t="shared" si="20"/>
        <v>47723</v>
      </c>
      <c r="AA20" s="179">
        <f t="shared" si="20"/>
        <v>47907</v>
      </c>
      <c r="AB20" s="179">
        <f t="shared" si="20"/>
        <v>48088</v>
      </c>
      <c r="AC20" s="179">
        <f t="shared" si="20"/>
        <v>48272</v>
      </c>
      <c r="AD20" s="179">
        <f t="shared" si="20"/>
        <v>48454</v>
      </c>
      <c r="AE20" s="179">
        <f t="shared" si="20"/>
        <v>48638</v>
      </c>
      <c r="AF20" s="179">
        <f t="shared" si="20"/>
        <v>48819</v>
      </c>
      <c r="AG20" s="179">
        <f t="shared" si="20"/>
        <v>49003</v>
      </c>
      <c r="AH20" s="194">
        <f ca="1">R20-TODAY()</f>
        <v>154</v>
      </c>
      <c r="AI20" s="175">
        <f>6*D20</f>
        <v>30000000</v>
      </c>
      <c r="AJ20" s="173" t="s">
        <v>954</v>
      </c>
    </row>
    <row r="21" spans="1:36" x14ac:dyDescent="0.2">
      <c r="A21" s="173">
        <v>18</v>
      </c>
      <c r="B21" s="195" t="s">
        <v>649</v>
      </c>
      <c r="C21" s="165" t="s">
        <v>66</v>
      </c>
      <c r="D21" s="166">
        <v>6500000</v>
      </c>
      <c r="E21" s="166" t="s">
        <v>607</v>
      </c>
      <c r="F21" s="166" t="s">
        <v>601</v>
      </c>
      <c r="G21" s="166" t="s">
        <v>406</v>
      </c>
      <c r="H21" s="166" t="s">
        <v>353</v>
      </c>
      <c r="I21" s="167" t="s">
        <v>77</v>
      </c>
      <c r="J21" s="169">
        <v>44717</v>
      </c>
      <c r="K21" s="184">
        <f t="shared" ref="K21:AG21" si="21">EDATE(J21,3)</f>
        <v>44809</v>
      </c>
      <c r="L21" s="168">
        <f t="shared" si="21"/>
        <v>44900</v>
      </c>
      <c r="M21" s="168">
        <f t="shared" si="21"/>
        <v>44990</v>
      </c>
      <c r="N21" s="169">
        <f t="shared" si="21"/>
        <v>45082</v>
      </c>
      <c r="O21" s="169">
        <f t="shared" si="21"/>
        <v>45174</v>
      </c>
      <c r="P21" s="169">
        <f t="shared" si="21"/>
        <v>45265</v>
      </c>
      <c r="Q21" s="169">
        <f t="shared" si="21"/>
        <v>45356</v>
      </c>
      <c r="R21" s="169">
        <f>EDATE(Q21,3)</f>
        <v>45448</v>
      </c>
      <c r="S21" s="169">
        <f t="shared" si="21"/>
        <v>45540</v>
      </c>
      <c r="T21" s="169">
        <f t="shared" si="21"/>
        <v>45631</v>
      </c>
      <c r="U21" s="169">
        <f t="shared" si="21"/>
        <v>45721</v>
      </c>
      <c r="V21" s="169">
        <f t="shared" si="21"/>
        <v>45813</v>
      </c>
      <c r="W21" s="169">
        <f t="shared" si="21"/>
        <v>45905</v>
      </c>
      <c r="X21" s="169">
        <f t="shared" si="21"/>
        <v>45996</v>
      </c>
      <c r="Y21" s="170">
        <f t="shared" si="21"/>
        <v>46086</v>
      </c>
      <c r="Z21" s="169">
        <f t="shared" si="21"/>
        <v>46178</v>
      </c>
      <c r="AA21" s="169">
        <f t="shared" si="21"/>
        <v>46270</v>
      </c>
      <c r="AB21" s="169">
        <f t="shared" si="21"/>
        <v>46361</v>
      </c>
      <c r="AC21" s="169">
        <f t="shared" si="21"/>
        <v>46451</v>
      </c>
      <c r="AD21" s="169">
        <f t="shared" si="21"/>
        <v>46543</v>
      </c>
      <c r="AE21" s="169">
        <f t="shared" si="21"/>
        <v>46635</v>
      </c>
      <c r="AF21" s="169">
        <f t="shared" si="21"/>
        <v>46726</v>
      </c>
      <c r="AG21" s="169">
        <f t="shared" si="21"/>
        <v>46817</v>
      </c>
      <c r="AH21" s="188">
        <f ca="1">Z21-TODAY()</f>
        <v>66</v>
      </c>
      <c r="AI21" s="166">
        <f>3*D21</f>
        <v>19500000</v>
      </c>
      <c r="AJ21" s="164" t="s">
        <v>953</v>
      </c>
    </row>
    <row r="22" spans="1:36" x14ac:dyDescent="0.2">
      <c r="A22" s="164">
        <v>19</v>
      </c>
      <c r="B22" s="164" t="s">
        <v>347</v>
      </c>
      <c r="C22" s="165" t="s">
        <v>66</v>
      </c>
      <c r="D22" s="166">
        <v>4000000</v>
      </c>
      <c r="E22" s="166" t="s">
        <v>371</v>
      </c>
      <c r="F22" s="166" t="s">
        <v>370</v>
      </c>
      <c r="G22" s="166" t="s">
        <v>372</v>
      </c>
      <c r="H22" s="166" t="s">
        <v>349</v>
      </c>
      <c r="I22" s="169" t="str">
        <f>VLOOKUP($B22,'[1]Theo dõi HĐ_Chi tiết'!$B:$AF,30,0)</f>
        <v>Trạm PS</v>
      </c>
      <c r="J22" s="169">
        <v>44781</v>
      </c>
      <c r="K22" s="169">
        <f t="shared" ref="K22:P23" si="22">EDATE(J22,6)</f>
        <v>44965</v>
      </c>
      <c r="L22" s="168">
        <f t="shared" si="22"/>
        <v>45146</v>
      </c>
      <c r="M22" s="168">
        <f t="shared" si="22"/>
        <v>45330</v>
      </c>
      <c r="N22" s="168">
        <f t="shared" si="22"/>
        <v>45512</v>
      </c>
      <c r="O22" s="168">
        <f t="shared" si="22"/>
        <v>45696</v>
      </c>
      <c r="P22" s="168">
        <f t="shared" si="22"/>
        <v>45877</v>
      </c>
      <c r="Q22" s="168">
        <f>EDATE(P22,6)</f>
        <v>46061</v>
      </c>
      <c r="R22" s="187">
        <f t="shared" ref="R22:AG23" si="23">EDATE(Q22,6)</f>
        <v>46242</v>
      </c>
      <c r="S22" s="168">
        <f t="shared" si="23"/>
        <v>46426</v>
      </c>
      <c r="T22" s="168">
        <f t="shared" si="23"/>
        <v>46607</v>
      </c>
      <c r="U22" s="168">
        <f t="shared" si="23"/>
        <v>46791</v>
      </c>
      <c r="V22" s="168">
        <f t="shared" si="23"/>
        <v>46973</v>
      </c>
      <c r="W22" s="168">
        <f t="shared" si="23"/>
        <v>47157</v>
      </c>
      <c r="X22" s="168">
        <f t="shared" si="23"/>
        <v>47338</v>
      </c>
      <c r="Y22" s="168">
        <f t="shared" si="23"/>
        <v>47522</v>
      </c>
      <c r="Z22" s="168">
        <f t="shared" si="23"/>
        <v>47703</v>
      </c>
      <c r="AA22" s="168">
        <f t="shared" si="23"/>
        <v>47887</v>
      </c>
      <c r="AB22" s="168">
        <f t="shared" si="23"/>
        <v>48068</v>
      </c>
      <c r="AC22" s="168">
        <f t="shared" si="23"/>
        <v>48252</v>
      </c>
      <c r="AD22" s="168">
        <f t="shared" si="23"/>
        <v>48434</v>
      </c>
      <c r="AE22" s="168">
        <f t="shared" si="23"/>
        <v>48618</v>
      </c>
      <c r="AF22" s="168">
        <f t="shared" si="23"/>
        <v>48799</v>
      </c>
      <c r="AG22" s="168">
        <f t="shared" si="23"/>
        <v>48983</v>
      </c>
      <c r="AH22" s="188">
        <f ca="1">R22-TODAY()</f>
        <v>130</v>
      </c>
      <c r="AI22" s="166">
        <f>6*D22</f>
        <v>24000000</v>
      </c>
      <c r="AJ22" s="164" t="s">
        <v>954</v>
      </c>
    </row>
    <row r="23" spans="1:36" x14ac:dyDescent="0.2">
      <c r="A23" s="173">
        <v>20</v>
      </c>
      <c r="B23" s="164" t="s">
        <v>196</v>
      </c>
      <c r="C23" s="165" t="s">
        <v>15</v>
      </c>
      <c r="D23" s="196">
        <v>6000000</v>
      </c>
      <c r="E23" s="197" t="s">
        <v>959</v>
      </c>
      <c r="F23" s="166" t="s">
        <v>293</v>
      </c>
      <c r="G23" s="166" t="s">
        <v>305</v>
      </c>
      <c r="H23" s="166" t="s">
        <v>294</v>
      </c>
      <c r="I23" s="169" t="s">
        <v>79</v>
      </c>
      <c r="J23" s="169">
        <v>44781</v>
      </c>
      <c r="K23" s="169">
        <f t="shared" si="22"/>
        <v>44965</v>
      </c>
      <c r="L23" s="168">
        <f t="shared" si="22"/>
        <v>45146</v>
      </c>
      <c r="M23" s="168">
        <f t="shared" si="22"/>
        <v>45330</v>
      </c>
      <c r="N23" s="168">
        <f t="shared" si="22"/>
        <v>45512</v>
      </c>
      <c r="O23" s="168">
        <f t="shared" si="22"/>
        <v>45696</v>
      </c>
      <c r="P23" s="168">
        <f t="shared" si="22"/>
        <v>45877</v>
      </c>
      <c r="Q23" s="168">
        <f>EDATE(P23,6)</f>
        <v>46061</v>
      </c>
      <c r="R23" s="187">
        <f t="shared" si="23"/>
        <v>46242</v>
      </c>
      <c r="S23" s="168">
        <f t="shared" si="23"/>
        <v>46426</v>
      </c>
      <c r="T23" s="168">
        <f t="shared" si="23"/>
        <v>46607</v>
      </c>
      <c r="U23" s="168">
        <f t="shared" si="23"/>
        <v>46791</v>
      </c>
      <c r="V23" s="168">
        <f t="shared" si="23"/>
        <v>46973</v>
      </c>
      <c r="W23" s="168">
        <f t="shared" si="23"/>
        <v>47157</v>
      </c>
      <c r="X23" s="168">
        <f t="shared" si="23"/>
        <v>47338</v>
      </c>
      <c r="Y23" s="168">
        <f t="shared" si="23"/>
        <v>47522</v>
      </c>
      <c r="Z23" s="168">
        <f t="shared" si="23"/>
        <v>47703</v>
      </c>
      <c r="AA23" s="168">
        <f t="shared" si="23"/>
        <v>47887</v>
      </c>
      <c r="AB23" s="168">
        <f t="shared" si="23"/>
        <v>48068</v>
      </c>
      <c r="AC23" s="168">
        <f t="shared" si="23"/>
        <v>48252</v>
      </c>
      <c r="AD23" s="168">
        <f t="shared" si="23"/>
        <v>48434</v>
      </c>
      <c r="AE23" s="168">
        <f t="shared" si="23"/>
        <v>48618</v>
      </c>
      <c r="AF23" s="168">
        <f t="shared" si="23"/>
        <v>48799</v>
      </c>
      <c r="AG23" s="168">
        <f t="shared" si="23"/>
        <v>48983</v>
      </c>
      <c r="AH23" s="188">
        <f ca="1">R23-TODAY()</f>
        <v>130</v>
      </c>
      <c r="AI23" s="166">
        <f>D23*6</f>
        <v>36000000</v>
      </c>
      <c r="AJ23" s="164" t="s">
        <v>954</v>
      </c>
    </row>
    <row r="24" spans="1:36" x14ac:dyDescent="0.2">
      <c r="A24" s="164">
        <v>21</v>
      </c>
      <c r="B24" s="165" t="s">
        <v>535</v>
      </c>
      <c r="C24" s="165" t="s">
        <v>15</v>
      </c>
      <c r="D24" s="166">
        <v>5000000</v>
      </c>
      <c r="E24" s="166" t="s">
        <v>376</v>
      </c>
      <c r="F24" s="166" t="s">
        <v>377</v>
      </c>
      <c r="G24" s="166" t="s">
        <v>378</v>
      </c>
      <c r="H24" s="166" t="s">
        <v>379</v>
      </c>
      <c r="I24" s="169" t="s">
        <v>77</v>
      </c>
      <c r="J24" s="169">
        <v>44917</v>
      </c>
      <c r="K24" s="184">
        <f t="shared" ref="K24:Z25" si="24">EDATE(J24,3)</f>
        <v>45007</v>
      </c>
      <c r="L24" s="168">
        <f t="shared" si="24"/>
        <v>45099</v>
      </c>
      <c r="M24" s="169">
        <f t="shared" si="24"/>
        <v>45191</v>
      </c>
      <c r="N24" s="168">
        <f t="shared" si="24"/>
        <v>45282</v>
      </c>
      <c r="O24" s="169">
        <f t="shared" si="24"/>
        <v>45373</v>
      </c>
      <c r="P24" s="168">
        <f t="shared" si="24"/>
        <v>45465</v>
      </c>
      <c r="Q24" s="169">
        <f t="shared" si="24"/>
        <v>45557</v>
      </c>
      <c r="R24" s="169">
        <f t="shared" si="24"/>
        <v>45648</v>
      </c>
      <c r="S24" s="169">
        <f t="shared" si="24"/>
        <v>45738</v>
      </c>
      <c r="T24" s="169">
        <f t="shared" si="24"/>
        <v>45830</v>
      </c>
      <c r="U24" s="169">
        <f t="shared" si="24"/>
        <v>45922</v>
      </c>
      <c r="V24" s="169">
        <f t="shared" si="24"/>
        <v>46013</v>
      </c>
      <c r="W24" s="170">
        <f t="shared" si="24"/>
        <v>46103</v>
      </c>
      <c r="X24" s="169">
        <f t="shared" si="24"/>
        <v>46195</v>
      </c>
      <c r="Y24" s="169">
        <f t="shared" si="24"/>
        <v>46287</v>
      </c>
      <c r="Z24" s="169">
        <f t="shared" si="24"/>
        <v>46378</v>
      </c>
      <c r="AA24" s="169">
        <f t="shared" ref="AA24:AG25" si="25">EDATE(Z24,3)</f>
        <v>46468</v>
      </c>
      <c r="AB24" s="169">
        <f t="shared" si="25"/>
        <v>46560</v>
      </c>
      <c r="AC24" s="169">
        <f t="shared" si="25"/>
        <v>46652</v>
      </c>
      <c r="AD24" s="169">
        <f t="shared" si="25"/>
        <v>46743</v>
      </c>
      <c r="AE24" s="169">
        <f t="shared" si="25"/>
        <v>46834</v>
      </c>
      <c r="AF24" s="169">
        <f t="shared" si="25"/>
        <v>46926</v>
      </c>
      <c r="AG24" s="169">
        <f t="shared" si="25"/>
        <v>47018</v>
      </c>
      <c r="AH24" s="188">
        <f ca="1">X24-TODAY()</f>
        <v>83</v>
      </c>
      <c r="AI24" s="189">
        <f>3*D24</f>
        <v>15000000</v>
      </c>
      <c r="AJ24" s="164" t="s">
        <v>960</v>
      </c>
    </row>
    <row r="25" spans="1:36" x14ac:dyDescent="0.2">
      <c r="A25" s="173">
        <v>22</v>
      </c>
      <c r="B25" s="173" t="s">
        <v>106</v>
      </c>
      <c r="C25" s="165" t="s">
        <v>380</v>
      </c>
      <c r="D25" s="196">
        <v>6500000</v>
      </c>
      <c r="E25" s="198" t="s">
        <v>961</v>
      </c>
      <c r="F25" s="175" t="s">
        <v>962</v>
      </c>
      <c r="G25" s="175" t="s">
        <v>406</v>
      </c>
      <c r="H25" s="175" t="s">
        <v>384</v>
      </c>
      <c r="I25" s="179" t="s">
        <v>77</v>
      </c>
      <c r="J25" s="179">
        <v>44788</v>
      </c>
      <c r="K25" s="179">
        <f t="shared" si="24"/>
        <v>44880</v>
      </c>
      <c r="L25" s="179">
        <f t="shared" si="24"/>
        <v>44972</v>
      </c>
      <c r="M25" s="179">
        <f t="shared" si="24"/>
        <v>45061</v>
      </c>
      <c r="N25" s="179">
        <f>EDATE(M25,3)</f>
        <v>45153</v>
      </c>
      <c r="O25" s="179">
        <f>EDATE(N25,3)</f>
        <v>45245</v>
      </c>
      <c r="P25" s="169">
        <f>EDATE(O25,3)</f>
        <v>45337</v>
      </c>
      <c r="Q25" s="169">
        <f>EDATE(P25,3)</f>
        <v>45427</v>
      </c>
      <c r="R25" s="169">
        <f>EDATE(Q25,3)</f>
        <v>45519</v>
      </c>
      <c r="S25" s="169">
        <f t="shared" si="24"/>
        <v>45611</v>
      </c>
      <c r="T25" s="169">
        <f t="shared" si="24"/>
        <v>45703</v>
      </c>
      <c r="U25" s="169">
        <f t="shared" si="24"/>
        <v>45792</v>
      </c>
      <c r="V25" s="169">
        <f t="shared" si="24"/>
        <v>45884</v>
      </c>
      <c r="W25" s="169">
        <f t="shared" si="24"/>
        <v>45976</v>
      </c>
      <c r="X25" s="169">
        <f t="shared" si="24"/>
        <v>46068</v>
      </c>
      <c r="Y25" s="170">
        <f t="shared" si="24"/>
        <v>46157</v>
      </c>
      <c r="Z25" s="169">
        <f t="shared" si="24"/>
        <v>46249</v>
      </c>
      <c r="AA25" s="169">
        <f t="shared" si="25"/>
        <v>46341</v>
      </c>
      <c r="AB25" s="169">
        <f t="shared" si="25"/>
        <v>46433</v>
      </c>
      <c r="AC25" s="169">
        <f t="shared" si="25"/>
        <v>46522</v>
      </c>
      <c r="AD25" s="169">
        <f t="shared" si="25"/>
        <v>46614</v>
      </c>
      <c r="AE25" s="169">
        <f t="shared" si="25"/>
        <v>46706</v>
      </c>
      <c r="AF25" s="169">
        <f t="shared" si="25"/>
        <v>46798</v>
      </c>
      <c r="AG25" s="169">
        <f t="shared" si="25"/>
        <v>46888</v>
      </c>
      <c r="AH25" s="194">
        <f ca="1">Y25-TODAY()</f>
        <v>45</v>
      </c>
      <c r="AI25" s="175">
        <f>3*D25</f>
        <v>19500000</v>
      </c>
      <c r="AJ25" s="173" t="s">
        <v>956</v>
      </c>
    </row>
    <row r="26" spans="1:36" x14ac:dyDescent="0.2">
      <c r="A26" s="164">
        <v>23</v>
      </c>
      <c r="B26" s="164" t="s">
        <v>385</v>
      </c>
      <c r="C26" s="165" t="s">
        <v>157</v>
      </c>
      <c r="D26" s="166" t="s">
        <v>419</v>
      </c>
      <c r="E26" s="166" t="s">
        <v>352</v>
      </c>
      <c r="F26" s="166" t="s">
        <v>389</v>
      </c>
      <c r="G26" s="166" t="s">
        <v>352</v>
      </c>
      <c r="H26" s="166" t="s">
        <v>390</v>
      </c>
      <c r="I26" s="169" t="s">
        <v>79</v>
      </c>
      <c r="J26" s="169">
        <v>44835</v>
      </c>
      <c r="K26" s="184">
        <f t="shared" ref="K26:P26" si="26">EDATE(J26,6)</f>
        <v>45017</v>
      </c>
      <c r="L26" s="168">
        <f t="shared" si="26"/>
        <v>45200</v>
      </c>
      <c r="M26" s="169">
        <f t="shared" si="26"/>
        <v>45383</v>
      </c>
      <c r="N26" s="169">
        <f t="shared" si="26"/>
        <v>45566</v>
      </c>
      <c r="O26" s="169">
        <f t="shared" si="26"/>
        <v>45748</v>
      </c>
      <c r="P26" s="169">
        <f t="shared" si="26"/>
        <v>45931</v>
      </c>
      <c r="Q26" s="169">
        <f>EDATE(P26,6)</f>
        <v>46113</v>
      </c>
      <c r="R26" s="169">
        <f t="shared" ref="R26:AG26" si="27">EDATE(Q26,6)</f>
        <v>46296</v>
      </c>
      <c r="S26" s="169">
        <f t="shared" si="27"/>
        <v>46478</v>
      </c>
      <c r="T26" s="169">
        <f t="shared" si="27"/>
        <v>46661</v>
      </c>
      <c r="U26" s="169">
        <f t="shared" si="27"/>
        <v>46844</v>
      </c>
      <c r="V26" s="169">
        <f t="shared" si="27"/>
        <v>47027</v>
      </c>
      <c r="W26" s="169">
        <f t="shared" si="27"/>
        <v>47209</v>
      </c>
      <c r="X26" s="169">
        <f t="shared" si="27"/>
        <v>47392</v>
      </c>
      <c r="Y26" s="169">
        <f t="shared" si="27"/>
        <v>47574</v>
      </c>
      <c r="Z26" s="169">
        <f t="shared" si="27"/>
        <v>47757</v>
      </c>
      <c r="AA26" s="169">
        <f t="shared" si="27"/>
        <v>47939</v>
      </c>
      <c r="AB26" s="169">
        <f t="shared" si="27"/>
        <v>48122</v>
      </c>
      <c r="AC26" s="169">
        <f t="shared" si="27"/>
        <v>48305</v>
      </c>
      <c r="AD26" s="169">
        <f t="shared" si="27"/>
        <v>48488</v>
      </c>
      <c r="AE26" s="169">
        <f t="shared" si="27"/>
        <v>48670</v>
      </c>
      <c r="AF26" s="169">
        <f t="shared" si="27"/>
        <v>48853</v>
      </c>
      <c r="AG26" s="169">
        <f t="shared" si="27"/>
        <v>49035</v>
      </c>
      <c r="AH26" s="188">
        <f ca="1">Q26-TODAY()</f>
        <v>1</v>
      </c>
      <c r="AI26" s="166">
        <f>6*D26</f>
        <v>36000000</v>
      </c>
      <c r="AJ26" s="164" t="s">
        <v>963</v>
      </c>
    </row>
    <row r="27" spans="1:36" x14ac:dyDescent="0.2">
      <c r="A27" s="173">
        <v>24</v>
      </c>
      <c r="B27" s="164" t="s">
        <v>386</v>
      </c>
      <c r="C27" s="165" t="s">
        <v>66</v>
      </c>
      <c r="D27" s="166">
        <v>5000000</v>
      </c>
      <c r="E27" s="197" t="s">
        <v>964</v>
      </c>
      <c r="F27" s="166" t="s">
        <v>393</v>
      </c>
      <c r="G27" s="166" t="s">
        <v>396</v>
      </c>
      <c r="H27" s="166" t="s">
        <v>391</v>
      </c>
      <c r="I27" s="179" t="s">
        <v>77</v>
      </c>
      <c r="J27" s="169">
        <v>44774</v>
      </c>
      <c r="K27" s="184">
        <f t="shared" ref="K27:V27" si="28">EDATE(J27,3)</f>
        <v>44866</v>
      </c>
      <c r="L27" s="184">
        <f t="shared" si="28"/>
        <v>44958</v>
      </c>
      <c r="M27" s="184">
        <f t="shared" si="28"/>
        <v>45047</v>
      </c>
      <c r="N27" s="169">
        <f t="shared" si="28"/>
        <v>45139</v>
      </c>
      <c r="O27" s="169">
        <f t="shared" si="28"/>
        <v>45231</v>
      </c>
      <c r="P27" s="169">
        <f t="shared" si="28"/>
        <v>45323</v>
      </c>
      <c r="Q27" s="169">
        <f t="shared" si="28"/>
        <v>45413</v>
      </c>
      <c r="R27" s="169">
        <f t="shared" si="28"/>
        <v>45505</v>
      </c>
      <c r="S27" s="169">
        <f t="shared" si="28"/>
        <v>45597</v>
      </c>
      <c r="T27" s="169">
        <f t="shared" si="28"/>
        <v>45689</v>
      </c>
      <c r="U27" s="169">
        <f t="shared" si="28"/>
        <v>45778</v>
      </c>
      <c r="V27" s="169">
        <f t="shared" si="28"/>
        <v>45870</v>
      </c>
      <c r="W27" s="169">
        <f>EDATE(V27,3)</f>
        <v>45962</v>
      </c>
      <c r="X27" s="169">
        <f>EDATE(W27,3)</f>
        <v>46054</v>
      </c>
      <c r="Y27" s="170">
        <f>EDATE(X27,3)</f>
        <v>46143</v>
      </c>
      <c r="Z27" s="169">
        <f t="shared" ref="Z27:AG27" si="29">EDATE(Y27,3)</f>
        <v>46235</v>
      </c>
      <c r="AA27" s="169">
        <f t="shared" si="29"/>
        <v>46327</v>
      </c>
      <c r="AB27" s="169">
        <f t="shared" si="29"/>
        <v>46419</v>
      </c>
      <c r="AC27" s="169">
        <f t="shared" si="29"/>
        <v>46508</v>
      </c>
      <c r="AD27" s="169">
        <f t="shared" si="29"/>
        <v>46600</v>
      </c>
      <c r="AE27" s="169">
        <f t="shared" si="29"/>
        <v>46692</v>
      </c>
      <c r="AF27" s="169">
        <f t="shared" si="29"/>
        <v>46784</v>
      </c>
      <c r="AG27" s="169">
        <f t="shared" si="29"/>
        <v>46874</v>
      </c>
      <c r="AH27" s="188">
        <f ca="1">Y27-TODAY()</f>
        <v>31</v>
      </c>
      <c r="AI27" s="166">
        <f>3*D27</f>
        <v>15000000</v>
      </c>
      <c r="AJ27" s="164" t="s">
        <v>956</v>
      </c>
    </row>
    <row r="28" spans="1:36" x14ac:dyDescent="0.2">
      <c r="A28" s="164">
        <v>25</v>
      </c>
      <c r="B28" s="173" t="s">
        <v>408</v>
      </c>
      <c r="C28" s="165" t="s">
        <v>409</v>
      </c>
      <c r="D28" s="175">
        <v>5750000</v>
      </c>
      <c r="E28" s="175" t="s">
        <v>415</v>
      </c>
      <c r="F28" s="175" t="s">
        <v>414</v>
      </c>
      <c r="G28" s="175" t="s">
        <v>416</v>
      </c>
      <c r="H28" s="175" t="s">
        <v>411</v>
      </c>
      <c r="I28" s="193" t="s">
        <v>79</v>
      </c>
      <c r="J28" s="179">
        <v>44728</v>
      </c>
      <c r="K28" s="179">
        <f>EDATE(J28,6)</f>
        <v>44911</v>
      </c>
      <c r="L28" s="179">
        <f>EDATE(K28,6)</f>
        <v>45093</v>
      </c>
      <c r="M28" s="179">
        <f>EDATE(L28,6)</f>
        <v>45276</v>
      </c>
      <c r="N28" s="179">
        <f>EDATE(M28,6)</f>
        <v>45459</v>
      </c>
      <c r="O28" s="179">
        <f>EDATE(N28,6)</f>
        <v>45642</v>
      </c>
      <c r="P28" s="179">
        <f t="shared" ref="P28:AG29" si="30">EDATE(O28,6)</f>
        <v>45824</v>
      </c>
      <c r="Q28" s="179">
        <f t="shared" si="30"/>
        <v>46007</v>
      </c>
      <c r="R28" s="180">
        <f t="shared" si="30"/>
        <v>46189</v>
      </c>
      <c r="S28" s="179">
        <f t="shared" si="30"/>
        <v>46372</v>
      </c>
      <c r="T28" s="179">
        <f t="shared" si="30"/>
        <v>46554</v>
      </c>
      <c r="U28" s="179">
        <f t="shared" si="30"/>
        <v>46737</v>
      </c>
      <c r="V28" s="179">
        <f t="shared" si="30"/>
        <v>46920</v>
      </c>
      <c r="W28" s="179">
        <f t="shared" si="30"/>
        <v>47103</v>
      </c>
      <c r="X28" s="179">
        <f t="shared" si="30"/>
        <v>47285</v>
      </c>
      <c r="Y28" s="179">
        <f t="shared" si="30"/>
        <v>47468</v>
      </c>
      <c r="Z28" s="179">
        <f t="shared" si="30"/>
        <v>47650</v>
      </c>
      <c r="AA28" s="179">
        <f t="shared" si="30"/>
        <v>47833</v>
      </c>
      <c r="AB28" s="179">
        <f t="shared" si="30"/>
        <v>48015</v>
      </c>
      <c r="AC28" s="179">
        <f t="shared" si="30"/>
        <v>48198</v>
      </c>
      <c r="AD28" s="179">
        <f t="shared" si="30"/>
        <v>48381</v>
      </c>
      <c r="AE28" s="179">
        <f t="shared" si="30"/>
        <v>48564</v>
      </c>
      <c r="AF28" s="179">
        <f t="shared" si="30"/>
        <v>48746</v>
      </c>
      <c r="AG28" s="179">
        <f t="shared" si="30"/>
        <v>48929</v>
      </c>
      <c r="AH28" s="194">
        <f ca="1">R28-TODAY()</f>
        <v>77</v>
      </c>
      <c r="AI28" s="175">
        <f>6*D28</f>
        <v>34500000</v>
      </c>
      <c r="AJ28" s="173" t="s">
        <v>954</v>
      </c>
    </row>
    <row r="29" spans="1:36" x14ac:dyDescent="0.2">
      <c r="A29" s="173">
        <v>26</v>
      </c>
      <c r="B29" s="164" t="s">
        <v>428</v>
      </c>
      <c r="C29" s="165" t="s">
        <v>117</v>
      </c>
      <c r="D29" s="166">
        <v>7000000</v>
      </c>
      <c r="E29" s="166" t="s">
        <v>432</v>
      </c>
      <c r="F29" s="166" t="s">
        <v>430</v>
      </c>
      <c r="G29" s="166" t="s">
        <v>171</v>
      </c>
      <c r="H29" s="166" t="s">
        <v>433</v>
      </c>
      <c r="I29" s="200" t="s">
        <v>79</v>
      </c>
      <c r="J29" s="201">
        <v>44835</v>
      </c>
      <c r="K29" s="184">
        <f>EDATE(J29,6)</f>
        <v>45017</v>
      </c>
      <c r="L29" s="168">
        <f t="shared" ref="L29" si="31">EDATE(K29,6)</f>
        <v>45200</v>
      </c>
      <c r="M29" s="169">
        <f>EDATE(L29,6)</f>
        <v>45383</v>
      </c>
      <c r="N29" s="169">
        <f>EDATE(M29,6)</f>
        <v>45566</v>
      </c>
      <c r="O29" s="169">
        <f t="shared" ref="O29:U29" si="32">EDATE(N29,6)</f>
        <v>45748</v>
      </c>
      <c r="P29" s="169">
        <f>EDATE(O29,6)</f>
        <v>45931</v>
      </c>
      <c r="Q29" s="169" t="s">
        <v>1151</v>
      </c>
      <c r="R29" s="202">
        <v>46023</v>
      </c>
      <c r="S29" s="170">
        <f>EDATE(R29,6)</f>
        <v>46204</v>
      </c>
      <c r="T29" s="169">
        <f t="shared" si="32"/>
        <v>46388</v>
      </c>
      <c r="U29" s="169">
        <f t="shared" si="32"/>
        <v>46569</v>
      </c>
      <c r="V29" s="169">
        <f t="shared" si="30"/>
        <v>46753</v>
      </c>
      <c r="W29" s="169">
        <f t="shared" si="30"/>
        <v>46935</v>
      </c>
      <c r="X29" s="169">
        <f t="shared" si="30"/>
        <v>47119</v>
      </c>
      <c r="Y29" s="169">
        <f t="shared" si="30"/>
        <v>47300</v>
      </c>
      <c r="Z29" s="169">
        <f t="shared" si="30"/>
        <v>47484</v>
      </c>
      <c r="AA29" s="169">
        <f t="shared" si="30"/>
        <v>47665</v>
      </c>
      <c r="AB29" s="169">
        <f t="shared" si="30"/>
        <v>47849</v>
      </c>
      <c r="AC29" s="169">
        <f t="shared" si="30"/>
        <v>48030</v>
      </c>
      <c r="AD29" s="169">
        <f t="shared" si="30"/>
        <v>48214</v>
      </c>
      <c r="AE29" s="169">
        <f t="shared" si="30"/>
        <v>48396</v>
      </c>
      <c r="AF29" s="169">
        <f t="shared" si="30"/>
        <v>48580</v>
      </c>
      <c r="AG29" s="169">
        <f t="shared" si="30"/>
        <v>48761</v>
      </c>
      <c r="AH29" s="188">
        <f ca="1">S29-TODAY()</f>
        <v>92</v>
      </c>
      <c r="AI29" s="203">
        <f>D29*6</f>
        <v>42000000</v>
      </c>
      <c r="AJ29" s="164" t="s">
        <v>965</v>
      </c>
    </row>
    <row r="30" spans="1:36" x14ac:dyDescent="0.2">
      <c r="A30" s="164">
        <v>27</v>
      </c>
      <c r="B30" s="164" t="s">
        <v>434</v>
      </c>
      <c r="C30" s="165" t="s">
        <v>15</v>
      </c>
      <c r="D30" s="203">
        <v>3000000</v>
      </c>
      <c r="E30" s="166" t="s">
        <v>444</v>
      </c>
      <c r="F30" s="166" t="s">
        <v>443</v>
      </c>
      <c r="G30" s="166" t="s">
        <v>441</v>
      </c>
      <c r="H30" s="166" t="s">
        <v>445</v>
      </c>
      <c r="I30" s="164" t="s">
        <v>77</v>
      </c>
      <c r="J30" s="201">
        <v>44870</v>
      </c>
      <c r="K30" s="184">
        <f t="shared" ref="K30:P30" si="33">EDATE(J30,3)</f>
        <v>44962</v>
      </c>
      <c r="L30" s="168">
        <f t="shared" si="33"/>
        <v>45051</v>
      </c>
      <c r="M30" s="169">
        <f t="shared" si="33"/>
        <v>45143</v>
      </c>
      <c r="N30" s="168">
        <f t="shared" si="33"/>
        <v>45235</v>
      </c>
      <c r="O30" s="169">
        <f t="shared" si="33"/>
        <v>45327</v>
      </c>
      <c r="P30" s="168">
        <f t="shared" si="33"/>
        <v>45417</v>
      </c>
      <c r="Q30" s="169">
        <f>EDATE(P30,3)</f>
        <v>45509</v>
      </c>
      <c r="R30" s="169">
        <f t="shared" ref="R30:T30" si="34">EDATE(Q30,3)</f>
        <v>45601</v>
      </c>
      <c r="S30" s="169">
        <f t="shared" si="34"/>
        <v>45693</v>
      </c>
      <c r="T30" s="169">
        <f t="shared" si="34"/>
        <v>45782</v>
      </c>
      <c r="U30" s="169">
        <f>EDATE(T30,3)</f>
        <v>45874</v>
      </c>
      <c r="V30" s="169">
        <f t="shared" ref="V30" si="35">EDATE(U30,3)</f>
        <v>45966</v>
      </c>
      <c r="W30" s="169">
        <f>EDATE(V30,3)</f>
        <v>46058</v>
      </c>
      <c r="X30" s="170">
        <f t="shared" ref="X30:AG30" si="36">EDATE(W30,3)</f>
        <v>46147</v>
      </c>
      <c r="Y30" s="169">
        <f t="shared" si="36"/>
        <v>46239</v>
      </c>
      <c r="Z30" s="169">
        <f t="shared" si="36"/>
        <v>46331</v>
      </c>
      <c r="AA30" s="169">
        <f t="shared" si="36"/>
        <v>46423</v>
      </c>
      <c r="AB30" s="169">
        <f t="shared" si="36"/>
        <v>46512</v>
      </c>
      <c r="AC30" s="169">
        <f t="shared" si="36"/>
        <v>46604</v>
      </c>
      <c r="AD30" s="169">
        <f t="shared" si="36"/>
        <v>46696</v>
      </c>
      <c r="AE30" s="169">
        <f t="shared" si="36"/>
        <v>46788</v>
      </c>
      <c r="AF30" s="169">
        <f t="shared" si="36"/>
        <v>46878</v>
      </c>
      <c r="AG30" s="169">
        <f t="shared" si="36"/>
        <v>46970</v>
      </c>
      <c r="AH30" s="188">
        <f ca="1">X30-TODAY()</f>
        <v>35</v>
      </c>
      <c r="AI30" s="203">
        <f>D30*3</f>
        <v>9000000</v>
      </c>
      <c r="AJ30" s="164" t="s">
        <v>960</v>
      </c>
    </row>
    <row r="31" spans="1:36" x14ac:dyDescent="0.2">
      <c r="A31" s="173">
        <v>28</v>
      </c>
      <c r="B31" s="173" t="s">
        <v>436</v>
      </c>
      <c r="C31" s="165" t="s">
        <v>107</v>
      </c>
      <c r="D31" s="196">
        <v>8500000</v>
      </c>
      <c r="E31" s="175" t="s">
        <v>440</v>
      </c>
      <c r="F31" s="175" t="s">
        <v>438</v>
      </c>
      <c r="G31" s="175" t="s">
        <v>441</v>
      </c>
      <c r="H31" s="175" t="s">
        <v>442</v>
      </c>
      <c r="I31" s="204" t="s">
        <v>79</v>
      </c>
      <c r="J31" s="205">
        <v>44814</v>
      </c>
      <c r="K31" s="178">
        <f>EDATE(J31,6)</f>
        <v>44995</v>
      </c>
      <c r="L31" s="177">
        <f>EDATE(K31,6)</f>
        <v>45179</v>
      </c>
      <c r="M31" s="178">
        <f>EDATE(L31,6)</f>
        <v>45361</v>
      </c>
      <c r="N31" s="177">
        <f>EDATE(M31,6)</f>
        <v>45545</v>
      </c>
      <c r="O31" s="177">
        <f t="shared" ref="O31:AG31" si="37">EDATE(N31,6)</f>
        <v>45726</v>
      </c>
      <c r="P31" s="177">
        <f t="shared" si="37"/>
        <v>45910</v>
      </c>
      <c r="Q31" s="206">
        <f t="shared" si="37"/>
        <v>46091</v>
      </c>
      <c r="R31" s="206">
        <f t="shared" si="37"/>
        <v>46275</v>
      </c>
      <c r="S31" s="177">
        <f t="shared" si="37"/>
        <v>46456</v>
      </c>
      <c r="T31" s="177">
        <f t="shared" si="37"/>
        <v>46640</v>
      </c>
      <c r="U31" s="177">
        <f t="shared" si="37"/>
        <v>46822</v>
      </c>
      <c r="V31" s="177">
        <f t="shared" si="37"/>
        <v>47006</v>
      </c>
      <c r="W31" s="177">
        <f t="shared" si="37"/>
        <v>47187</v>
      </c>
      <c r="X31" s="177">
        <f t="shared" si="37"/>
        <v>47371</v>
      </c>
      <c r="Y31" s="177">
        <f t="shared" si="37"/>
        <v>47552</v>
      </c>
      <c r="Z31" s="177">
        <f t="shared" si="37"/>
        <v>47736</v>
      </c>
      <c r="AA31" s="177">
        <f t="shared" si="37"/>
        <v>47917</v>
      </c>
      <c r="AB31" s="177">
        <f t="shared" si="37"/>
        <v>48101</v>
      </c>
      <c r="AC31" s="177">
        <f t="shared" si="37"/>
        <v>48283</v>
      </c>
      <c r="AD31" s="177">
        <f t="shared" si="37"/>
        <v>48467</v>
      </c>
      <c r="AE31" s="177">
        <f t="shared" si="37"/>
        <v>48648</v>
      </c>
      <c r="AF31" s="177">
        <f t="shared" si="37"/>
        <v>48832</v>
      </c>
      <c r="AG31" s="177">
        <f t="shared" si="37"/>
        <v>49013</v>
      </c>
      <c r="AH31" s="194">
        <f ca="1">R31-TODAY()</f>
        <v>163</v>
      </c>
      <c r="AI31" s="196">
        <f>D31*6</f>
        <v>51000000</v>
      </c>
      <c r="AJ31" s="173" t="s">
        <v>954</v>
      </c>
    </row>
    <row r="32" spans="1:36" x14ac:dyDescent="0.2">
      <c r="A32" s="164">
        <v>29</v>
      </c>
      <c r="B32" s="195" t="s">
        <v>343</v>
      </c>
      <c r="C32" s="165" t="s">
        <v>15</v>
      </c>
      <c r="D32" s="203">
        <v>5000000</v>
      </c>
      <c r="E32" s="166" t="s">
        <v>493</v>
      </c>
      <c r="F32" s="166" t="s">
        <v>494</v>
      </c>
      <c r="G32" s="166" t="s">
        <v>416</v>
      </c>
      <c r="H32" s="166" t="s">
        <v>348</v>
      </c>
      <c r="I32" s="164" t="s">
        <v>77</v>
      </c>
      <c r="J32" s="201">
        <v>44905</v>
      </c>
      <c r="K32" s="184">
        <f>EDATE(J32,3)</f>
        <v>44995</v>
      </c>
      <c r="L32" s="168">
        <f t="shared" ref="L32:P36" si="38">EDATE(K32,3)</f>
        <v>45087</v>
      </c>
      <c r="M32" s="168">
        <f t="shared" si="38"/>
        <v>45179</v>
      </c>
      <c r="N32" s="168">
        <f t="shared" si="38"/>
        <v>45270</v>
      </c>
      <c r="O32" s="168">
        <f>EDATE(N32,3)</f>
        <v>45361</v>
      </c>
      <c r="P32" s="168">
        <f t="shared" si="38"/>
        <v>45453</v>
      </c>
      <c r="Q32" s="168">
        <f>EDATE(P32,3)</f>
        <v>45545</v>
      </c>
      <c r="R32" s="168">
        <f t="shared" ref="R32:AG36" si="39">EDATE(Q32,3)</f>
        <v>45636</v>
      </c>
      <c r="S32" s="168">
        <f t="shared" si="39"/>
        <v>45726</v>
      </c>
      <c r="T32" s="168">
        <f t="shared" si="39"/>
        <v>45818</v>
      </c>
      <c r="U32" s="168">
        <f t="shared" si="39"/>
        <v>45910</v>
      </c>
      <c r="V32" s="168">
        <f t="shared" si="39"/>
        <v>46001</v>
      </c>
      <c r="W32" s="187">
        <f t="shared" si="39"/>
        <v>46091</v>
      </c>
      <c r="X32" s="168">
        <f t="shared" si="39"/>
        <v>46183</v>
      </c>
      <c r="Y32" s="168">
        <f t="shared" si="39"/>
        <v>46275</v>
      </c>
      <c r="Z32" s="168">
        <f t="shared" si="39"/>
        <v>46366</v>
      </c>
      <c r="AA32" s="168">
        <f t="shared" si="39"/>
        <v>46456</v>
      </c>
      <c r="AB32" s="168">
        <f t="shared" si="39"/>
        <v>46548</v>
      </c>
      <c r="AC32" s="168">
        <f t="shared" si="39"/>
        <v>46640</v>
      </c>
      <c r="AD32" s="168">
        <f t="shared" si="39"/>
        <v>46731</v>
      </c>
      <c r="AE32" s="168">
        <f t="shared" si="39"/>
        <v>46822</v>
      </c>
      <c r="AF32" s="168">
        <f t="shared" si="39"/>
        <v>46914</v>
      </c>
      <c r="AG32" s="168">
        <f t="shared" si="39"/>
        <v>47006</v>
      </c>
      <c r="AH32" s="188">
        <f ca="1">X32-TODAY()</f>
        <v>71</v>
      </c>
      <c r="AI32" s="203">
        <f t="shared" ref="AI32:AI36" si="40">D32*3</f>
        <v>15000000</v>
      </c>
      <c r="AJ32" s="164" t="s">
        <v>960</v>
      </c>
    </row>
    <row r="33" spans="1:36" x14ac:dyDescent="0.2">
      <c r="A33" s="173">
        <v>30</v>
      </c>
      <c r="B33" s="165" t="s">
        <v>457</v>
      </c>
      <c r="C33" s="165" t="s">
        <v>32</v>
      </c>
      <c r="D33" s="203">
        <v>7000000</v>
      </c>
      <c r="E33" s="166" t="s">
        <v>460</v>
      </c>
      <c r="F33" s="166" t="s">
        <v>459</v>
      </c>
      <c r="G33" s="166" t="s">
        <v>461</v>
      </c>
      <c r="H33" s="166" t="s">
        <v>462</v>
      </c>
      <c r="I33" s="164" t="s">
        <v>77</v>
      </c>
      <c r="J33" s="201">
        <v>44862</v>
      </c>
      <c r="K33" s="184">
        <f>EDATE(J33,3)</f>
        <v>44954</v>
      </c>
      <c r="L33" s="168">
        <f t="shared" si="38"/>
        <v>45044</v>
      </c>
      <c r="M33" s="168">
        <f t="shared" si="38"/>
        <v>45135</v>
      </c>
      <c r="N33" s="169">
        <f>EDATE(M33,3)</f>
        <v>45227</v>
      </c>
      <c r="O33" s="169">
        <f>EDATE(N33,3)</f>
        <v>45319</v>
      </c>
      <c r="P33" s="169">
        <f>EDATE(O33,3)</f>
        <v>45410</v>
      </c>
      <c r="Q33" s="169">
        <f>EDATE(P33,3)</f>
        <v>45501</v>
      </c>
      <c r="R33" s="169">
        <f t="shared" si="39"/>
        <v>45593</v>
      </c>
      <c r="S33" s="169">
        <f>EDATE(R33,3)</f>
        <v>45685</v>
      </c>
      <c r="T33" s="169">
        <f>EDATE(S33,3)</f>
        <v>45775</v>
      </c>
      <c r="U33" s="169">
        <f>EDATE(T33,3)</f>
        <v>45866</v>
      </c>
      <c r="V33" s="169">
        <f t="shared" si="39"/>
        <v>45958</v>
      </c>
      <c r="W33" s="169">
        <f t="shared" si="39"/>
        <v>46050</v>
      </c>
      <c r="X33" s="170">
        <f t="shared" si="39"/>
        <v>46140</v>
      </c>
      <c r="Y33" s="169">
        <f t="shared" si="39"/>
        <v>46231</v>
      </c>
      <c r="Z33" s="169">
        <f t="shared" si="39"/>
        <v>46323</v>
      </c>
      <c r="AA33" s="169">
        <f t="shared" si="39"/>
        <v>46415</v>
      </c>
      <c r="AB33" s="169">
        <f t="shared" si="39"/>
        <v>46505</v>
      </c>
      <c r="AC33" s="169">
        <f t="shared" si="39"/>
        <v>46596</v>
      </c>
      <c r="AD33" s="169">
        <f t="shared" si="39"/>
        <v>46688</v>
      </c>
      <c r="AE33" s="169">
        <f t="shared" si="39"/>
        <v>46780</v>
      </c>
      <c r="AF33" s="169">
        <f t="shared" si="39"/>
        <v>46871</v>
      </c>
      <c r="AG33" s="169">
        <f t="shared" si="39"/>
        <v>46962</v>
      </c>
      <c r="AH33" s="188">
        <f ca="1">X33-TODAY()</f>
        <v>28</v>
      </c>
      <c r="AI33" s="207">
        <f t="shared" si="40"/>
        <v>21000000</v>
      </c>
      <c r="AJ33" s="164" t="s">
        <v>960</v>
      </c>
    </row>
    <row r="34" spans="1:36" x14ac:dyDescent="0.2">
      <c r="A34" s="164">
        <v>31</v>
      </c>
      <c r="B34" s="173" t="s">
        <v>463</v>
      </c>
      <c r="C34" s="165" t="s">
        <v>402</v>
      </c>
      <c r="D34" s="196">
        <v>5000000</v>
      </c>
      <c r="E34" s="208" t="s">
        <v>518</v>
      </c>
      <c r="F34" s="208" t="s">
        <v>519</v>
      </c>
      <c r="G34" s="208" t="s">
        <v>520</v>
      </c>
      <c r="H34" s="208" t="s">
        <v>521</v>
      </c>
      <c r="I34" s="173" t="s">
        <v>77</v>
      </c>
      <c r="J34" s="205">
        <v>44890</v>
      </c>
      <c r="K34" s="178">
        <f>EDATE(J34,3)</f>
        <v>44982</v>
      </c>
      <c r="L34" s="177">
        <f t="shared" si="38"/>
        <v>45071</v>
      </c>
      <c r="M34" s="178">
        <f t="shared" si="38"/>
        <v>45163</v>
      </c>
      <c r="N34" s="177">
        <f>EDATE(M34,3)</f>
        <v>45255</v>
      </c>
      <c r="O34" s="178">
        <f>EDATE(N34,3)</f>
        <v>45347</v>
      </c>
      <c r="P34" s="177">
        <f>EDATE(O34,3)</f>
        <v>45437</v>
      </c>
      <c r="Q34" s="178">
        <f>EDATE(P34,3)</f>
        <v>45529</v>
      </c>
      <c r="R34" s="178">
        <f t="shared" si="39"/>
        <v>45621</v>
      </c>
      <c r="S34" s="178">
        <f>EDATE(R34,3)</f>
        <v>45713</v>
      </c>
      <c r="T34" s="178">
        <f t="shared" si="39"/>
        <v>45802</v>
      </c>
      <c r="U34" s="178">
        <f t="shared" si="39"/>
        <v>45894</v>
      </c>
      <c r="V34" s="178">
        <f t="shared" si="39"/>
        <v>45986</v>
      </c>
      <c r="W34" s="178">
        <f t="shared" si="39"/>
        <v>46078</v>
      </c>
      <c r="X34" s="209">
        <f t="shared" si="39"/>
        <v>46167</v>
      </c>
      <c r="Y34" s="178">
        <f t="shared" si="39"/>
        <v>46259</v>
      </c>
      <c r="Z34" s="178">
        <f t="shared" si="39"/>
        <v>46351</v>
      </c>
      <c r="AA34" s="178">
        <f t="shared" si="39"/>
        <v>46443</v>
      </c>
      <c r="AB34" s="178">
        <f t="shared" si="39"/>
        <v>46532</v>
      </c>
      <c r="AC34" s="178">
        <f t="shared" si="39"/>
        <v>46624</v>
      </c>
      <c r="AD34" s="178">
        <f t="shared" si="39"/>
        <v>46716</v>
      </c>
      <c r="AE34" s="178">
        <f t="shared" si="39"/>
        <v>46808</v>
      </c>
      <c r="AF34" s="178">
        <f t="shared" si="39"/>
        <v>46898</v>
      </c>
      <c r="AG34" s="178">
        <f t="shared" si="39"/>
        <v>46990</v>
      </c>
      <c r="AH34" s="194">
        <f ca="1">X34-TODAY()</f>
        <v>55</v>
      </c>
      <c r="AI34" s="196">
        <f t="shared" si="40"/>
        <v>15000000</v>
      </c>
      <c r="AJ34" s="173" t="s">
        <v>960</v>
      </c>
    </row>
    <row r="35" spans="1:36" x14ac:dyDescent="0.2">
      <c r="A35" s="173">
        <v>32</v>
      </c>
      <c r="B35" s="186" t="s">
        <v>469</v>
      </c>
      <c r="C35" s="165" t="s">
        <v>291</v>
      </c>
      <c r="D35" s="203">
        <v>5000000</v>
      </c>
      <c r="E35" s="166" t="s">
        <v>471</v>
      </c>
      <c r="F35" s="166" t="s">
        <v>472</v>
      </c>
      <c r="G35" s="166" t="s">
        <v>473</v>
      </c>
      <c r="H35" s="166" t="s">
        <v>474</v>
      </c>
      <c r="I35" s="164" t="s">
        <v>77</v>
      </c>
      <c r="J35" s="201">
        <v>44896</v>
      </c>
      <c r="K35" s="184">
        <f>EDATE(J35,3)</f>
        <v>44986</v>
      </c>
      <c r="L35" s="168">
        <f t="shared" si="38"/>
        <v>45078</v>
      </c>
      <c r="M35" s="168">
        <f t="shared" si="38"/>
        <v>45170</v>
      </c>
      <c r="N35" s="168">
        <f>EDATE(M35,3)</f>
        <v>45261</v>
      </c>
      <c r="O35" s="168">
        <f t="shared" si="38"/>
        <v>45352</v>
      </c>
      <c r="P35" s="168">
        <f>EDATE(O35,3)</f>
        <v>45444</v>
      </c>
      <c r="Q35" s="168">
        <f>EDATE(P35,3)</f>
        <v>45536</v>
      </c>
      <c r="R35" s="168">
        <f>EDATE(Q35,3)</f>
        <v>45627</v>
      </c>
      <c r="S35" s="168">
        <f t="shared" ref="S35:U35" si="41">EDATE(R35,3)</f>
        <v>45717</v>
      </c>
      <c r="T35" s="168">
        <f>EDATE(S35,3)</f>
        <v>45809</v>
      </c>
      <c r="U35" s="168">
        <f t="shared" si="41"/>
        <v>45901</v>
      </c>
      <c r="V35" s="168">
        <f>EDATE(U35,3)</f>
        <v>45992</v>
      </c>
      <c r="W35" s="187">
        <f>EDATE(V35,3)</f>
        <v>46082</v>
      </c>
      <c r="X35" s="168">
        <f>EDATE(W35,3)-1</f>
        <v>46173</v>
      </c>
      <c r="Y35" s="168">
        <f t="shared" si="39"/>
        <v>46265</v>
      </c>
      <c r="Z35" s="168">
        <f t="shared" si="39"/>
        <v>46356</v>
      </c>
      <c r="AA35" s="168">
        <f t="shared" si="39"/>
        <v>46446</v>
      </c>
      <c r="AB35" s="168">
        <f t="shared" si="39"/>
        <v>46535</v>
      </c>
      <c r="AC35" s="168">
        <f t="shared" si="39"/>
        <v>46627</v>
      </c>
      <c r="AD35" s="168">
        <f t="shared" si="39"/>
        <v>46719</v>
      </c>
      <c r="AE35" s="168">
        <f t="shared" si="39"/>
        <v>46811</v>
      </c>
      <c r="AF35" s="168">
        <f t="shared" si="39"/>
        <v>46901</v>
      </c>
      <c r="AG35" s="168">
        <f t="shared" si="39"/>
        <v>46993</v>
      </c>
      <c r="AH35" s="188">
        <f ca="1">X35-TODAY()</f>
        <v>61</v>
      </c>
      <c r="AI35" s="203">
        <f t="shared" si="40"/>
        <v>15000000</v>
      </c>
      <c r="AJ35" s="164" t="s">
        <v>960</v>
      </c>
    </row>
    <row r="36" spans="1:36" x14ac:dyDescent="0.2">
      <c r="A36" s="164">
        <v>33</v>
      </c>
      <c r="B36" s="186" t="s">
        <v>475</v>
      </c>
      <c r="C36" s="165" t="s">
        <v>476</v>
      </c>
      <c r="D36" s="203">
        <v>5500000</v>
      </c>
      <c r="E36" s="166" t="s">
        <v>478</v>
      </c>
      <c r="F36" s="166" t="s">
        <v>479</v>
      </c>
      <c r="G36" s="166" t="s">
        <v>114</v>
      </c>
      <c r="H36" s="166" t="s">
        <v>480</v>
      </c>
      <c r="I36" s="164" t="s">
        <v>77</v>
      </c>
      <c r="J36" s="201">
        <v>44896</v>
      </c>
      <c r="K36" s="184">
        <f>EDATE(J36,3)</f>
        <v>44986</v>
      </c>
      <c r="L36" s="168">
        <f t="shared" si="38"/>
        <v>45078</v>
      </c>
      <c r="M36" s="168">
        <f t="shared" si="38"/>
        <v>45170</v>
      </c>
      <c r="N36" s="168">
        <f>EDATE(M36,3)</f>
        <v>45261</v>
      </c>
      <c r="O36" s="168">
        <f t="shared" si="38"/>
        <v>45352</v>
      </c>
      <c r="P36" s="168">
        <f>EDATE(O36,3)</f>
        <v>45444</v>
      </c>
      <c r="Q36" s="168">
        <f>EDATE(P36,3)</f>
        <v>45536</v>
      </c>
      <c r="R36" s="168">
        <f t="shared" ref="R36:U36" si="42">EDATE(Q36,3)</f>
        <v>45627</v>
      </c>
      <c r="S36" s="168">
        <f t="shared" si="42"/>
        <v>45717</v>
      </c>
      <c r="T36" s="168">
        <f>EDATE(S36,3)</f>
        <v>45809</v>
      </c>
      <c r="U36" s="168">
        <f t="shared" si="42"/>
        <v>45901</v>
      </c>
      <c r="V36" s="168">
        <f>EDATE(U36,3)</f>
        <v>45992</v>
      </c>
      <c r="W36" s="187">
        <f>EDATE(V36,3)</f>
        <v>46082</v>
      </c>
      <c r="X36" s="168">
        <f>EDATE(W36,3)-1</f>
        <v>46173</v>
      </c>
      <c r="Y36" s="168">
        <f t="shared" si="39"/>
        <v>46265</v>
      </c>
      <c r="Z36" s="168">
        <f t="shared" si="39"/>
        <v>46356</v>
      </c>
      <c r="AA36" s="168">
        <f t="shared" si="39"/>
        <v>46446</v>
      </c>
      <c r="AB36" s="168">
        <f t="shared" si="39"/>
        <v>46535</v>
      </c>
      <c r="AC36" s="168">
        <f t="shared" si="39"/>
        <v>46627</v>
      </c>
      <c r="AD36" s="168">
        <f t="shared" si="39"/>
        <v>46719</v>
      </c>
      <c r="AE36" s="168">
        <f t="shared" si="39"/>
        <v>46811</v>
      </c>
      <c r="AF36" s="168">
        <f t="shared" si="39"/>
        <v>46901</v>
      </c>
      <c r="AG36" s="168">
        <f t="shared" si="39"/>
        <v>46993</v>
      </c>
      <c r="AH36" s="188">
        <f ca="1">X36-TODAY()</f>
        <v>61</v>
      </c>
      <c r="AI36" s="203">
        <f t="shared" si="40"/>
        <v>16500000</v>
      </c>
      <c r="AJ36" s="164" t="s">
        <v>960</v>
      </c>
    </row>
    <row r="37" spans="1:36" x14ac:dyDescent="0.2">
      <c r="A37" s="173">
        <v>34</v>
      </c>
      <c r="B37" s="164" t="s">
        <v>142</v>
      </c>
      <c r="C37" s="165" t="s">
        <v>66</v>
      </c>
      <c r="D37" s="203">
        <v>7700000</v>
      </c>
      <c r="E37" s="189" t="s">
        <v>482</v>
      </c>
      <c r="F37" s="189" t="s">
        <v>483</v>
      </c>
      <c r="G37" s="189" t="s">
        <v>484</v>
      </c>
      <c r="H37" s="166" t="s">
        <v>485</v>
      </c>
      <c r="I37" s="210" t="s">
        <v>79</v>
      </c>
      <c r="J37" s="201">
        <v>44870</v>
      </c>
      <c r="K37" s="184">
        <f t="shared" ref="K37:L39" si="43">EDATE(J37,6)</f>
        <v>45051</v>
      </c>
      <c r="L37" s="168">
        <f t="shared" si="43"/>
        <v>45235</v>
      </c>
      <c r="M37" s="184">
        <v>45444</v>
      </c>
      <c r="N37" s="168">
        <f>EDATE(M37,6)</f>
        <v>45627</v>
      </c>
      <c r="O37" s="168">
        <f>EDATE(N37,6)</f>
        <v>45809</v>
      </c>
      <c r="P37" s="168">
        <f t="shared" ref="P37:AG39" si="44">EDATE(O37,6)</f>
        <v>45992</v>
      </c>
      <c r="Q37" s="187">
        <f>EDATE(P37,6)</f>
        <v>46174</v>
      </c>
      <c r="R37" s="168">
        <f t="shared" si="44"/>
        <v>46357</v>
      </c>
      <c r="S37" s="168">
        <f t="shared" si="44"/>
        <v>46539</v>
      </c>
      <c r="T37" s="168">
        <f t="shared" si="44"/>
        <v>46722</v>
      </c>
      <c r="U37" s="168">
        <f t="shared" si="44"/>
        <v>46905</v>
      </c>
      <c r="V37" s="168">
        <f t="shared" si="44"/>
        <v>47088</v>
      </c>
      <c r="W37" s="168">
        <f t="shared" si="44"/>
        <v>47270</v>
      </c>
      <c r="X37" s="168">
        <f t="shared" si="44"/>
        <v>47453</v>
      </c>
      <c r="Y37" s="168">
        <f t="shared" si="44"/>
        <v>47635</v>
      </c>
      <c r="Z37" s="168">
        <f t="shared" si="44"/>
        <v>47818</v>
      </c>
      <c r="AA37" s="168">
        <f t="shared" si="44"/>
        <v>48000</v>
      </c>
      <c r="AB37" s="168">
        <f t="shared" si="44"/>
        <v>48183</v>
      </c>
      <c r="AC37" s="168">
        <f t="shared" si="44"/>
        <v>48366</v>
      </c>
      <c r="AD37" s="168">
        <f t="shared" si="44"/>
        <v>48549</v>
      </c>
      <c r="AE37" s="168">
        <f t="shared" si="44"/>
        <v>48731</v>
      </c>
      <c r="AF37" s="168">
        <f t="shared" si="44"/>
        <v>48914</v>
      </c>
      <c r="AG37" s="168">
        <f t="shared" si="44"/>
        <v>49096</v>
      </c>
      <c r="AH37" s="188">
        <f ca="1">Q37-TODAY()</f>
        <v>62</v>
      </c>
      <c r="AI37" s="203">
        <f>D37*6</f>
        <v>46200000</v>
      </c>
      <c r="AJ37" s="164" t="s">
        <v>963</v>
      </c>
    </row>
    <row r="38" spans="1:36" x14ac:dyDescent="0.2">
      <c r="A38" s="164">
        <v>35</v>
      </c>
      <c r="B38" s="164" t="s">
        <v>486</v>
      </c>
      <c r="C38" s="165" t="s">
        <v>230</v>
      </c>
      <c r="D38" s="203">
        <v>6000000</v>
      </c>
      <c r="E38" s="166" t="s">
        <v>488</v>
      </c>
      <c r="F38" s="166" t="s">
        <v>490</v>
      </c>
      <c r="G38" s="166" t="s">
        <v>489</v>
      </c>
      <c r="H38" s="166" t="s">
        <v>491</v>
      </c>
      <c r="I38" s="211" t="s">
        <v>79</v>
      </c>
      <c r="J38" s="169">
        <v>44896</v>
      </c>
      <c r="K38" s="184">
        <f t="shared" si="43"/>
        <v>45078</v>
      </c>
      <c r="L38" s="168">
        <f t="shared" si="43"/>
        <v>45261</v>
      </c>
      <c r="M38" s="184">
        <f>EDATE(L38,6)</f>
        <v>45444</v>
      </c>
      <c r="N38" s="168">
        <f>EDATE(M38,6)</f>
        <v>45627</v>
      </c>
      <c r="O38" s="168">
        <f t="shared" ref="O38:U39" si="45">EDATE(N38,6)</f>
        <v>45809</v>
      </c>
      <c r="P38" s="168">
        <f t="shared" si="45"/>
        <v>45992</v>
      </c>
      <c r="Q38" s="187">
        <f>EDATE(P38,6)</f>
        <v>46174</v>
      </c>
      <c r="R38" s="168">
        <f t="shared" si="45"/>
        <v>46357</v>
      </c>
      <c r="S38" s="168">
        <f t="shared" si="45"/>
        <v>46539</v>
      </c>
      <c r="T38" s="168">
        <f t="shared" si="45"/>
        <v>46722</v>
      </c>
      <c r="U38" s="168">
        <f t="shared" si="45"/>
        <v>46905</v>
      </c>
      <c r="V38" s="168">
        <f t="shared" si="44"/>
        <v>47088</v>
      </c>
      <c r="W38" s="168">
        <f t="shared" si="44"/>
        <v>47270</v>
      </c>
      <c r="X38" s="168">
        <f t="shared" si="44"/>
        <v>47453</v>
      </c>
      <c r="Y38" s="168">
        <f t="shared" si="44"/>
        <v>47635</v>
      </c>
      <c r="Z38" s="168">
        <f t="shared" si="44"/>
        <v>47818</v>
      </c>
      <c r="AA38" s="168">
        <f t="shared" si="44"/>
        <v>48000</v>
      </c>
      <c r="AB38" s="168">
        <f t="shared" si="44"/>
        <v>48183</v>
      </c>
      <c r="AC38" s="168">
        <f t="shared" si="44"/>
        <v>48366</v>
      </c>
      <c r="AD38" s="168">
        <f t="shared" si="44"/>
        <v>48549</v>
      </c>
      <c r="AE38" s="168">
        <f t="shared" si="44"/>
        <v>48731</v>
      </c>
      <c r="AF38" s="168">
        <f t="shared" si="44"/>
        <v>48914</v>
      </c>
      <c r="AG38" s="168">
        <f t="shared" si="44"/>
        <v>49096</v>
      </c>
      <c r="AH38" s="188">
        <f ca="1">Q38-TODAY()</f>
        <v>62</v>
      </c>
      <c r="AI38" s="203">
        <f>D38*6</f>
        <v>36000000</v>
      </c>
      <c r="AJ38" s="164" t="s">
        <v>963</v>
      </c>
    </row>
    <row r="39" spans="1:36" x14ac:dyDescent="0.2">
      <c r="A39" s="173">
        <v>36</v>
      </c>
      <c r="B39" s="164" t="s">
        <v>501</v>
      </c>
      <c r="C39" s="165" t="s">
        <v>32</v>
      </c>
      <c r="D39" s="203">
        <v>7000000</v>
      </c>
      <c r="E39" s="166" t="s">
        <v>503</v>
      </c>
      <c r="F39" s="166" t="s">
        <v>505</v>
      </c>
      <c r="G39" s="166" t="s">
        <v>504</v>
      </c>
      <c r="H39" s="166" t="s">
        <v>506</v>
      </c>
      <c r="I39" s="212" t="s">
        <v>79</v>
      </c>
      <c r="J39" s="169">
        <v>44910</v>
      </c>
      <c r="K39" s="184">
        <f t="shared" si="43"/>
        <v>45092</v>
      </c>
      <c r="L39" s="168">
        <f>EDATE(K39,6)</f>
        <v>45275</v>
      </c>
      <c r="M39" s="168">
        <f>EDATE(L39,6)</f>
        <v>45458</v>
      </c>
      <c r="N39" s="168">
        <f>EDATE(M39,6)</f>
        <v>45641</v>
      </c>
      <c r="O39" s="168">
        <f t="shared" si="45"/>
        <v>45823</v>
      </c>
      <c r="P39" s="168">
        <f t="shared" si="45"/>
        <v>46006</v>
      </c>
      <c r="Q39" s="187">
        <f t="shared" si="45"/>
        <v>46188</v>
      </c>
      <c r="R39" s="168">
        <f t="shared" si="45"/>
        <v>46371</v>
      </c>
      <c r="S39" s="168">
        <f t="shared" si="45"/>
        <v>46553</v>
      </c>
      <c r="T39" s="168">
        <f t="shared" si="45"/>
        <v>46736</v>
      </c>
      <c r="U39" s="168">
        <f t="shared" si="45"/>
        <v>46919</v>
      </c>
      <c r="V39" s="168">
        <f t="shared" si="44"/>
        <v>47102</v>
      </c>
      <c r="W39" s="168">
        <f t="shared" si="44"/>
        <v>47284</v>
      </c>
      <c r="X39" s="168">
        <f t="shared" si="44"/>
        <v>47467</v>
      </c>
      <c r="Y39" s="168">
        <f t="shared" si="44"/>
        <v>47649</v>
      </c>
      <c r="Z39" s="168">
        <f t="shared" si="44"/>
        <v>47832</v>
      </c>
      <c r="AA39" s="168">
        <f t="shared" si="44"/>
        <v>48014</v>
      </c>
      <c r="AB39" s="168">
        <f t="shared" si="44"/>
        <v>48197</v>
      </c>
      <c r="AC39" s="168">
        <f t="shared" si="44"/>
        <v>48380</v>
      </c>
      <c r="AD39" s="168">
        <f t="shared" si="44"/>
        <v>48563</v>
      </c>
      <c r="AE39" s="168">
        <f t="shared" si="44"/>
        <v>48745</v>
      </c>
      <c r="AF39" s="168">
        <f t="shared" si="44"/>
        <v>48928</v>
      </c>
      <c r="AG39" s="168">
        <f t="shared" si="44"/>
        <v>49110</v>
      </c>
      <c r="AH39" s="188">
        <f ca="1">Q39-TODAY()</f>
        <v>76</v>
      </c>
      <c r="AI39" s="203">
        <f>D39*6</f>
        <v>42000000</v>
      </c>
      <c r="AJ39" s="164" t="s">
        <v>963</v>
      </c>
    </row>
    <row r="40" spans="1:36" x14ac:dyDescent="0.2">
      <c r="A40" s="164">
        <v>37</v>
      </c>
      <c r="B40" s="164" t="s">
        <v>500</v>
      </c>
      <c r="C40" s="165" t="s">
        <v>32</v>
      </c>
      <c r="D40" s="203">
        <v>8000000</v>
      </c>
      <c r="E40" s="166" t="s">
        <v>516</v>
      </c>
      <c r="F40" s="166" t="s">
        <v>508</v>
      </c>
      <c r="G40" s="166" t="s">
        <v>509</v>
      </c>
      <c r="H40" s="166" t="s">
        <v>510</v>
      </c>
      <c r="I40" s="164" t="s">
        <v>77</v>
      </c>
      <c r="J40" s="169">
        <v>44910</v>
      </c>
      <c r="K40" s="184">
        <f t="shared" ref="K40:Q43" si="46">EDATE(J40,3)</f>
        <v>45000</v>
      </c>
      <c r="L40" s="168">
        <f t="shared" si="46"/>
        <v>45092</v>
      </c>
      <c r="M40" s="169">
        <f t="shared" si="46"/>
        <v>45184</v>
      </c>
      <c r="N40" s="168">
        <f>EDATE(M40,3)</f>
        <v>45275</v>
      </c>
      <c r="O40" s="168">
        <f>EDATE(N40,3)</f>
        <v>45366</v>
      </c>
      <c r="P40" s="168">
        <f>EDATE(O40,3)</f>
        <v>45458</v>
      </c>
      <c r="Q40" s="168">
        <f>EDATE(P40,3)</f>
        <v>45550</v>
      </c>
      <c r="R40" s="168">
        <f t="shared" ref="R40:AG43" si="47">EDATE(Q40,3)</f>
        <v>45641</v>
      </c>
      <c r="S40" s="168">
        <f t="shared" si="47"/>
        <v>45731</v>
      </c>
      <c r="T40" s="168">
        <f t="shared" si="47"/>
        <v>45823</v>
      </c>
      <c r="U40" s="168">
        <f t="shared" si="47"/>
        <v>45915</v>
      </c>
      <c r="V40" s="168">
        <f t="shared" si="47"/>
        <v>46006</v>
      </c>
      <c r="W40" s="187">
        <f t="shared" si="47"/>
        <v>46096</v>
      </c>
      <c r="X40" s="168">
        <f t="shared" si="47"/>
        <v>46188</v>
      </c>
      <c r="Y40" s="168">
        <f t="shared" si="47"/>
        <v>46280</v>
      </c>
      <c r="Z40" s="168">
        <f t="shared" si="47"/>
        <v>46371</v>
      </c>
      <c r="AA40" s="168">
        <f t="shared" si="47"/>
        <v>46461</v>
      </c>
      <c r="AB40" s="168">
        <f t="shared" si="47"/>
        <v>46553</v>
      </c>
      <c r="AC40" s="168">
        <f t="shared" si="47"/>
        <v>46645</v>
      </c>
      <c r="AD40" s="168">
        <f t="shared" si="47"/>
        <v>46736</v>
      </c>
      <c r="AE40" s="168">
        <f t="shared" si="47"/>
        <v>46827</v>
      </c>
      <c r="AF40" s="168">
        <f t="shared" si="47"/>
        <v>46919</v>
      </c>
      <c r="AG40" s="168">
        <f t="shared" si="47"/>
        <v>47011</v>
      </c>
      <c r="AH40" s="188">
        <f ca="1">X40-TODAY()</f>
        <v>76</v>
      </c>
      <c r="AI40" s="203">
        <f>D40*3</f>
        <v>24000000</v>
      </c>
      <c r="AJ40" s="164" t="s">
        <v>960</v>
      </c>
    </row>
    <row r="41" spans="1:36" x14ac:dyDescent="0.2">
      <c r="A41" s="173">
        <v>38</v>
      </c>
      <c r="B41" s="164" t="s">
        <v>492</v>
      </c>
      <c r="C41" s="165" t="s">
        <v>66</v>
      </c>
      <c r="D41" s="203">
        <v>7000000</v>
      </c>
      <c r="E41" s="166" t="s">
        <v>513</v>
      </c>
      <c r="F41" s="166" t="s">
        <v>512</v>
      </c>
      <c r="G41" s="166" t="s">
        <v>514</v>
      </c>
      <c r="H41" s="166" t="s">
        <v>515</v>
      </c>
      <c r="I41" s="164" t="s">
        <v>77</v>
      </c>
      <c r="J41" s="169">
        <v>44920</v>
      </c>
      <c r="K41" s="184">
        <f t="shared" si="46"/>
        <v>45010</v>
      </c>
      <c r="L41" s="168">
        <f t="shared" si="46"/>
        <v>45102</v>
      </c>
      <c r="M41" s="201">
        <f t="shared" si="46"/>
        <v>45194</v>
      </c>
      <c r="N41" s="168">
        <f>EDATE(M41,3)</f>
        <v>45285</v>
      </c>
      <c r="O41" s="201">
        <f t="shared" si="46"/>
        <v>45376</v>
      </c>
      <c r="P41" s="168">
        <f>EDATE(O41,3)</f>
        <v>45468</v>
      </c>
      <c r="Q41" s="201">
        <f t="shared" si="46"/>
        <v>45560</v>
      </c>
      <c r="R41" s="201">
        <f t="shared" si="47"/>
        <v>45651</v>
      </c>
      <c r="S41" s="201">
        <f t="shared" si="47"/>
        <v>45741</v>
      </c>
      <c r="T41" s="201">
        <f t="shared" si="47"/>
        <v>45833</v>
      </c>
      <c r="U41" s="201">
        <f t="shared" si="47"/>
        <v>45925</v>
      </c>
      <c r="V41" s="201">
        <f t="shared" si="47"/>
        <v>46016</v>
      </c>
      <c r="W41" s="213">
        <f t="shared" si="47"/>
        <v>46106</v>
      </c>
      <c r="X41" s="201">
        <f t="shared" si="47"/>
        <v>46198</v>
      </c>
      <c r="Y41" s="201">
        <f t="shared" si="47"/>
        <v>46290</v>
      </c>
      <c r="Z41" s="201">
        <f t="shared" si="47"/>
        <v>46381</v>
      </c>
      <c r="AA41" s="201">
        <f t="shared" si="47"/>
        <v>46471</v>
      </c>
      <c r="AB41" s="201">
        <f t="shared" si="47"/>
        <v>46563</v>
      </c>
      <c r="AC41" s="201">
        <f t="shared" si="47"/>
        <v>46655</v>
      </c>
      <c r="AD41" s="201">
        <f t="shared" si="47"/>
        <v>46746</v>
      </c>
      <c r="AE41" s="201">
        <f t="shared" si="47"/>
        <v>46837</v>
      </c>
      <c r="AF41" s="201">
        <f t="shared" si="47"/>
        <v>46929</v>
      </c>
      <c r="AG41" s="201">
        <f t="shared" si="47"/>
        <v>47021</v>
      </c>
      <c r="AH41" s="188">
        <f ca="1">W41-TODAY()</f>
        <v>-6</v>
      </c>
      <c r="AI41" s="203">
        <f>D41*3</f>
        <v>21000000</v>
      </c>
      <c r="AJ41" s="164" t="s">
        <v>966</v>
      </c>
    </row>
    <row r="42" spans="1:36" x14ac:dyDescent="0.2">
      <c r="A42" s="164">
        <v>39</v>
      </c>
      <c r="B42" s="164" t="s">
        <v>549</v>
      </c>
      <c r="C42" s="165" t="s">
        <v>380</v>
      </c>
      <c r="D42" s="203">
        <v>6500000</v>
      </c>
      <c r="E42" s="166" t="s">
        <v>551</v>
      </c>
      <c r="F42" s="166" t="s">
        <v>552</v>
      </c>
      <c r="G42" s="166" t="s">
        <v>195</v>
      </c>
      <c r="H42" s="166" t="s">
        <v>553</v>
      </c>
      <c r="I42" s="164" t="s">
        <v>77</v>
      </c>
      <c r="J42" s="169">
        <v>45047</v>
      </c>
      <c r="K42" s="184">
        <f t="shared" si="46"/>
        <v>45139</v>
      </c>
      <c r="L42" s="168">
        <f t="shared" si="46"/>
        <v>45231</v>
      </c>
      <c r="M42" s="184">
        <f t="shared" si="46"/>
        <v>45323</v>
      </c>
      <c r="N42" s="168">
        <f>EDATE(M42,3)</f>
        <v>45413</v>
      </c>
      <c r="O42" s="184">
        <f>EDATE(N42,3)</f>
        <v>45505</v>
      </c>
      <c r="P42" s="184">
        <f t="shared" ref="P42:P43" si="48">EDATE(O42,3)</f>
        <v>45597</v>
      </c>
      <c r="Q42" s="184">
        <f>EDATE(P42,3)</f>
        <v>45689</v>
      </c>
      <c r="R42" s="184">
        <f t="shared" si="47"/>
        <v>45778</v>
      </c>
      <c r="S42" s="184">
        <f>EDATE(R42,3)</f>
        <v>45870</v>
      </c>
      <c r="T42" s="184">
        <f>EDATE(S42,3)</f>
        <v>45962</v>
      </c>
      <c r="U42" s="184">
        <f>EDATE(T42,3)</f>
        <v>46054</v>
      </c>
      <c r="V42" s="214">
        <f>EDATE(U42,3)</f>
        <v>46143</v>
      </c>
      <c r="W42" s="184">
        <f t="shared" si="47"/>
        <v>46235</v>
      </c>
      <c r="X42" s="184">
        <f t="shared" si="47"/>
        <v>46327</v>
      </c>
      <c r="Y42" s="184">
        <f t="shared" si="47"/>
        <v>46419</v>
      </c>
      <c r="Z42" s="184">
        <f t="shared" si="47"/>
        <v>46508</v>
      </c>
      <c r="AA42" s="184">
        <f t="shared" si="47"/>
        <v>46600</v>
      </c>
      <c r="AB42" s="184">
        <f t="shared" si="47"/>
        <v>46692</v>
      </c>
      <c r="AC42" s="184">
        <f t="shared" si="47"/>
        <v>46784</v>
      </c>
      <c r="AD42" s="184">
        <f t="shared" si="47"/>
        <v>46874</v>
      </c>
      <c r="AE42" s="184">
        <f t="shared" si="47"/>
        <v>46966</v>
      </c>
      <c r="AF42" s="184">
        <f t="shared" si="47"/>
        <v>47058</v>
      </c>
      <c r="AG42" s="184">
        <f t="shared" si="47"/>
        <v>47150</v>
      </c>
      <c r="AH42" s="188">
        <f ca="1">V42-TODAY()</f>
        <v>31</v>
      </c>
      <c r="AI42" s="203">
        <f t="shared" ref="AI42:AI43" si="49">D42*3</f>
        <v>19500000</v>
      </c>
      <c r="AJ42" s="164" t="s">
        <v>967</v>
      </c>
    </row>
    <row r="43" spans="1:36" x14ac:dyDescent="0.2">
      <c r="A43" s="173">
        <v>40</v>
      </c>
      <c r="B43" s="173" t="s">
        <v>558</v>
      </c>
      <c r="C43" s="165" t="s">
        <v>230</v>
      </c>
      <c r="D43" s="196">
        <v>6000000</v>
      </c>
      <c r="E43" s="175" t="s">
        <v>560</v>
      </c>
      <c r="F43" s="175" t="s">
        <v>561</v>
      </c>
      <c r="G43" s="175" t="s">
        <v>171</v>
      </c>
      <c r="H43" s="175" t="s">
        <v>562</v>
      </c>
      <c r="I43" s="173" t="s">
        <v>77</v>
      </c>
      <c r="J43" s="179">
        <v>45061</v>
      </c>
      <c r="K43" s="178">
        <f>EDATE(J43,3)</f>
        <v>45153</v>
      </c>
      <c r="L43" s="179">
        <f>EDATE(K43,3)</f>
        <v>45245</v>
      </c>
      <c r="M43" s="178">
        <f>EDATE(L43,3)</f>
        <v>45337</v>
      </c>
      <c r="N43" s="179">
        <f>EDATE(M43,3)</f>
        <v>45427</v>
      </c>
      <c r="O43" s="178">
        <f>EDATE(N43,3)</f>
        <v>45519</v>
      </c>
      <c r="P43" s="178">
        <f t="shared" si="48"/>
        <v>45611</v>
      </c>
      <c r="Q43" s="178">
        <f t="shared" si="46"/>
        <v>45703</v>
      </c>
      <c r="R43" s="178">
        <f t="shared" si="47"/>
        <v>45792</v>
      </c>
      <c r="S43" s="178">
        <f t="shared" si="47"/>
        <v>45884</v>
      </c>
      <c r="T43" s="178">
        <f t="shared" si="47"/>
        <v>45976</v>
      </c>
      <c r="U43" s="178">
        <f t="shared" si="47"/>
        <v>46068</v>
      </c>
      <c r="V43" s="209">
        <f t="shared" si="47"/>
        <v>46157</v>
      </c>
      <c r="W43" s="178">
        <f t="shared" si="47"/>
        <v>46249</v>
      </c>
      <c r="X43" s="178">
        <f t="shared" si="47"/>
        <v>46341</v>
      </c>
      <c r="Y43" s="178">
        <f t="shared" si="47"/>
        <v>46433</v>
      </c>
      <c r="Z43" s="178">
        <f t="shared" si="47"/>
        <v>46522</v>
      </c>
      <c r="AA43" s="178">
        <f t="shared" si="47"/>
        <v>46614</v>
      </c>
      <c r="AB43" s="178">
        <f t="shared" si="47"/>
        <v>46706</v>
      </c>
      <c r="AC43" s="178">
        <f t="shared" si="47"/>
        <v>46798</v>
      </c>
      <c r="AD43" s="178">
        <f t="shared" si="47"/>
        <v>46888</v>
      </c>
      <c r="AE43" s="178">
        <f t="shared" si="47"/>
        <v>46980</v>
      </c>
      <c r="AF43" s="178">
        <f t="shared" si="47"/>
        <v>47072</v>
      </c>
      <c r="AG43" s="178">
        <f t="shared" si="47"/>
        <v>47164</v>
      </c>
      <c r="AH43" s="194">
        <f ca="1">V43-TODAY()</f>
        <v>45</v>
      </c>
      <c r="AI43" s="196">
        <f t="shared" si="49"/>
        <v>18000000</v>
      </c>
      <c r="AJ43" s="173" t="s">
        <v>967</v>
      </c>
    </row>
    <row r="44" spans="1:36" x14ac:dyDescent="0.2">
      <c r="A44" s="164">
        <v>41</v>
      </c>
      <c r="B44" s="164" t="s">
        <v>1152</v>
      </c>
      <c r="C44" s="165" t="s">
        <v>32</v>
      </c>
      <c r="D44" s="203">
        <v>6000000</v>
      </c>
      <c r="E44" s="166" t="s">
        <v>641</v>
      </c>
      <c r="F44" s="166" t="s">
        <v>642</v>
      </c>
      <c r="G44" s="166" t="s">
        <v>643</v>
      </c>
      <c r="H44" s="166" t="s">
        <v>648</v>
      </c>
      <c r="I44" s="164" t="s">
        <v>79</v>
      </c>
      <c r="J44" s="169" t="s">
        <v>968</v>
      </c>
      <c r="K44" s="169" t="s">
        <v>968</v>
      </c>
      <c r="L44" s="169" t="s">
        <v>968</v>
      </c>
      <c r="M44" s="201">
        <v>45047</v>
      </c>
      <c r="N44" s="201">
        <f t="shared" ref="N44:AE59" si="50">EDATE(M44,6)</f>
        <v>45231</v>
      </c>
      <c r="O44" s="201">
        <f t="shared" si="50"/>
        <v>45413</v>
      </c>
      <c r="P44" s="201">
        <f t="shared" si="50"/>
        <v>45597</v>
      </c>
      <c r="Q44" s="201">
        <f t="shared" si="50"/>
        <v>45778</v>
      </c>
      <c r="R44" s="201">
        <f t="shared" si="50"/>
        <v>45962</v>
      </c>
      <c r="S44" s="213">
        <f t="shared" si="50"/>
        <v>46143</v>
      </c>
      <c r="T44" s="201">
        <f t="shared" si="50"/>
        <v>46327</v>
      </c>
      <c r="U44" s="201">
        <f t="shared" si="50"/>
        <v>46508</v>
      </c>
      <c r="V44" s="201">
        <f t="shared" si="50"/>
        <v>46692</v>
      </c>
      <c r="W44" s="201">
        <f t="shared" si="50"/>
        <v>46874</v>
      </c>
      <c r="X44" s="201">
        <f t="shared" si="50"/>
        <v>47058</v>
      </c>
      <c r="Y44" s="201">
        <f t="shared" si="50"/>
        <v>47239</v>
      </c>
      <c r="Z44" s="201">
        <f t="shared" si="50"/>
        <v>47423</v>
      </c>
      <c r="AA44" s="201">
        <f t="shared" si="50"/>
        <v>47604</v>
      </c>
      <c r="AB44" s="201">
        <f t="shared" si="50"/>
        <v>47788</v>
      </c>
      <c r="AC44" s="201">
        <f t="shared" si="50"/>
        <v>47969</v>
      </c>
      <c r="AD44" s="201">
        <f t="shared" si="50"/>
        <v>48153</v>
      </c>
      <c r="AE44" s="201">
        <f t="shared" si="50"/>
        <v>48335</v>
      </c>
      <c r="AF44" s="201">
        <f t="shared" ref="AF44:AG78" si="51">EDATE(AE44,6)</f>
        <v>48519</v>
      </c>
      <c r="AG44" s="201">
        <f t="shared" si="51"/>
        <v>48700</v>
      </c>
      <c r="AH44" s="188">
        <f ca="1">S44-TODAY()</f>
        <v>31</v>
      </c>
      <c r="AI44" s="203">
        <f>D44*6</f>
        <v>36000000</v>
      </c>
      <c r="AJ44" s="164" t="s">
        <v>969</v>
      </c>
    </row>
    <row r="45" spans="1:36" x14ac:dyDescent="0.2">
      <c r="A45" s="173">
        <v>42</v>
      </c>
      <c r="B45" s="215" t="s">
        <v>576</v>
      </c>
      <c r="C45" s="165" t="s">
        <v>476</v>
      </c>
      <c r="D45" s="196">
        <v>4300000</v>
      </c>
      <c r="E45" s="175" t="s">
        <v>603</v>
      </c>
      <c r="F45" s="175" t="s">
        <v>605</v>
      </c>
      <c r="G45" s="175" t="s">
        <v>604</v>
      </c>
      <c r="H45" s="175" t="s">
        <v>606</v>
      </c>
      <c r="I45" s="216" t="s">
        <v>79</v>
      </c>
      <c r="J45" s="205">
        <v>45179</v>
      </c>
      <c r="K45" s="178">
        <f t="shared" ref="K45:O52" si="52">EDATE(J45,6)</f>
        <v>45361</v>
      </c>
      <c r="L45" s="178">
        <f t="shared" si="52"/>
        <v>45545</v>
      </c>
      <c r="M45" s="178">
        <f t="shared" si="52"/>
        <v>45726</v>
      </c>
      <c r="N45" s="178">
        <f t="shared" si="50"/>
        <v>45910</v>
      </c>
      <c r="O45" s="178">
        <f t="shared" si="50"/>
        <v>46091</v>
      </c>
      <c r="P45" s="209">
        <f t="shared" si="50"/>
        <v>46275</v>
      </c>
      <c r="Q45" s="178">
        <f t="shared" si="50"/>
        <v>46456</v>
      </c>
      <c r="R45" s="178">
        <f t="shared" si="50"/>
        <v>46640</v>
      </c>
      <c r="S45" s="178">
        <f t="shared" si="50"/>
        <v>46822</v>
      </c>
      <c r="T45" s="178">
        <f t="shared" si="50"/>
        <v>47006</v>
      </c>
      <c r="U45" s="178">
        <f t="shared" si="50"/>
        <v>47187</v>
      </c>
      <c r="V45" s="178">
        <f t="shared" si="50"/>
        <v>47371</v>
      </c>
      <c r="W45" s="178">
        <f t="shared" si="50"/>
        <v>47552</v>
      </c>
      <c r="X45" s="178">
        <f t="shared" si="50"/>
        <v>47736</v>
      </c>
      <c r="Y45" s="178">
        <f t="shared" si="50"/>
        <v>47917</v>
      </c>
      <c r="Z45" s="178">
        <f t="shared" si="50"/>
        <v>48101</v>
      </c>
      <c r="AA45" s="178">
        <f t="shared" si="50"/>
        <v>48283</v>
      </c>
      <c r="AB45" s="178">
        <f t="shared" si="50"/>
        <v>48467</v>
      </c>
      <c r="AC45" s="178">
        <f t="shared" si="50"/>
        <v>48648</v>
      </c>
      <c r="AD45" s="178">
        <f t="shared" si="50"/>
        <v>48832</v>
      </c>
      <c r="AE45" s="178">
        <f t="shared" si="50"/>
        <v>49013</v>
      </c>
      <c r="AF45" s="178">
        <f t="shared" si="51"/>
        <v>49197</v>
      </c>
      <c r="AG45" s="178">
        <f t="shared" si="51"/>
        <v>49378</v>
      </c>
      <c r="AH45" s="194">
        <f ca="1">P45-TODAY()</f>
        <v>163</v>
      </c>
      <c r="AI45" s="196">
        <f>D45*6</f>
        <v>25800000</v>
      </c>
      <c r="AJ45" s="173" t="s">
        <v>970</v>
      </c>
    </row>
    <row r="46" spans="1:36" x14ac:dyDescent="0.2">
      <c r="A46" s="164">
        <v>43</v>
      </c>
      <c r="B46" s="164" t="s">
        <v>577</v>
      </c>
      <c r="C46" s="165" t="s">
        <v>581</v>
      </c>
      <c r="D46" s="203">
        <v>6000000</v>
      </c>
      <c r="E46" s="166" t="s">
        <v>583</v>
      </c>
      <c r="F46" s="166" t="s">
        <v>584</v>
      </c>
      <c r="G46" s="166" t="s">
        <v>406</v>
      </c>
      <c r="H46" s="166" t="s">
        <v>585</v>
      </c>
      <c r="I46" s="199" t="s">
        <v>79</v>
      </c>
      <c r="J46" s="169">
        <v>45122</v>
      </c>
      <c r="K46" s="184">
        <f>EDATE(J46,6)</f>
        <v>45306</v>
      </c>
      <c r="L46" s="184">
        <f t="shared" si="52"/>
        <v>45488</v>
      </c>
      <c r="M46" s="184">
        <f>EDATE(L46,6)</f>
        <v>45672</v>
      </c>
      <c r="N46" s="184">
        <f>EDATE(M46,6)</f>
        <v>45853</v>
      </c>
      <c r="O46" s="184">
        <f t="shared" ref="O46:T46" si="53">EDATE(N46,1)</f>
        <v>45884</v>
      </c>
      <c r="P46" s="184">
        <f t="shared" si="53"/>
        <v>45915</v>
      </c>
      <c r="Q46" s="184">
        <f t="shared" si="53"/>
        <v>45945</v>
      </c>
      <c r="R46" s="184">
        <f t="shared" si="53"/>
        <v>45976</v>
      </c>
      <c r="S46" s="184">
        <f t="shared" si="53"/>
        <v>46006</v>
      </c>
      <c r="T46" s="184">
        <f t="shared" si="53"/>
        <v>46037</v>
      </c>
      <c r="U46" s="184">
        <f>EDATE(T46,1)</f>
        <v>46068</v>
      </c>
      <c r="V46" s="214">
        <f>EDATE(U46,1)</f>
        <v>46096</v>
      </c>
      <c r="W46" s="184">
        <f>EDATE(V46,1)</f>
        <v>46127</v>
      </c>
      <c r="X46" s="184">
        <f t="shared" si="50"/>
        <v>46310</v>
      </c>
      <c r="Y46" s="184">
        <f t="shared" si="50"/>
        <v>46492</v>
      </c>
      <c r="Z46" s="184">
        <f t="shared" si="50"/>
        <v>46675</v>
      </c>
      <c r="AA46" s="184">
        <f t="shared" si="50"/>
        <v>46858</v>
      </c>
      <c r="AB46" s="184">
        <f t="shared" si="50"/>
        <v>47041</v>
      </c>
      <c r="AC46" s="184">
        <f t="shared" si="50"/>
        <v>47223</v>
      </c>
      <c r="AD46" s="184">
        <f t="shared" si="50"/>
        <v>47406</v>
      </c>
      <c r="AE46" s="184">
        <f t="shared" si="50"/>
        <v>47588</v>
      </c>
      <c r="AF46" s="184">
        <f t="shared" si="51"/>
        <v>47771</v>
      </c>
      <c r="AG46" s="184">
        <f t="shared" si="51"/>
        <v>47953</v>
      </c>
      <c r="AH46" s="188">
        <f ca="1">W46-TODAY()</f>
        <v>15</v>
      </c>
      <c r="AI46" s="203">
        <f>D46*1</f>
        <v>6000000</v>
      </c>
      <c r="AJ46" s="164" t="s">
        <v>971</v>
      </c>
    </row>
    <row r="47" spans="1:36" x14ac:dyDescent="0.2">
      <c r="A47" s="173">
        <v>44</v>
      </c>
      <c r="B47" s="164" t="s">
        <v>578</v>
      </c>
      <c r="C47" s="165" t="s">
        <v>587</v>
      </c>
      <c r="D47" s="203">
        <v>4000000</v>
      </c>
      <c r="E47" s="166" t="s">
        <v>588</v>
      </c>
      <c r="F47" s="166" t="s">
        <v>589</v>
      </c>
      <c r="G47" s="166" t="s">
        <v>171</v>
      </c>
      <c r="H47" s="166" t="s">
        <v>590</v>
      </c>
      <c r="I47" s="164" t="s">
        <v>79</v>
      </c>
      <c r="J47" s="201">
        <v>45153</v>
      </c>
      <c r="K47" s="169">
        <f t="shared" si="52"/>
        <v>45337</v>
      </c>
      <c r="L47" s="184">
        <f t="shared" si="52"/>
        <v>45519</v>
      </c>
      <c r="M47" s="184">
        <f t="shared" si="52"/>
        <v>45703</v>
      </c>
      <c r="N47" s="184">
        <f t="shared" si="50"/>
        <v>45884</v>
      </c>
      <c r="O47" s="184">
        <f t="shared" si="50"/>
        <v>46068</v>
      </c>
      <c r="P47" s="214">
        <f t="shared" si="50"/>
        <v>46249</v>
      </c>
      <c r="Q47" s="184">
        <f t="shared" si="50"/>
        <v>46433</v>
      </c>
      <c r="R47" s="184">
        <f t="shared" si="50"/>
        <v>46614</v>
      </c>
      <c r="S47" s="184">
        <f t="shared" si="50"/>
        <v>46798</v>
      </c>
      <c r="T47" s="184">
        <f t="shared" si="50"/>
        <v>46980</v>
      </c>
      <c r="U47" s="184">
        <f t="shared" si="50"/>
        <v>47164</v>
      </c>
      <c r="V47" s="184">
        <f t="shared" si="50"/>
        <v>47345</v>
      </c>
      <c r="W47" s="184">
        <f t="shared" si="50"/>
        <v>47529</v>
      </c>
      <c r="X47" s="184">
        <f t="shared" si="50"/>
        <v>47710</v>
      </c>
      <c r="Y47" s="184">
        <f t="shared" si="50"/>
        <v>47894</v>
      </c>
      <c r="Z47" s="184">
        <f t="shared" si="50"/>
        <v>48075</v>
      </c>
      <c r="AA47" s="184">
        <f t="shared" si="50"/>
        <v>48259</v>
      </c>
      <c r="AB47" s="184">
        <f t="shared" si="50"/>
        <v>48441</v>
      </c>
      <c r="AC47" s="184">
        <f t="shared" si="50"/>
        <v>48625</v>
      </c>
      <c r="AD47" s="184">
        <f t="shared" si="50"/>
        <v>48806</v>
      </c>
      <c r="AE47" s="184">
        <f t="shared" si="50"/>
        <v>48990</v>
      </c>
      <c r="AF47" s="184">
        <f t="shared" si="51"/>
        <v>49171</v>
      </c>
      <c r="AG47" s="184">
        <f t="shared" si="51"/>
        <v>49355</v>
      </c>
      <c r="AH47" s="188">
        <f ca="1">P47-TODAY()</f>
        <v>137</v>
      </c>
      <c r="AI47" s="203">
        <v>24000000</v>
      </c>
      <c r="AJ47" s="164" t="s">
        <v>970</v>
      </c>
    </row>
    <row r="48" spans="1:36" x14ac:dyDescent="0.2">
      <c r="A48" s="164">
        <v>45</v>
      </c>
      <c r="B48" s="164" t="s">
        <v>579</v>
      </c>
      <c r="C48" s="165" t="s">
        <v>587</v>
      </c>
      <c r="D48" s="203">
        <v>4000000</v>
      </c>
      <c r="E48" s="166" t="s">
        <v>593</v>
      </c>
      <c r="F48" s="166" t="s">
        <v>592</v>
      </c>
      <c r="G48" s="166" t="s">
        <v>594</v>
      </c>
      <c r="H48" s="166" t="s">
        <v>595</v>
      </c>
      <c r="I48" s="164" t="s">
        <v>79</v>
      </c>
      <c r="J48" s="201">
        <v>45153</v>
      </c>
      <c r="K48" s="169">
        <f t="shared" si="52"/>
        <v>45337</v>
      </c>
      <c r="L48" s="184">
        <f t="shared" si="52"/>
        <v>45519</v>
      </c>
      <c r="M48" s="184">
        <f t="shared" si="52"/>
        <v>45703</v>
      </c>
      <c r="N48" s="184">
        <f t="shared" si="50"/>
        <v>45884</v>
      </c>
      <c r="O48" s="184">
        <f t="shared" si="50"/>
        <v>46068</v>
      </c>
      <c r="P48" s="214">
        <f t="shared" si="50"/>
        <v>46249</v>
      </c>
      <c r="Q48" s="184">
        <f t="shared" si="50"/>
        <v>46433</v>
      </c>
      <c r="R48" s="184">
        <f t="shared" si="50"/>
        <v>46614</v>
      </c>
      <c r="S48" s="184">
        <f t="shared" si="50"/>
        <v>46798</v>
      </c>
      <c r="T48" s="184">
        <f t="shared" si="50"/>
        <v>46980</v>
      </c>
      <c r="U48" s="184">
        <f t="shared" si="50"/>
        <v>47164</v>
      </c>
      <c r="V48" s="184">
        <f t="shared" si="50"/>
        <v>47345</v>
      </c>
      <c r="W48" s="184">
        <f t="shared" si="50"/>
        <v>47529</v>
      </c>
      <c r="X48" s="184">
        <f t="shared" si="50"/>
        <v>47710</v>
      </c>
      <c r="Y48" s="184">
        <f t="shared" si="50"/>
        <v>47894</v>
      </c>
      <c r="Z48" s="184">
        <f t="shared" si="50"/>
        <v>48075</v>
      </c>
      <c r="AA48" s="184">
        <f t="shared" si="50"/>
        <v>48259</v>
      </c>
      <c r="AB48" s="184">
        <f t="shared" si="50"/>
        <v>48441</v>
      </c>
      <c r="AC48" s="184">
        <f t="shared" si="50"/>
        <v>48625</v>
      </c>
      <c r="AD48" s="184">
        <f t="shared" si="50"/>
        <v>48806</v>
      </c>
      <c r="AE48" s="184">
        <f t="shared" si="50"/>
        <v>48990</v>
      </c>
      <c r="AF48" s="184">
        <f t="shared" si="51"/>
        <v>49171</v>
      </c>
      <c r="AG48" s="184">
        <f t="shared" si="51"/>
        <v>49355</v>
      </c>
      <c r="AH48" s="188">
        <f ca="1">P48-TODAY()</f>
        <v>137</v>
      </c>
      <c r="AI48" s="203">
        <v>24000000</v>
      </c>
      <c r="AJ48" s="164" t="s">
        <v>970</v>
      </c>
    </row>
    <row r="49" spans="1:36" x14ac:dyDescent="0.2">
      <c r="A49" s="173">
        <v>46</v>
      </c>
      <c r="B49" s="211" t="s">
        <v>580</v>
      </c>
      <c r="C49" s="165" t="s">
        <v>476</v>
      </c>
      <c r="D49" s="203">
        <v>6500000</v>
      </c>
      <c r="E49" s="166" t="s">
        <v>598</v>
      </c>
      <c r="F49" s="166" t="s">
        <v>597</v>
      </c>
      <c r="G49" s="166" t="s">
        <v>599</v>
      </c>
      <c r="H49" s="166" t="s">
        <v>600</v>
      </c>
      <c r="I49" s="164" t="s">
        <v>79</v>
      </c>
      <c r="J49" s="169">
        <v>45170</v>
      </c>
      <c r="K49" s="184">
        <f>EDATE(J49,6)</f>
        <v>45352</v>
      </c>
      <c r="L49" s="184">
        <f t="shared" si="52"/>
        <v>45536</v>
      </c>
      <c r="M49" s="184">
        <f t="shared" si="52"/>
        <v>45717</v>
      </c>
      <c r="N49" s="184">
        <f t="shared" si="52"/>
        <v>45901</v>
      </c>
      <c r="O49" s="214">
        <f t="shared" si="52"/>
        <v>46082</v>
      </c>
      <c r="P49" s="184">
        <f>EDATE(O49,6)-1</f>
        <v>46265</v>
      </c>
      <c r="Q49" s="184">
        <f t="shared" si="50"/>
        <v>46446</v>
      </c>
      <c r="R49" s="184">
        <f t="shared" si="50"/>
        <v>46627</v>
      </c>
      <c r="S49" s="184">
        <f t="shared" si="50"/>
        <v>46811</v>
      </c>
      <c r="T49" s="184">
        <f t="shared" si="50"/>
        <v>46993</v>
      </c>
      <c r="U49" s="184">
        <f t="shared" si="50"/>
        <v>47177</v>
      </c>
      <c r="V49" s="184">
        <f t="shared" si="50"/>
        <v>47358</v>
      </c>
      <c r="W49" s="184">
        <f t="shared" si="50"/>
        <v>47542</v>
      </c>
      <c r="X49" s="184">
        <f t="shared" si="50"/>
        <v>47723</v>
      </c>
      <c r="Y49" s="184">
        <f t="shared" si="50"/>
        <v>47907</v>
      </c>
      <c r="Z49" s="184">
        <f t="shared" si="50"/>
        <v>48088</v>
      </c>
      <c r="AA49" s="184">
        <f t="shared" si="50"/>
        <v>48272</v>
      </c>
      <c r="AB49" s="184">
        <f t="shared" si="50"/>
        <v>48454</v>
      </c>
      <c r="AC49" s="184">
        <f t="shared" si="50"/>
        <v>48638</v>
      </c>
      <c r="AD49" s="184">
        <f t="shared" si="50"/>
        <v>48819</v>
      </c>
      <c r="AE49" s="184">
        <f t="shared" ref="AE49:AE78" si="54">EDATE(AD49,6)</f>
        <v>49003</v>
      </c>
      <c r="AF49" s="184">
        <f t="shared" si="51"/>
        <v>49184</v>
      </c>
      <c r="AG49" s="184">
        <f t="shared" si="51"/>
        <v>49368</v>
      </c>
      <c r="AH49" s="188">
        <f ca="1">P49-TODAY()</f>
        <v>153</v>
      </c>
      <c r="AI49" s="203">
        <f>D49*6</f>
        <v>39000000</v>
      </c>
      <c r="AJ49" s="164" t="s">
        <v>970</v>
      </c>
    </row>
    <row r="50" spans="1:36" x14ac:dyDescent="0.2">
      <c r="A50" s="164">
        <v>47</v>
      </c>
      <c r="B50" s="164" t="s">
        <v>616</v>
      </c>
      <c r="C50" s="165" t="s">
        <v>581</v>
      </c>
      <c r="D50" s="203">
        <v>6000000</v>
      </c>
      <c r="E50" s="166" t="s">
        <v>634</v>
      </c>
      <c r="F50" s="166" t="s">
        <v>635</v>
      </c>
      <c r="G50" s="166" t="s">
        <v>636</v>
      </c>
      <c r="H50" s="166" t="s">
        <v>637</v>
      </c>
      <c r="I50" s="164" t="s">
        <v>79</v>
      </c>
      <c r="J50" s="169">
        <v>45231</v>
      </c>
      <c r="K50" s="184">
        <f t="shared" si="52"/>
        <v>45413</v>
      </c>
      <c r="L50" s="184">
        <f t="shared" si="52"/>
        <v>45597</v>
      </c>
      <c r="M50" s="184">
        <f t="shared" si="52"/>
        <v>45778</v>
      </c>
      <c r="N50" s="214">
        <f t="shared" si="52"/>
        <v>45962</v>
      </c>
      <c r="O50" s="184">
        <f t="shared" si="52"/>
        <v>46143</v>
      </c>
      <c r="P50" s="184">
        <f t="shared" si="50"/>
        <v>46327</v>
      </c>
      <c r="Q50" s="184">
        <f t="shared" si="50"/>
        <v>46508</v>
      </c>
      <c r="R50" s="184">
        <f t="shared" si="50"/>
        <v>46692</v>
      </c>
      <c r="S50" s="184">
        <f t="shared" si="50"/>
        <v>46874</v>
      </c>
      <c r="T50" s="184">
        <f t="shared" si="50"/>
        <v>47058</v>
      </c>
      <c r="U50" s="184">
        <f t="shared" si="50"/>
        <v>47239</v>
      </c>
      <c r="V50" s="184">
        <f t="shared" si="50"/>
        <v>47423</v>
      </c>
      <c r="W50" s="184">
        <f t="shared" si="50"/>
        <v>47604</v>
      </c>
      <c r="X50" s="184">
        <f t="shared" si="50"/>
        <v>47788</v>
      </c>
      <c r="Y50" s="184">
        <f t="shared" si="50"/>
        <v>47969</v>
      </c>
      <c r="Z50" s="184">
        <f t="shared" si="50"/>
        <v>48153</v>
      </c>
      <c r="AA50" s="184">
        <f t="shared" si="50"/>
        <v>48335</v>
      </c>
      <c r="AB50" s="184">
        <f t="shared" si="50"/>
        <v>48519</v>
      </c>
      <c r="AC50" s="184">
        <f t="shared" si="50"/>
        <v>48700</v>
      </c>
      <c r="AD50" s="184">
        <f t="shared" si="50"/>
        <v>48884</v>
      </c>
      <c r="AE50" s="184">
        <f t="shared" si="54"/>
        <v>49065</v>
      </c>
      <c r="AF50" s="184">
        <f t="shared" si="51"/>
        <v>49249</v>
      </c>
      <c r="AG50" s="184">
        <f t="shared" si="51"/>
        <v>49430</v>
      </c>
      <c r="AH50" s="188">
        <f t="shared" ref="AH50:AH54" ca="1" si="55">O50-TODAY()</f>
        <v>31</v>
      </c>
      <c r="AI50" s="203">
        <f>D50*6</f>
        <v>36000000</v>
      </c>
      <c r="AJ50" s="164" t="s">
        <v>972</v>
      </c>
    </row>
    <row r="51" spans="1:36" x14ac:dyDescent="0.2">
      <c r="A51" s="173">
        <v>48</v>
      </c>
      <c r="B51" s="217" t="s">
        <v>627</v>
      </c>
      <c r="C51" s="165" t="s">
        <v>581</v>
      </c>
      <c r="D51" s="196">
        <v>6000000</v>
      </c>
      <c r="E51" s="198" t="s">
        <v>973</v>
      </c>
      <c r="F51" s="175" t="s">
        <v>629</v>
      </c>
      <c r="G51" s="175" t="s">
        <v>974</v>
      </c>
      <c r="H51" s="175" t="s">
        <v>975</v>
      </c>
      <c r="I51" s="173" t="s">
        <v>79</v>
      </c>
      <c r="J51" s="179">
        <v>45313</v>
      </c>
      <c r="K51" s="178">
        <f>EDATE(J51,6)</f>
        <v>45495</v>
      </c>
      <c r="L51" s="178">
        <f t="shared" si="52"/>
        <v>45679</v>
      </c>
      <c r="M51" s="178">
        <f t="shared" si="52"/>
        <v>45860</v>
      </c>
      <c r="N51" s="178">
        <f t="shared" si="50"/>
        <v>46044</v>
      </c>
      <c r="O51" s="209">
        <f t="shared" si="50"/>
        <v>46225</v>
      </c>
      <c r="P51" s="178">
        <f t="shared" si="50"/>
        <v>46409</v>
      </c>
      <c r="Q51" s="178">
        <f t="shared" si="50"/>
        <v>46590</v>
      </c>
      <c r="R51" s="178">
        <f t="shared" si="50"/>
        <v>46774</v>
      </c>
      <c r="S51" s="178">
        <f t="shared" si="50"/>
        <v>46956</v>
      </c>
      <c r="T51" s="178">
        <f t="shared" si="50"/>
        <v>47140</v>
      </c>
      <c r="U51" s="178">
        <f t="shared" si="50"/>
        <v>47321</v>
      </c>
      <c r="V51" s="178">
        <f t="shared" si="50"/>
        <v>47505</v>
      </c>
      <c r="W51" s="178">
        <f t="shared" si="50"/>
        <v>47686</v>
      </c>
      <c r="X51" s="178">
        <f t="shared" si="50"/>
        <v>47870</v>
      </c>
      <c r="Y51" s="178">
        <f t="shared" si="50"/>
        <v>48051</v>
      </c>
      <c r="Z51" s="178">
        <f t="shared" si="50"/>
        <v>48235</v>
      </c>
      <c r="AA51" s="178">
        <f t="shared" si="50"/>
        <v>48417</v>
      </c>
      <c r="AB51" s="178">
        <f t="shared" si="50"/>
        <v>48601</v>
      </c>
      <c r="AC51" s="178">
        <f t="shared" si="50"/>
        <v>48782</v>
      </c>
      <c r="AD51" s="178">
        <f t="shared" si="50"/>
        <v>48966</v>
      </c>
      <c r="AE51" s="178">
        <f t="shared" si="54"/>
        <v>49147</v>
      </c>
      <c r="AF51" s="178">
        <f t="shared" si="51"/>
        <v>49331</v>
      </c>
      <c r="AG51" s="178">
        <f t="shared" si="51"/>
        <v>49512</v>
      </c>
      <c r="AH51" s="188">
        <f t="shared" ca="1" si="55"/>
        <v>113</v>
      </c>
      <c r="AI51" s="196">
        <f t="shared" ref="AI51:AI60" si="56">D51*6</f>
        <v>36000000</v>
      </c>
      <c r="AJ51" s="173" t="s">
        <v>972</v>
      </c>
    </row>
    <row r="52" spans="1:36" x14ac:dyDescent="0.2">
      <c r="A52" s="164">
        <v>49</v>
      </c>
      <c r="B52" s="164" t="s">
        <v>622</v>
      </c>
      <c r="C52" s="165" t="s">
        <v>581</v>
      </c>
      <c r="D52" s="203">
        <v>6500000</v>
      </c>
      <c r="E52" s="197" t="s">
        <v>625</v>
      </c>
      <c r="F52" s="166" t="s">
        <v>624</v>
      </c>
      <c r="G52" s="166" t="s">
        <v>406</v>
      </c>
      <c r="H52" s="166" t="s">
        <v>976</v>
      </c>
      <c r="I52" s="210" t="s">
        <v>79</v>
      </c>
      <c r="J52" s="169">
        <v>45292</v>
      </c>
      <c r="K52" s="169">
        <f>EDATE(J52,6)</f>
        <v>45474</v>
      </c>
      <c r="L52" s="169">
        <f t="shared" si="52"/>
        <v>45658</v>
      </c>
      <c r="M52" s="169">
        <f>EDATE(L52,6)</f>
        <v>45839</v>
      </c>
      <c r="N52" s="169">
        <f>EDATE(M52,6)</f>
        <v>46023</v>
      </c>
      <c r="O52" s="170">
        <f>EDATE(N52,6)</f>
        <v>46204</v>
      </c>
      <c r="P52" s="169">
        <f t="shared" si="50"/>
        <v>46388</v>
      </c>
      <c r="Q52" s="169">
        <f t="shared" si="50"/>
        <v>46569</v>
      </c>
      <c r="R52" s="169">
        <f t="shared" si="50"/>
        <v>46753</v>
      </c>
      <c r="S52" s="169">
        <f t="shared" si="50"/>
        <v>46935</v>
      </c>
      <c r="T52" s="169">
        <f t="shared" si="50"/>
        <v>47119</v>
      </c>
      <c r="U52" s="169">
        <f t="shared" si="50"/>
        <v>47300</v>
      </c>
      <c r="V52" s="169">
        <f t="shared" si="50"/>
        <v>47484</v>
      </c>
      <c r="W52" s="169">
        <f t="shared" si="50"/>
        <v>47665</v>
      </c>
      <c r="X52" s="169">
        <f t="shared" si="50"/>
        <v>47849</v>
      </c>
      <c r="Y52" s="169">
        <f t="shared" si="50"/>
        <v>48030</v>
      </c>
      <c r="Z52" s="169">
        <f t="shared" si="50"/>
        <v>48214</v>
      </c>
      <c r="AA52" s="169">
        <f t="shared" si="50"/>
        <v>48396</v>
      </c>
      <c r="AB52" s="169">
        <f t="shared" si="50"/>
        <v>48580</v>
      </c>
      <c r="AC52" s="169">
        <f t="shared" si="50"/>
        <v>48761</v>
      </c>
      <c r="AD52" s="169">
        <f t="shared" si="50"/>
        <v>48945</v>
      </c>
      <c r="AE52" s="169">
        <f t="shared" si="54"/>
        <v>49126</v>
      </c>
      <c r="AF52" s="169">
        <f t="shared" si="51"/>
        <v>49310</v>
      </c>
      <c r="AG52" s="169">
        <f t="shared" si="51"/>
        <v>49491</v>
      </c>
      <c r="AH52" s="188">
        <f t="shared" ca="1" si="55"/>
        <v>92</v>
      </c>
      <c r="AI52" s="203">
        <f>D52*6</f>
        <v>39000000</v>
      </c>
      <c r="AJ52" s="164" t="s">
        <v>972</v>
      </c>
    </row>
    <row r="53" spans="1:36" x14ac:dyDescent="0.2">
      <c r="A53" s="173">
        <v>50</v>
      </c>
      <c r="B53" s="164" t="s">
        <v>645</v>
      </c>
      <c r="C53" s="165" t="s">
        <v>977</v>
      </c>
      <c r="D53" s="203">
        <v>4500000</v>
      </c>
      <c r="E53" s="166" t="s">
        <v>661</v>
      </c>
      <c r="F53" s="166" t="s">
        <v>662</v>
      </c>
      <c r="G53" s="166" t="s">
        <v>594</v>
      </c>
      <c r="H53" s="166" t="s">
        <v>660</v>
      </c>
      <c r="I53" s="210" t="s">
        <v>79</v>
      </c>
      <c r="J53" s="169">
        <v>45287</v>
      </c>
      <c r="K53" s="184">
        <f t="shared" ref="K53:N68" si="57">EDATE(J53,6)</f>
        <v>45470</v>
      </c>
      <c r="L53" s="184">
        <f t="shared" si="57"/>
        <v>45653</v>
      </c>
      <c r="M53" s="184">
        <f t="shared" si="57"/>
        <v>45835</v>
      </c>
      <c r="N53" s="184">
        <f t="shared" si="50"/>
        <v>46018</v>
      </c>
      <c r="O53" s="214">
        <f t="shared" si="50"/>
        <v>46200</v>
      </c>
      <c r="P53" s="184">
        <f t="shared" si="50"/>
        <v>46383</v>
      </c>
      <c r="Q53" s="184">
        <f t="shared" si="50"/>
        <v>46565</v>
      </c>
      <c r="R53" s="184">
        <f t="shared" si="50"/>
        <v>46748</v>
      </c>
      <c r="S53" s="184">
        <f t="shared" si="50"/>
        <v>46931</v>
      </c>
      <c r="T53" s="184">
        <f t="shared" si="50"/>
        <v>47114</v>
      </c>
      <c r="U53" s="184">
        <f t="shared" si="50"/>
        <v>47296</v>
      </c>
      <c r="V53" s="184">
        <f t="shared" si="50"/>
        <v>47479</v>
      </c>
      <c r="W53" s="184">
        <f t="shared" si="50"/>
        <v>47661</v>
      </c>
      <c r="X53" s="169">
        <f t="shared" si="50"/>
        <v>47844</v>
      </c>
      <c r="Y53" s="169">
        <f t="shared" si="50"/>
        <v>48026</v>
      </c>
      <c r="Z53" s="169">
        <f t="shared" si="50"/>
        <v>48209</v>
      </c>
      <c r="AA53" s="169">
        <f t="shared" si="50"/>
        <v>48392</v>
      </c>
      <c r="AB53" s="169">
        <f t="shared" si="50"/>
        <v>48575</v>
      </c>
      <c r="AC53" s="169">
        <f t="shared" si="50"/>
        <v>48757</v>
      </c>
      <c r="AD53" s="169">
        <f t="shared" si="50"/>
        <v>48940</v>
      </c>
      <c r="AE53" s="169">
        <f t="shared" si="54"/>
        <v>49122</v>
      </c>
      <c r="AF53" s="169">
        <f t="shared" si="51"/>
        <v>49305</v>
      </c>
      <c r="AG53" s="169">
        <f t="shared" si="51"/>
        <v>49487</v>
      </c>
      <c r="AH53" s="188">
        <f t="shared" ca="1" si="55"/>
        <v>88</v>
      </c>
      <c r="AI53" s="203">
        <f t="shared" si="56"/>
        <v>27000000</v>
      </c>
      <c r="AJ53" s="164" t="s">
        <v>972</v>
      </c>
    </row>
    <row r="54" spans="1:36" x14ac:dyDescent="0.2">
      <c r="A54" s="164">
        <v>51</v>
      </c>
      <c r="B54" s="164" t="s">
        <v>644</v>
      </c>
      <c r="C54" s="165" t="s">
        <v>564</v>
      </c>
      <c r="D54" s="203">
        <v>4000000</v>
      </c>
      <c r="E54" s="166" t="s">
        <v>658</v>
      </c>
      <c r="F54" s="166" t="s">
        <v>657</v>
      </c>
      <c r="G54" s="166" t="s">
        <v>154</v>
      </c>
      <c r="H54" s="166" t="s">
        <v>659</v>
      </c>
      <c r="I54" s="212" t="s">
        <v>79</v>
      </c>
      <c r="J54" s="169">
        <v>45286</v>
      </c>
      <c r="K54" s="184">
        <f t="shared" si="57"/>
        <v>45469</v>
      </c>
      <c r="L54" s="184">
        <f t="shared" si="57"/>
        <v>45652</v>
      </c>
      <c r="M54" s="184">
        <f t="shared" si="57"/>
        <v>45834</v>
      </c>
      <c r="N54" s="184">
        <f t="shared" si="50"/>
        <v>46017</v>
      </c>
      <c r="O54" s="214">
        <f t="shared" si="50"/>
        <v>46199</v>
      </c>
      <c r="P54" s="184">
        <f t="shared" si="50"/>
        <v>46382</v>
      </c>
      <c r="Q54" s="184">
        <f t="shared" si="50"/>
        <v>46564</v>
      </c>
      <c r="R54" s="184">
        <f t="shared" si="50"/>
        <v>46747</v>
      </c>
      <c r="S54" s="184">
        <f t="shared" si="50"/>
        <v>46930</v>
      </c>
      <c r="T54" s="184">
        <f t="shared" si="50"/>
        <v>47113</v>
      </c>
      <c r="U54" s="184">
        <f t="shared" si="50"/>
        <v>47295</v>
      </c>
      <c r="V54" s="184">
        <f t="shared" si="50"/>
        <v>47478</v>
      </c>
      <c r="W54" s="184">
        <f t="shared" si="50"/>
        <v>47660</v>
      </c>
      <c r="X54" s="169">
        <f t="shared" si="50"/>
        <v>47843</v>
      </c>
      <c r="Y54" s="169">
        <f t="shared" si="50"/>
        <v>48025</v>
      </c>
      <c r="Z54" s="169">
        <f t="shared" si="50"/>
        <v>48208</v>
      </c>
      <c r="AA54" s="169">
        <f t="shared" si="50"/>
        <v>48391</v>
      </c>
      <c r="AB54" s="169">
        <f t="shared" si="50"/>
        <v>48574</v>
      </c>
      <c r="AC54" s="169">
        <f t="shared" si="50"/>
        <v>48756</v>
      </c>
      <c r="AD54" s="169">
        <f t="shared" si="50"/>
        <v>48939</v>
      </c>
      <c r="AE54" s="169">
        <f t="shared" si="54"/>
        <v>49121</v>
      </c>
      <c r="AF54" s="169">
        <f t="shared" si="51"/>
        <v>49304</v>
      </c>
      <c r="AG54" s="169">
        <f t="shared" si="51"/>
        <v>49486</v>
      </c>
      <c r="AH54" s="188">
        <f t="shared" ca="1" si="55"/>
        <v>87</v>
      </c>
      <c r="AI54" s="203">
        <f t="shared" si="56"/>
        <v>24000000</v>
      </c>
      <c r="AJ54" s="164" t="s">
        <v>972</v>
      </c>
    </row>
    <row r="55" spans="1:36" x14ac:dyDescent="0.2">
      <c r="A55" s="173">
        <v>52</v>
      </c>
      <c r="B55" s="164" t="s">
        <v>615</v>
      </c>
      <c r="C55" s="165" t="s">
        <v>770</v>
      </c>
      <c r="D55" s="203">
        <v>5500000</v>
      </c>
      <c r="E55" s="197" t="s">
        <v>672</v>
      </c>
      <c r="F55" s="166" t="s">
        <v>673</v>
      </c>
      <c r="G55" s="166" t="s">
        <v>674</v>
      </c>
      <c r="H55" s="166" t="s">
        <v>675</v>
      </c>
      <c r="I55" s="212" t="s">
        <v>79</v>
      </c>
      <c r="J55" s="169">
        <v>45139</v>
      </c>
      <c r="K55" s="184">
        <f t="shared" si="57"/>
        <v>45323</v>
      </c>
      <c r="L55" s="184">
        <f>EDATE(K55,6)</f>
        <v>45505</v>
      </c>
      <c r="M55" s="184">
        <f>EDATE(L55,6)</f>
        <v>45689</v>
      </c>
      <c r="N55" s="184">
        <f>EDATE(M55,6)</f>
        <v>45870</v>
      </c>
      <c r="O55" s="184">
        <f>EDATE(N55,6)</f>
        <v>46054</v>
      </c>
      <c r="P55" s="214">
        <f>EDATE(O55,6)</f>
        <v>46235</v>
      </c>
      <c r="Q55" s="184">
        <f t="shared" si="50"/>
        <v>46419</v>
      </c>
      <c r="R55" s="184">
        <f t="shared" si="50"/>
        <v>46600</v>
      </c>
      <c r="S55" s="184">
        <f t="shared" si="50"/>
        <v>46784</v>
      </c>
      <c r="T55" s="184">
        <f t="shared" si="50"/>
        <v>46966</v>
      </c>
      <c r="U55" s="184">
        <f t="shared" si="50"/>
        <v>47150</v>
      </c>
      <c r="V55" s="184">
        <f t="shared" si="50"/>
        <v>47331</v>
      </c>
      <c r="W55" s="184">
        <f t="shared" si="50"/>
        <v>47515</v>
      </c>
      <c r="X55" s="184">
        <f t="shared" si="50"/>
        <v>47696</v>
      </c>
      <c r="Y55" s="184">
        <f t="shared" si="50"/>
        <v>47880</v>
      </c>
      <c r="Z55" s="184">
        <f t="shared" si="50"/>
        <v>48061</v>
      </c>
      <c r="AA55" s="184">
        <f t="shared" si="50"/>
        <v>48245</v>
      </c>
      <c r="AB55" s="184">
        <f t="shared" si="50"/>
        <v>48427</v>
      </c>
      <c r="AC55" s="184">
        <f t="shared" si="50"/>
        <v>48611</v>
      </c>
      <c r="AD55" s="184">
        <f t="shared" si="50"/>
        <v>48792</v>
      </c>
      <c r="AE55" s="184">
        <f t="shared" si="54"/>
        <v>48976</v>
      </c>
      <c r="AF55" s="184">
        <f t="shared" si="51"/>
        <v>49157</v>
      </c>
      <c r="AG55" s="184">
        <f t="shared" si="51"/>
        <v>49341</v>
      </c>
      <c r="AH55" s="188">
        <f ca="1">P55-TODAY()</f>
        <v>123</v>
      </c>
      <c r="AI55" s="203">
        <f t="shared" si="56"/>
        <v>33000000</v>
      </c>
      <c r="AJ55" s="164" t="s">
        <v>970</v>
      </c>
    </row>
    <row r="56" spans="1:36" x14ac:dyDescent="0.2">
      <c r="A56" s="164">
        <v>53</v>
      </c>
      <c r="B56" s="164" t="s">
        <v>676</v>
      </c>
      <c r="C56" s="165" t="s">
        <v>66</v>
      </c>
      <c r="D56" s="203">
        <v>4000000</v>
      </c>
      <c r="E56" s="197" t="s">
        <v>686</v>
      </c>
      <c r="F56" s="166" t="s">
        <v>687</v>
      </c>
      <c r="G56" s="166" t="s">
        <v>406</v>
      </c>
      <c r="H56" s="166" t="s">
        <v>688</v>
      </c>
      <c r="I56" s="164" t="s">
        <v>79</v>
      </c>
      <c r="J56" s="169">
        <v>45379</v>
      </c>
      <c r="K56" s="184">
        <f t="shared" si="57"/>
        <v>45563</v>
      </c>
      <c r="L56" s="184">
        <f t="shared" si="57"/>
        <v>45744</v>
      </c>
      <c r="M56" s="184">
        <f t="shared" si="57"/>
        <v>45928</v>
      </c>
      <c r="N56" s="184">
        <f t="shared" si="50"/>
        <v>46109</v>
      </c>
      <c r="O56" s="184">
        <f t="shared" si="50"/>
        <v>46293</v>
      </c>
      <c r="P56" s="184">
        <f t="shared" si="50"/>
        <v>46474</v>
      </c>
      <c r="Q56" s="184">
        <f t="shared" si="50"/>
        <v>46658</v>
      </c>
      <c r="R56" s="184">
        <f t="shared" si="50"/>
        <v>46840</v>
      </c>
      <c r="S56" s="184">
        <f t="shared" si="50"/>
        <v>47024</v>
      </c>
      <c r="T56" s="184">
        <f t="shared" si="50"/>
        <v>47205</v>
      </c>
      <c r="U56" s="184">
        <f t="shared" si="50"/>
        <v>47389</v>
      </c>
      <c r="V56" s="184">
        <f t="shared" si="50"/>
        <v>47570</v>
      </c>
      <c r="W56" s="184">
        <f t="shared" si="50"/>
        <v>47754</v>
      </c>
      <c r="X56" s="184">
        <f t="shared" si="50"/>
        <v>47935</v>
      </c>
      <c r="Y56" s="184">
        <f t="shared" si="50"/>
        <v>48119</v>
      </c>
      <c r="Z56" s="184">
        <f t="shared" si="50"/>
        <v>48301</v>
      </c>
      <c r="AA56" s="184">
        <f t="shared" si="50"/>
        <v>48485</v>
      </c>
      <c r="AB56" s="184">
        <f t="shared" si="50"/>
        <v>48666</v>
      </c>
      <c r="AC56" s="184">
        <f t="shared" si="50"/>
        <v>48850</v>
      </c>
      <c r="AD56" s="184">
        <f t="shared" si="50"/>
        <v>49031</v>
      </c>
      <c r="AE56" s="184">
        <f t="shared" si="54"/>
        <v>49215</v>
      </c>
      <c r="AF56" s="184">
        <f t="shared" si="51"/>
        <v>49396</v>
      </c>
      <c r="AG56" s="184">
        <f t="shared" si="51"/>
        <v>49580</v>
      </c>
      <c r="AH56" s="188">
        <f t="shared" ref="AH56:AH67" ca="1" si="58">N56-TODAY()</f>
        <v>-3</v>
      </c>
      <c r="AI56" s="203">
        <f t="shared" si="56"/>
        <v>24000000</v>
      </c>
      <c r="AJ56" s="164" t="s">
        <v>978</v>
      </c>
    </row>
    <row r="57" spans="1:36" x14ac:dyDescent="0.2">
      <c r="A57" s="173">
        <v>54</v>
      </c>
      <c r="B57" s="164" t="s">
        <v>677</v>
      </c>
      <c r="C57" s="165" t="s">
        <v>32</v>
      </c>
      <c r="D57" s="203">
        <v>4000000</v>
      </c>
      <c r="E57" s="197" t="s">
        <v>690</v>
      </c>
      <c r="F57" s="166" t="s">
        <v>691</v>
      </c>
      <c r="G57" s="166" t="s">
        <v>416</v>
      </c>
      <c r="H57" s="166" t="s">
        <v>689</v>
      </c>
      <c r="I57" s="218" t="s">
        <v>79</v>
      </c>
      <c r="J57" s="169">
        <v>45392</v>
      </c>
      <c r="K57" s="184">
        <f t="shared" si="57"/>
        <v>45575</v>
      </c>
      <c r="L57" s="184">
        <f t="shared" si="57"/>
        <v>45757</v>
      </c>
      <c r="M57" s="184">
        <f t="shared" si="57"/>
        <v>45940</v>
      </c>
      <c r="N57" s="184">
        <f>EDATE(M57,6)</f>
        <v>46122</v>
      </c>
      <c r="O57" s="184">
        <f t="shared" si="50"/>
        <v>46305</v>
      </c>
      <c r="P57" s="184">
        <f t="shared" si="50"/>
        <v>46487</v>
      </c>
      <c r="Q57" s="184">
        <f t="shared" si="50"/>
        <v>46670</v>
      </c>
      <c r="R57" s="184">
        <f t="shared" si="50"/>
        <v>46853</v>
      </c>
      <c r="S57" s="184">
        <f t="shared" si="50"/>
        <v>47036</v>
      </c>
      <c r="T57" s="184">
        <f t="shared" si="50"/>
        <v>47218</v>
      </c>
      <c r="U57" s="184">
        <f t="shared" si="50"/>
        <v>47401</v>
      </c>
      <c r="V57" s="184">
        <f t="shared" si="50"/>
        <v>47583</v>
      </c>
      <c r="W57" s="184">
        <f t="shared" si="50"/>
        <v>47766</v>
      </c>
      <c r="X57" s="184">
        <f t="shared" si="50"/>
        <v>47948</v>
      </c>
      <c r="Y57" s="184">
        <f t="shared" si="50"/>
        <v>48131</v>
      </c>
      <c r="Z57" s="184">
        <f t="shared" si="50"/>
        <v>48314</v>
      </c>
      <c r="AA57" s="184">
        <f t="shared" si="50"/>
        <v>48497</v>
      </c>
      <c r="AB57" s="184">
        <f t="shared" si="50"/>
        <v>48679</v>
      </c>
      <c r="AC57" s="184">
        <f t="shared" si="50"/>
        <v>48862</v>
      </c>
      <c r="AD57" s="184">
        <f t="shared" si="50"/>
        <v>49044</v>
      </c>
      <c r="AE57" s="184">
        <f t="shared" si="54"/>
        <v>49227</v>
      </c>
      <c r="AF57" s="184">
        <f t="shared" si="51"/>
        <v>49409</v>
      </c>
      <c r="AG57" s="184">
        <f t="shared" si="51"/>
        <v>49592</v>
      </c>
      <c r="AH57" s="188">
        <f t="shared" ca="1" si="58"/>
        <v>10</v>
      </c>
      <c r="AI57" s="203">
        <f t="shared" si="56"/>
        <v>24000000</v>
      </c>
      <c r="AJ57" s="164" t="s">
        <v>979</v>
      </c>
    </row>
    <row r="58" spans="1:36" x14ac:dyDescent="0.2">
      <c r="A58" s="164">
        <v>55</v>
      </c>
      <c r="B58" s="195" t="s">
        <v>678</v>
      </c>
      <c r="C58" s="165" t="s">
        <v>587</v>
      </c>
      <c r="D58" s="203">
        <v>4000000</v>
      </c>
      <c r="E58" s="197" t="s">
        <v>693</v>
      </c>
      <c r="F58" s="166" t="s">
        <v>694</v>
      </c>
      <c r="G58" s="166" t="s">
        <v>695</v>
      </c>
      <c r="H58" s="166" t="s">
        <v>692</v>
      </c>
      <c r="I58" s="164" t="s">
        <v>79</v>
      </c>
      <c r="J58" s="169">
        <v>45356</v>
      </c>
      <c r="K58" s="184">
        <f t="shared" si="57"/>
        <v>45540</v>
      </c>
      <c r="L58" s="184">
        <f>EDATE(K58,6)</f>
        <v>45721</v>
      </c>
      <c r="M58" s="184">
        <f t="shared" si="57"/>
        <v>45905</v>
      </c>
      <c r="N58" s="214">
        <f>EDATE(M58,6)</f>
        <v>46086</v>
      </c>
      <c r="O58" s="184">
        <f t="shared" si="50"/>
        <v>46270</v>
      </c>
      <c r="P58" s="184">
        <f t="shared" si="50"/>
        <v>46451</v>
      </c>
      <c r="Q58" s="184">
        <f t="shared" si="50"/>
        <v>46635</v>
      </c>
      <c r="R58" s="184">
        <f t="shared" si="50"/>
        <v>46817</v>
      </c>
      <c r="S58" s="184">
        <f t="shared" si="50"/>
        <v>47001</v>
      </c>
      <c r="T58" s="184">
        <f t="shared" si="50"/>
        <v>47182</v>
      </c>
      <c r="U58" s="184">
        <f t="shared" si="50"/>
        <v>47366</v>
      </c>
      <c r="V58" s="184">
        <f t="shared" si="50"/>
        <v>47547</v>
      </c>
      <c r="W58" s="184">
        <f t="shared" si="50"/>
        <v>47731</v>
      </c>
      <c r="X58" s="184">
        <f t="shared" si="50"/>
        <v>47912</v>
      </c>
      <c r="Y58" s="184">
        <f t="shared" si="50"/>
        <v>48096</v>
      </c>
      <c r="Z58" s="184">
        <f t="shared" si="50"/>
        <v>48278</v>
      </c>
      <c r="AA58" s="184">
        <f t="shared" si="50"/>
        <v>48462</v>
      </c>
      <c r="AB58" s="184">
        <f t="shared" si="50"/>
        <v>48643</v>
      </c>
      <c r="AC58" s="184">
        <f t="shared" si="50"/>
        <v>48827</v>
      </c>
      <c r="AD58" s="184">
        <f t="shared" si="50"/>
        <v>49008</v>
      </c>
      <c r="AE58" s="184">
        <f t="shared" si="54"/>
        <v>49192</v>
      </c>
      <c r="AF58" s="184">
        <f t="shared" si="51"/>
        <v>49373</v>
      </c>
      <c r="AG58" s="184">
        <f t="shared" si="51"/>
        <v>49557</v>
      </c>
      <c r="AH58" s="188">
        <f ca="1">O58-TODAY()</f>
        <v>158</v>
      </c>
      <c r="AI58" s="203">
        <f t="shared" si="56"/>
        <v>24000000</v>
      </c>
      <c r="AJ58" s="164" t="s">
        <v>972</v>
      </c>
    </row>
    <row r="59" spans="1:36" x14ac:dyDescent="0.2">
      <c r="A59" s="173">
        <v>56</v>
      </c>
      <c r="B59" s="164" t="s">
        <v>679</v>
      </c>
      <c r="C59" s="165" t="s">
        <v>157</v>
      </c>
      <c r="D59" s="203">
        <v>4000000</v>
      </c>
      <c r="E59" s="197" t="s">
        <v>702</v>
      </c>
      <c r="F59" s="166" t="s">
        <v>701</v>
      </c>
      <c r="G59" s="166" t="s">
        <v>416</v>
      </c>
      <c r="H59" s="166" t="s">
        <v>700</v>
      </c>
      <c r="I59" s="164" t="s">
        <v>79</v>
      </c>
      <c r="J59" s="169">
        <v>45413</v>
      </c>
      <c r="K59" s="184">
        <f t="shared" si="57"/>
        <v>45597</v>
      </c>
      <c r="L59" s="184">
        <f>EDATE(K59,6)</f>
        <v>45778</v>
      </c>
      <c r="M59" s="184">
        <f>EDATE(L59,6)</f>
        <v>45962</v>
      </c>
      <c r="N59" s="214">
        <f>EDATE(M59,6)</f>
        <v>46143</v>
      </c>
      <c r="O59" s="184">
        <f t="shared" si="50"/>
        <v>46327</v>
      </c>
      <c r="P59" s="184">
        <f t="shared" si="50"/>
        <v>46508</v>
      </c>
      <c r="Q59" s="184">
        <f t="shared" si="50"/>
        <v>46692</v>
      </c>
      <c r="R59" s="184">
        <f t="shared" si="50"/>
        <v>46874</v>
      </c>
      <c r="S59" s="184">
        <f t="shared" si="50"/>
        <v>47058</v>
      </c>
      <c r="T59" s="184">
        <f t="shared" si="50"/>
        <v>47239</v>
      </c>
      <c r="U59" s="184">
        <f t="shared" si="50"/>
        <v>47423</v>
      </c>
      <c r="V59" s="184">
        <f t="shared" si="50"/>
        <v>47604</v>
      </c>
      <c r="W59" s="184">
        <f t="shared" si="50"/>
        <v>47788</v>
      </c>
      <c r="X59" s="184">
        <f t="shared" si="50"/>
        <v>47969</v>
      </c>
      <c r="Y59" s="184">
        <f t="shared" si="50"/>
        <v>48153</v>
      </c>
      <c r="Z59" s="184">
        <f t="shared" si="50"/>
        <v>48335</v>
      </c>
      <c r="AA59" s="184">
        <f t="shared" si="50"/>
        <v>48519</v>
      </c>
      <c r="AB59" s="184">
        <f t="shared" si="50"/>
        <v>48700</v>
      </c>
      <c r="AC59" s="184">
        <f t="shared" si="50"/>
        <v>48884</v>
      </c>
      <c r="AD59" s="184">
        <f t="shared" si="50"/>
        <v>49065</v>
      </c>
      <c r="AE59" s="184">
        <f t="shared" si="54"/>
        <v>49249</v>
      </c>
      <c r="AF59" s="184">
        <f t="shared" si="51"/>
        <v>49430</v>
      </c>
      <c r="AG59" s="184">
        <f t="shared" si="51"/>
        <v>49614</v>
      </c>
      <c r="AH59" s="188">
        <f t="shared" ca="1" si="58"/>
        <v>31</v>
      </c>
      <c r="AI59" s="203">
        <f t="shared" si="56"/>
        <v>24000000</v>
      </c>
      <c r="AJ59" s="164" t="s">
        <v>979</v>
      </c>
    </row>
    <row r="60" spans="1:36" x14ac:dyDescent="0.2">
      <c r="A60" s="164">
        <v>57</v>
      </c>
      <c r="B60" s="164" t="s">
        <v>680</v>
      </c>
      <c r="C60" s="165" t="s">
        <v>157</v>
      </c>
      <c r="D60" s="203">
        <v>4000000</v>
      </c>
      <c r="E60" s="197" t="s">
        <v>697</v>
      </c>
      <c r="F60" s="166" t="s">
        <v>698</v>
      </c>
      <c r="G60" s="166" t="s">
        <v>699</v>
      </c>
      <c r="H60" s="166" t="s">
        <v>696</v>
      </c>
      <c r="I60" s="164" t="s">
        <v>79</v>
      </c>
      <c r="J60" s="201">
        <v>45413</v>
      </c>
      <c r="K60" s="184">
        <f>EDATE(J60,6)</f>
        <v>45597</v>
      </c>
      <c r="L60" s="184">
        <f>EDATE(K60,6)</f>
        <v>45778</v>
      </c>
      <c r="M60" s="184">
        <f>EDATE(L60,6)</f>
        <v>45962</v>
      </c>
      <c r="N60" s="214">
        <f>EDATE(M60,6)</f>
        <v>46143</v>
      </c>
      <c r="O60" s="184">
        <f t="shared" ref="O60:AA79" si="59">EDATE(N60,6)</f>
        <v>46327</v>
      </c>
      <c r="P60" s="184">
        <f t="shared" si="59"/>
        <v>46508</v>
      </c>
      <c r="Q60" s="184">
        <f t="shared" si="59"/>
        <v>46692</v>
      </c>
      <c r="R60" s="184">
        <f t="shared" si="59"/>
        <v>46874</v>
      </c>
      <c r="S60" s="184">
        <f t="shared" si="59"/>
        <v>47058</v>
      </c>
      <c r="T60" s="184">
        <f t="shared" si="59"/>
        <v>47239</v>
      </c>
      <c r="U60" s="184">
        <f t="shared" si="59"/>
        <v>47423</v>
      </c>
      <c r="V60" s="184">
        <f t="shared" si="59"/>
        <v>47604</v>
      </c>
      <c r="W60" s="184">
        <f t="shared" si="59"/>
        <v>47788</v>
      </c>
      <c r="X60" s="184">
        <f t="shared" si="59"/>
        <v>47969</v>
      </c>
      <c r="Y60" s="184">
        <f t="shared" si="59"/>
        <v>48153</v>
      </c>
      <c r="Z60" s="184">
        <f t="shared" si="59"/>
        <v>48335</v>
      </c>
      <c r="AA60" s="184">
        <f t="shared" si="59"/>
        <v>48519</v>
      </c>
      <c r="AB60" s="184">
        <f t="shared" ref="AB60:AD78" si="60">EDATE(AA60,6)</f>
        <v>48700</v>
      </c>
      <c r="AC60" s="184">
        <f t="shared" si="60"/>
        <v>48884</v>
      </c>
      <c r="AD60" s="184">
        <f t="shared" si="60"/>
        <v>49065</v>
      </c>
      <c r="AE60" s="184">
        <f t="shared" si="54"/>
        <v>49249</v>
      </c>
      <c r="AF60" s="184">
        <f t="shared" si="51"/>
        <v>49430</v>
      </c>
      <c r="AG60" s="184">
        <f t="shared" si="51"/>
        <v>49614</v>
      </c>
      <c r="AH60" s="188">
        <f t="shared" ca="1" si="58"/>
        <v>31</v>
      </c>
      <c r="AI60" s="203">
        <f t="shared" si="56"/>
        <v>24000000</v>
      </c>
      <c r="AJ60" s="164" t="s">
        <v>979</v>
      </c>
    </row>
    <row r="61" spans="1:36" x14ac:dyDescent="0.2">
      <c r="A61" s="173">
        <v>58</v>
      </c>
      <c r="B61" s="164" t="s">
        <v>746</v>
      </c>
      <c r="C61" s="165" t="s">
        <v>32</v>
      </c>
      <c r="D61" s="166">
        <v>4000000</v>
      </c>
      <c r="E61" s="166" t="s">
        <v>703</v>
      </c>
      <c r="F61" s="166" t="s">
        <v>704</v>
      </c>
      <c r="G61" s="166" t="s">
        <v>705</v>
      </c>
      <c r="H61" s="166" t="s">
        <v>706</v>
      </c>
      <c r="I61" s="169" t="s">
        <v>79</v>
      </c>
      <c r="J61" s="169">
        <v>45404</v>
      </c>
      <c r="K61" s="184">
        <f>EDATE(J61,6)</f>
        <v>45587</v>
      </c>
      <c r="L61" s="219">
        <f t="shared" si="57"/>
        <v>45769</v>
      </c>
      <c r="M61" s="214">
        <f t="shared" si="57"/>
        <v>45952</v>
      </c>
      <c r="N61" s="184">
        <f t="shared" si="57"/>
        <v>46134</v>
      </c>
      <c r="O61" s="184">
        <f t="shared" si="59"/>
        <v>46317</v>
      </c>
      <c r="P61" s="184">
        <f t="shared" si="59"/>
        <v>46499</v>
      </c>
      <c r="Q61" s="184">
        <f t="shared" si="59"/>
        <v>46682</v>
      </c>
      <c r="R61" s="184">
        <f t="shared" si="59"/>
        <v>46865</v>
      </c>
      <c r="S61" s="184">
        <f t="shared" si="59"/>
        <v>47048</v>
      </c>
      <c r="T61" s="184">
        <f t="shared" si="59"/>
        <v>47230</v>
      </c>
      <c r="U61" s="184">
        <f t="shared" si="59"/>
        <v>47413</v>
      </c>
      <c r="V61" s="184">
        <f t="shared" si="59"/>
        <v>47595</v>
      </c>
      <c r="W61" s="184">
        <f t="shared" si="59"/>
        <v>47778</v>
      </c>
      <c r="X61" s="184">
        <f t="shared" si="59"/>
        <v>47960</v>
      </c>
      <c r="Y61" s="184">
        <f t="shared" si="59"/>
        <v>48143</v>
      </c>
      <c r="Z61" s="184">
        <f t="shared" si="59"/>
        <v>48326</v>
      </c>
      <c r="AA61" s="184">
        <f t="shared" si="59"/>
        <v>48509</v>
      </c>
      <c r="AB61" s="184">
        <f t="shared" si="60"/>
        <v>48691</v>
      </c>
      <c r="AC61" s="184">
        <f t="shared" si="60"/>
        <v>48874</v>
      </c>
      <c r="AD61" s="184">
        <f t="shared" si="60"/>
        <v>49056</v>
      </c>
      <c r="AE61" s="184">
        <f t="shared" si="54"/>
        <v>49239</v>
      </c>
      <c r="AF61" s="184">
        <f t="shared" si="51"/>
        <v>49421</v>
      </c>
      <c r="AG61" s="184">
        <f t="shared" si="51"/>
        <v>49604</v>
      </c>
      <c r="AH61" s="188">
        <f t="shared" ca="1" si="58"/>
        <v>22</v>
      </c>
      <c r="AI61" s="203">
        <f>D61*6</f>
        <v>24000000</v>
      </c>
      <c r="AJ61" s="164" t="s">
        <v>979</v>
      </c>
    </row>
    <row r="62" spans="1:36" x14ac:dyDescent="0.2">
      <c r="A62" s="164">
        <v>59</v>
      </c>
      <c r="B62" s="164" t="s">
        <v>738</v>
      </c>
      <c r="C62" s="165" t="s">
        <v>291</v>
      </c>
      <c r="D62" s="166">
        <v>4000000</v>
      </c>
      <c r="E62" s="166" t="s">
        <v>741</v>
      </c>
      <c r="F62" s="166" t="s">
        <v>740</v>
      </c>
      <c r="G62" s="166" t="s">
        <v>980</v>
      </c>
      <c r="H62" s="166" t="s">
        <v>744</v>
      </c>
      <c r="I62" s="220" t="s">
        <v>79</v>
      </c>
      <c r="J62" s="169">
        <v>45449</v>
      </c>
      <c r="K62" s="184">
        <f>EDATE(J62,6)</f>
        <v>45632</v>
      </c>
      <c r="L62" s="184">
        <f t="shared" si="57"/>
        <v>45814</v>
      </c>
      <c r="M62" s="184">
        <f t="shared" si="57"/>
        <v>45997</v>
      </c>
      <c r="N62" s="214">
        <f t="shared" si="57"/>
        <v>46179</v>
      </c>
      <c r="O62" s="184">
        <f t="shared" si="59"/>
        <v>46362</v>
      </c>
      <c r="P62" s="184">
        <f t="shared" si="59"/>
        <v>46544</v>
      </c>
      <c r="Q62" s="184">
        <f t="shared" si="59"/>
        <v>46727</v>
      </c>
      <c r="R62" s="184">
        <f t="shared" si="59"/>
        <v>46910</v>
      </c>
      <c r="S62" s="184">
        <f t="shared" si="59"/>
        <v>47093</v>
      </c>
      <c r="T62" s="184">
        <f t="shared" si="59"/>
        <v>47275</v>
      </c>
      <c r="U62" s="184">
        <f t="shared" si="59"/>
        <v>47458</v>
      </c>
      <c r="V62" s="184">
        <f t="shared" si="59"/>
        <v>47640</v>
      </c>
      <c r="W62" s="184">
        <f t="shared" si="59"/>
        <v>47823</v>
      </c>
      <c r="X62" s="184">
        <f t="shared" si="59"/>
        <v>48005</v>
      </c>
      <c r="Y62" s="184">
        <f t="shared" si="59"/>
        <v>48188</v>
      </c>
      <c r="Z62" s="184">
        <f t="shared" si="59"/>
        <v>48371</v>
      </c>
      <c r="AA62" s="184">
        <f t="shared" si="59"/>
        <v>48554</v>
      </c>
      <c r="AB62" s="184">
        <f t="shared" si="60"/>
        <v>48736</v>
      </c>
      <c r="AC62" s="184">
        <f t="shared" si="60"/>
        <v>48919</v>
      </c>
      <c r="AD62" s="184">
        <f t="shared" si="60"/>
        <v>49101</v>
      </c>
      <c r="AE62" s="184">
        <f t="shared" si="54"/>
        <v>49284</v>
      </c>
      <c r="AF62" s="184">
        <f t="shared" si="51"/>
        <v>49466</v>
      </c>
      <c r="AG62" s="184">
        <f t="shared" si="51"/>
        <v>49649</v>
      </c>
      <c r="AH62" s="188">
        <f t="shared" ca="1" si="58"/>
        <v>67</v>
      </c>
      <c r="AI62" s="203">
        <f t="shared" ref="AI62:AI85" si="61">D62*6</f>
        <v>24000000</v>
      </c>
      <c r="AJ62" s="164" t="s">
        <v>979</v>
      </c>
    </row>
    <row r="63" spans="1:36" x14ac:dyDescent="0.2">
      <c r="A63" s="173">
        <v>60</v>
      </c>
      <c r="B63" s="221" t="s">
        <v>731</v>
      </c>
      <c r="C63" s="165" t="s">
        <v>15</v>
      </c>
      <c r="D63" s="166">
        <v>5000000</v>
      </c>
      <c r="E63" s="166" t="s">
        <v>733</v>
      </c>
      <c r="F63" s="166" t="s">
        <v>734</v>
      </c>
      <c r="G63" s="166" t="s">
        <v>401</v>
      </c>
      <c r="H63" s="166" t="s">
        <v>735</v>
      </c>
      <c r="I63" s="202" t="s">
        <v>79</v>
      </c>
      <c r="J63" s="169">
        <v>45458</v>
      </c>
      <c r="K63" s="184">
        <f>EDATE(J63,6)</f>
        <v>45641</v>
      </c>
      <c r="L63" s="184">
        <f t="shared" si="57"/>
        <v>45823</v>
      </c>
      <c r="M63" s="184">
        <f t="shared" si="57"/>
        <v>46006</v>
      </c>
      <c r="N63" s="214">
        <f t="shared" si="57"/>
        <v>46188</v>
      </c>
      <c r="O63" s="184">
        <f t="shared" si="59"/>
        <v>46371</v>
      </c>
      <c r="P63" s="184">
        <f t="shared" si="59"/>
        <v>46553</v>
      </c>
      <c r="Q63" s="184">
        <f t="shared" si="59"/>
        <v>46736</v>
      </c>
      <c r="R63" s="184">
        <f t="shared" si="59"/>
        <v>46919</v>
      </c>
      <c r="S63" s="184">
        <f t="shared" si="59"/>
        <v>47102</v>
      </c>
      <c r="T63" s="184">
        <f t="shared" si="59"/>
        <v>47284</v>
      </c>
      <c r="U63" s="184">
        <f t="shared" si="59"/>
        <v>47467</v>
      </c>
      <c r="V63" s="184">
        <f t="shared" si="59"/>
        <v>47649</v>
      </c>
      <c r="W63" s="184">
        <f t="shared" si="59"/>
        <v>47832</v>
      </c>
      <c r="X63" s="184">
        <f t="shared" si="59"/>
        <v>48014</v>
      </c>
      <c r="Y63" s="184">
        <f t="shared" si="59"/>
        <v>48197</v>
      </c>
      <c r="Z63" s="184">
        <f t="shared" si="59"/>
        <v>48380</v>
      </c>
      <c r="AA63" s="184">
        <f t="shared" si="59"/>
        <v>48563</v>
      </c>
      <c r="AB63" s="184">
        <f t="shared" si="60"/>
        <v>48745</v>
      </c>
      <c r="AC63" s="184">
        <f t="shared" si="60"/>
        <v>48928</v>
      </c>
      <c r="AD63" s="184">
        <f t="shared" si="60"/>
        <v>49110</v>
      </c>
      <c r="AE63" s="184">
        <f t="shared" si="54"/>
        <v>49293</v>
      </c>
      <c r="AF63" s="184">
        <f t="shared" si="51"/>
        <v>49475</v>
      </c>
      <c r="AG63" s="184">
        <f t="shared" si="51"/>
        <v>49658</v>
      </c>
      <c r="AH63" s="188">
        <f t="shared" ca="1" si="58"/>
        <v>76</v>
      </c>
      <c r="AI63" s="203">
        <f t="shared" si="61"/>
        <v>30000000</v>
      </c>
      <c r="AJ63" s="164" t="s">
        <v>979</v>
      </c>
    </row>
    <row r="64" spans="1:36" x14ac:dyDescent="0.2">
      <c r="A64" s="164">
        <v>61</v>
      </c>
      <c r="B64" s="164" t="s">
        <v>710</v>
      </c>
      <c r="C64" s="165" t="s">
        <v>291</v>
      </c>
      <c r="D64" s="166">
        <v>5500000</v>
      </c>
      <c r="E64" s="166" t="s">
        <v>729</v>
      </c>
      <c r="F64" s="166" t="s">
        <v>728</v>
      </c>
      <c r="G64" s="166" t="s">
        <v>154</v>
      </c>
      <c r="H64" s="166" t="s">
        <v>712</v>
      </c>
      <c r="I64" s="202" t="s">
        <v>79</v>
      </c>
      <c r="J64" s="169">
        <v>45453</v>
      </c>
      <c r="K64" s="184">
        <f t="shared" ref="K64:L79" si="62">EDATE(J64,6)</f>
        <v>45636</v>
      </c>
      <c r="L64" s="184">
        <f t="shared" si="57"/>
        <v>45818</v>
      </c>
      <c r="M64" s="184">
        <f t="shared" si="57"/>
        <v>46001</v>
      </c>
      <c r="N64" s="214">
        <f t="shared" si="57"/>
        <v>46183</v>
      </c>
      <c r="O64" s="184">
        <f t="shared" si="59"/>
        <v>46366</v>
      </c>
      <c r="P64" s="184">
        <f t="shared" si="59"/>
        <v>46548</v>
      </c>
      <c r="Q64" s="184">
        <f t="shared" si="59"/>
        <v>46731</v>
      </c>
      <c r="R64" s="184">
        <f t="shared" si="59"/>
        <v>46914</v>
      </c>
      <c r="S64" s="184">
        <f t="shared" si="59"/>
        <v>47097</v>
      </c>
      <c r="T64" s="184">
        <f t="shared" si="59"/>
        <v>47279</v>
      </c>
      <c r="U64" s="184">
        <f t="shared" si="59"/>
        <v>47462</v>
      </c>
      <c r="V64" s="184">
        <f t="shared" si="59"/>
        <v>47644</v>
      </c>
      <c r="W64" s="184">
        <f t="shared" si="59"/>
        <v>47827</v>
      </c>
      <c r="X64" s="184">
        <f t="shared" si="59"/>
        <v>48009</v>
      </c>
      <c r="Y64" s="184">
        <f t="shared" si="59"/>
        <v>48192</v>
      </c>
      <c r="Z64" s="184">
        <f t="shared" si="59"/>
        <v>48375</v>
      </c>
      <c r="AA64" s="184">
        <f t="shared" si="59"/>
        <v>48558</v>
      </c>
      <c r="AB64" s="184">
        <f t="shared" si="60"/>
        <v>48740</v>
      </c>
      <c r="AC64" s="184">
        <f t="shared" si="60"/>
        <v>48923</v>
      </c>
      <c r="AD64" s="184">
        <f t="shared" si="60"/>
        <v>49105</v>
      </c>
      <c r="AE64" s="184">
        <f t="shared" si="54"/>
        <v>49288</v>
      </c>
      <c r="AF64" s="184">
        <f t="shared" si="51"/>
        <v>49470</v>
      </c>
      <c r="AG64" s="184">
        <f t="shared" si="51"/>
        <v>49653</v>
      </c>
      <c r="AH64" s="188">
        <f t="shared" ca="1" si="58"/>
        <v>71</v>
      </c>
      <c r="AI64" s="203">
        <f>D64*6</f>
        <v>33000000</v>
      </c>
      <c r="AJ64" s="164" t="s">
        <v>979</v>
      </c>
    </row>
    <row r="65" spans="1:36" x14ac:dyDescent="0.2">
      <c r="A65" s="173">
        <v>62</v>
      </c>
      <c r="B65" s="165" t="s">
        <v>713</v>
      </c>
      <c r="C65" s="165" t="s">
        <v>291</v>
      </c>
      <c r="D65" s="166">
        <v>7000000</v>
      </c>
      <c r="E65" s="166" t="s">
        <v>725</v>
      </c>
      <c r="F65" s="166" t="s">
        <v>724</v>
      </c>
      <c r="G65" s="166" t="s">
        <v>416</v>
      </c>
      <c r="H65" s="166" t="s">
        <v>715</v>
      </c>
      <c r="I65" s="193" t="s">
        <v>79</v>
      </c>
      <c r="J65" s="169">
        <v>45463</v>
      </c>
      <c r="K65" s="184">
        <f t="shared" si="62"/>
        <v>45646</v>
      </c>
      <c r="L65" s="184">
        <f t="shared" si="57"/>
        <v>45828</v>
      </c>
      <c r="M65" s="184">
        <f t="shared" si="57"/>
        <v>46011</v>
      </c>
      <c r="N65" s="214">
        <f t="shared" si="57"/>
        <v>46193</v>
      </c>
      <c r="O65" s="184">
        <f t="shared" si="59"/>
        <v>46376</v>
      </c>
      <c r="P65" s="184">
        <f t="shared" si="59"/>
        <v>46558</v>
      </c>
      <c r="Q65" s="184">
        <f t="shared" si="59"/>
        <v>46741</v>
      </c>
      <c r="R65" s="184">
        <f t="shared" si="59"/>
        <v>46924</v>
      </c>
      <c r="S65" s="184">
        <f t="shared" si="59"/>
        <v>47107</v>
      </c>
      <c r="T65" s="184">
        <f t="shared" si="59"/>
        <v>47289</v>
      </c>
      <c r="U65" s="184">
        <f t="shared" si="59"/>
        <v>47472</v>
      </c>
      <c r="V65" s="184">
        <f t="shared" si="59"/>
        <v>47654</v>
      </c>
      <c r="W65" s="184">
        <f t="shared" si="59"/>
        <v>47837</v>
      </c>
      <c r="X65" s="184">
        <f t="shared" si="59"/>
        <v>48019</v>
      </c>
      <c r="Y65" s="184">
        <f t="shared" si="59"/>
        <v>48202</v>
      </c>
      <c r="Z65" s="184">
        <f t="shared" si="59"/>
        <v>48385</v>
      </c>
      <c r="AA65" s="184">
        <f t="shared" si="59"/>
        <v>48568</v>
      </c>
      <c r="AB65" s="184">
        <f t="shared" si="60"/>
        <v>48750</v>
      </c>
      <c r="AC65" s="184">
        <f t="shared" si="60"/>
        <v>48933</v>
      </c>
      <c r="AD65" s="184">
        <f t="shared" si="60"/>
        <v>49115</v>
      </c>
      <c r="AE65" s="184">
        <f t="shared" si="54"/>
        <v>49298</v>
      </c>
      <c r="AF65" s="184">
        <f t="shared" si="51"/>
        <v>49480</v>
      </c>
      <c r="AG65" s="184">
        <f t="shared" si="51"/>
        <v>49663</v>
      </c>
      <c r="AH65" s="188">
        <f t="shared" ca="1" si="58"/>
        <v>81</v>
      </c>
      <c r="AI65" s="203">
        <f t="shared" si="61"/>
        <v>42000000</v>
      </c>
      <c r="AJ65" s="164" t="s">
        <v>979</v>
      </c>
    </row>
    <row r="66" spans="1:36" x14ac:dyDescent="0.2">
      <c r="A66" s="164">
        <v>63</v>
      </c>
      <c r="B66" s="164" t="s">
        <v>716</v>
      </c>
      <c r="C66" s="165" t="s">
        <v>32</v>
      </c>
      <c r="D66" s="166">
        <v>7500000</v>
      </c>
      <c r="E66" s="166" t="s">
        <v>737</v>
      </c>
      <c r="F66" s="166" t="s">
        <v>736</v>
      </c>
      <c r="G66" s="166" t="s">
        <v>981</v>
      </c>
      <c r="H66" s="166" t="s">
        <v>718</v>
      </c>
      <c r="I66" s="202" t="s">
        <v>79</v>
      </c>
      <c r="J66" s="169">
        <v>45483</v>
      </c>
      <c r="K66" s="184">
        <f t="shared" si="62"/>
        <v>45667</v>
      </c>
      <c r="L66" s="184">
        <f>EDATE(K66,6)</f>
        <v>45848</v>
      </c>
      <c r="M66" s="184">
        <f>EDATE(L66,6)</f>
        <v>46032</v>
      </c>
      <c r="N66" s="214">
        <f>EDATE(M66,6)</f>
        <v>46213</v>
      </c>
      <c r="O66" s="184">
        <f t="shared" si="59"/>
        <v>46397</v>
      </c>
      <c r="P66" s="184">
        <f t="shared" si="59"/>
        <v>46578</v>
      </c>
      <c r="Q66" s="184">
        <f t="shared" si="59"/>
        <v>46762</v>
      </c>
      <c r="R66" s="184">
        <f t="shared" si="59"/>
        <v>46944</v>
      </c>
      <c r="S66" s="184">
        <f t="shared" si="59"/>
        <v>47128</v>
      </c>
      <c r="T66" s="184">
        <f t="shared" si="59"/>
        <v>47309</v>
      </c>
      <c r="U66" s="184">
        <f t="shared" si="59"/>
        <v>47493</v>
      </c>
      <c r="V66" s="184">
        <f t="shared" si="59"/>
        <v>47674</v>
      </c>
      <c r="W66" s="184">
        <f t="shared" si="59"/>
        <v>47858</v>
      </c>
      <c r="X66" s="184">
        <f t="shared" si="59"/>
        <v>48039</v>
      </c>
      <c r="Y66" s="184">
        <f t="shared" si="59"/>
        <v>48223</v>
      </c>
      <c r="Z66" s="184">
        <f t="shared" si="59"/>
        <v>48405</v>
      </c>
      <c r="AA66" s="184">
        <f t="shared" si="59"/>
        <v>48589</v>
      </c>
      <c r="AB66" s="184">
        <f t="shared" si="60"/>
        <v>48770</v>
      </c>
      <c r="AC66" s="184">
        <f t="shared" si="60"/>
        <v>48954</v>
      </c>
      <c r="AD66" s="184">
        <f t="shared" si="60"/>
        <v>49135</v>
      </c>
      <c r="AE66" s="184">
        <f t="shared" si="54"/>
        <v>49319</v>
      </c>
      <c r="AF66" s="184">
        <f t="shared" si="51"/>
        <v>49500</v>
      </c>
      <c r="AG66" s="184">
        <f t="shared" si="51"/>
        <v>49684</v>
      </c>
      <c r="AH66" s="188">
        <f t="shared" ca="1" si="58"/>
        <v>101</v>
      </c>
      <c r="AI66" s="203">
        <f>D66*6</f>
        <v>45000000</v>
      </c>
      <c r="AJ66" s="173" t="s">
        <v>979</v>
      </c>
    </row>
    <row r="67" spans="1:36" x14ac:dyDescent="0.2">
      <c r="A67" s="173">
        <v>64</v>
      </c>
      <c r="B67" s="164" t="s">
        <v>719</v>
      </c>
      <c r="C67" s="165" t="s">
        <v>230</v>
      </c>
      <c r="D67" s="166">
        <v>5000000</v>
      </c>
      <c r="E67" s="166" t="s">
        <v>722</v>
      </c>
      <c r="F67" s="166" t="s">
        <v>723</v>
      </c>
      <c r="G67" s="166" t="s">
        <v>171</v>
      </c>
      <c r="H67" s="166" t="s">
        <v>721</v>
      </c>
      <c r="I67" s="169" t="s">
        <v>79</v>
      </c>
      <c r="J67" s="169">
        <v>45491</v>
      </c>
      <c r="K67" s="184">
        <f t="shared" si="62"/>
        <v>45675</v>
      </c>
      <c r="L67" s="184">
        <f>EDATE(K67,6)</f>
        <v>45856</v>
      </c>
      <c r="M67" s="214">
        <f t="shared" si="57"/>
        <v>46040</v>
      </c>
      <c r="N67" s="184">
        <f t="shared" si="57"/>
        <v>46221</v>
      </c>
      <c r="O67" s="184">
        <f t="shared" si="59"/>
        <v>46405</v>
      </c>
      <c r="P67" s="184">
        <f t="shared" si="59"/>
        <v>46586</v>
      </c>
      <c r="Q67" s="184">
        <f t="shared" si="59"/>
        <v>46770</v>
      </c>
      <c r="R67" s="184">
        <f t="shared" si="59"/>
        <v>46952</v>
      </c>
      <c r="S67" s="184">
        <f t="shared" si="59"/>
        <v>47136</v>
      </c>
      <c r="T67" s="184">
        <f t="shared" si="59"/>
        <v>47317</v>
      </c>
      <c r="U67" s="184">
        <f t="shared" si="59"/>
        <v>47501</v>
      </c>
      <c r="V67" s="184">
        <f t="shared" si="59"/>
        <v>47682</v>
      </c>
      <c r="W67" s="184">
        <f t="shared" si="59"/>
        <v>47866</v>
      </c>
      <c r="X67" s="184">
        <f t="shared" si="59"/>
        <v>48047</v>
      </c>
      <c r="Y67" s="184">
        <f t="shared" si="59"/>
        <v>48231</v>
      </c>
      <c r="Z67" s="184">
        <f t="shared" si="59"/>
        <v>48413</v>
      </c>
      <c r="AA67" s="184">
        <f t="shared" si="59"/>
        <v>48597</v>
      </c>
      <c r="AB67" s="184">
        <f t="shared" si="60"/>
        <v>48778</v>
      </c>
      <c r="AC67" s="184">
        <f t="shared" si="60"/>
        <v>48962</v>
      </c>
      <c r="AD67" s="184">
        <f t="shared" si="60"/>
        <v>49143</v>
      </c>
      <c r="AE67" s="184">
        <f t="shared" si="54"/>
        <v>49327</v>
      </c>
      <c r="AF67" s="184">
        <f t="shared" si="51"/>
        <v>49508</v>
      </c>
      <c r="AG67" s="184">
        <f t="shared" si="51"/>
        <v>49692</v>
      </c>
      <c r="AH67" s="188">
        <f t="shared" ca="1" si="58"/>
        <v>109</v>
      </c>
      <c r="AI67" s="203">
        <f t="shared" si="61"/>
        <v>30000000</v>
      </c>
      <c r="AJ67" s="164" t="s">
        <v>979</v>
      </c>
    </row>
    <row r="68" spans="1:36" x14ac:dyDescent="0.2">
      <c r="A68" s="164">
        <v>65</v>
      </c>
      <c r="B68" s="221" t="s">
        <v>750</v>
      </c>
      <c r="C68" s="165" t="s">
        <v>15</v>
      </c>
      <c r="D68" s="166">
        <v>5500000</v>
      </c>
      <c r="E68" s="166" t="s">
        <v>765</v>
      </c>
      <c r="F68" s="166" t="s">
        <v>764</v>
      </c>
      <c r="G68" s="166" t="s">
        <v>766</v>
      </c>
      <c r="H68" s="166" t="s">
        <v>753</v>
      </c>
      <c r="I68" s="202" t="s">
        <v>79</v>
      </c>
      <c r="J68" s="169">
        <v>45545</v>
      </c>
      <c r="K68" s="184">
        <f t="shared" si="62"/>
        <v>45726</v>
      </c>
      <c r="L68" s="184">
        <f t="shared" si="62"/>
        <v>45910</v>
      </c>
      <c r="M68" s="184">
        <f t="shared" si="57"/>
        <v>46091</v>
      </c>
      <c r="N68" s="214">
        <f t="shared" si="57"/>
        <v>46275</v>
      </c>
      <c r="O68" s="184">
        <f t="shared" si="59"/>
        <v>46456</v>
      </c>
      <c r="P68" s="184">
        <f t="shared" si="59"/>
        <v>46640</v>
      </c>
      <c r="Q68" s="184">
        <f t="shared" si="59"/>
        <v>46822</v>
      </c>
      <c r="R68" s="184">
        <f t="shared" si="59"/>
        <v>47006</v>
      </c>
      <c r="S68" s="184">
        <f t="shared" si="59"/>
        <v>47187</v>
      </c>
      <c r="T68" s="184">
        <f t="shared" si="59"/>
        <v>47371</v>
      </c>
      <c r="U68" s="184">
        <f t="shared" si="59"/>
        <v>47552</v>
      </c>
      <c r="V68" s="184">
        <f t="shared" si="59"/>
        <v>47736</v>
      </c>
      <c r="W68" s="184">
        <f t="shared" si="59"/>
        <v>47917</v>
      </c>
      <c r="X68" s="184">
        <f t="shared" si="59"/>
        <v>48101</v>
      </c>
      <c r="Y68" s="184">
        <f t="shared" si="59"/>
        <v>48283</v>
      </c>
      <c r="Z68" s="184">
        <f t="shared" si="59"/>
        <v>48467</v>
      </c>
      <c r="AA68" s="184">
        <f t="shared" si="59"/>
        <v>48648</v>
      </c>
      <c r="AB68" s="184">
        <f t="shared" si="60"/>
        <v>48832</v>
      </c>
      <c r="AC68" s="184">
        <f t="shared" si="60"/>
        <v>49013</v>
      </c>
      <c r="AD68" s="184">
        <f t="shared" si="60"/>
        <v>49197</v>
      </c>
      <c r="AE68" s="184">
        <f t="shared" si="54"/>
        <v>49378</v>
      </c>
      <c r="AF68" s="184">
        <f t="shared" si="51"/>
        <v>49562</v>
      </c>
      <c r="AG68" s="184">
        <f t="shared" si="51"/>
        <v>49744</v>
      </c>
      <c r="AH68" s="188">
        <f ca="1">N68-TODAY()</f>
        <v>163</v>
      </c>
      <c r="AI68" s="203">
        <f t="shared" si="61"/>
        <v>33000000</v>
      </c>
      <c r="AJ68" s="164" t="s">
        <v>979</v>
      </c>
    </row>
    <row r="69" spans="1:36" x14ac:dyDescent="0.2">
      <c r="A69" s="173">
        <v>66</v>
      </c>
      <c r="B69" s="221" t="s">
        <v>751</v>
      </c>
      <c r="C69" s="165" t="s">
        <v>230</v>
      </c>
      <c r="D69" s="166">
        <v>5000000</v>
      </c>
      <c r="E69" s="166" t="s">
        <v>777</v>
      </c>
      <c r="F69" s="166" t="s">
        <v>778</v>
      </c>
      <c r="G69" s="166" t="s">
        <v>779</v>
      </c>
      <c r="H69" s="166" t="s">
        <v>755</v>
      </c>
      <c r="I69" s="202" t="s">
        <v>79</v>
      </c>
      <c r="J69" s="169">
        <v>45545</v>
      </c>
      <c r="K69" s="184">
        <f t="shared" si="62"/>
        <v>45726</v>
      </c>
      <c r="L69" s="184">
        <f>EDATE(K69,6)</f>
        <v>45910</v>
      </c>
      <c r="M69" s="184">
        <f t="shared" ref="M69:V84" si="63">EDATE(L69,6)</f>
        <v>46091</v>
      </c>
      <c r="N69" s="214">
        <f t="shared" si="63"/>
        <v>46275</v>
      </c>
      <c r="O69" s="184">
        <f t="shared" si="59"/>
        <v>46456</v>
      </c>
      <c r="P69" s="184">
        <f t="shared" si="59"/>
        <v>46640</v>
      </c>
      <c r="Q69" s="184">
        <f t="shared" si="59"/>
        <v>46822</v>
      </c>
      <c r="R69" s="184">
        <f t="shared" si="59"/>
        <v>47006</v>
      </c>
      <c r="S69" s="184">
        <f t="shared" si="59"/>
        <v>47187</v>
      </c>
      <c r="T69" s="184">
        <f t="shared" si="59"/>
        <v>47371</v>
      </c>
      <c r="U69" s="184">
        <f t="shared" si="59"/>
        <v>47552</v>
      </c>
      <c r="V69" s="184">
        <f t="shared" si="59"/>
        <v>47736</v>
      </c>
      <c r="W69" s="184">
        <f t="shared" si="59"/>
        <v>47917</v>
      </c>
      <c r="X69" s="184">
        <f t="shared" si="59"/>
        <v>48101</v>
      </c>
      <c r="Y69" s="184">
        <f t="shared" si="59"/>
        <v>48283</v>
      </c>
      <c r="Z69" s="184">
        <f t="shared" si="59"/>
        <v>48467</v>
      </c>
      <c r="AA69" s="184">
        <f t="shared" si="59"/>
        <v>48648</v>
      </c>
      <c r="AB69" s="184">
        <f t="shared" si="60"/>
        <v>48832</v>
      </c>
      <c r="AC69" s="184">
        <f t="shared" si="60"/>
        <v>49013</v>
      </c>
      <c r="AD69" s="184">
        <f t="shared" si="60"/>
        <v>49197</v>
      </c>
      <c r="AE69" s="184">
        <f t="shared" si="54"/>
        <v>49378</v>
      </c>
      <c r="AF69" s="184">
        <f t="shared" si="51"/>
        <v>49562</v>
      </c>
      <c r="AG69" s="184">
        <f t="shared" si="51"/>
        <v>49744</v>
      </c>
      <c r="AH69" s="188">
        <f ca="1">N69-TODAY()</f>
        <v>163</v>
      </c>
      <c r="AI69" s="203">
        <f t="shared" si="61"/>
        <v>30000000</v>
      </c>
      <c r="AJ69" s="164" t="s">
        <v>979</v>
      </c>
    </row>
    <row r="70" spans="1:36" x14ac:dyDescent="0.2">
      <c r="A70" s="164">
        <v>67</v>
      </c>
      <c r="B70" s="164" t="s">
        <v>748</v>
      </c>
      <c r="C70" s="165" t="s">
        <v>15</v>
      </c>
      <c r="D70" s="166">
        <v>5000000</v>
      </c>
      <c r="E70" s="166" t="s">
        <v>762</v>
      </c>
      <c r="F70" s="166" t="s">
        <v>763</v>
      </c>
      <c r="G70" s="166" t="s">
        <v>709</v>
      </c>
      <c r="H70" s="166" t="s">
        <v>760</v>
      </c>
      <c r="I70" s="199" t="s">
        <v>79</v>
      </c>
      <c r="J70" s="169">
        <v>45583</v>
      </c>
      <c r="K70" s="184">
        <f t="shared" si="62"/>
        <v>45765</v>
      </c>
      <c r="L70" s="184">
        <f t="shared" si="62"/>
        <v>45948</v>
      </c>
      <c r="M70" s="184">
        <f t="shared" si="63"/>
        <v>46130</v>
      </c>
      <c r="N70" s="184">
        <f t="shared" si="63"/>
        <v>46313</v>
      </c>
      <c r="O70" s="184">
        <f t="shared" si="59"/>
        <v>46495</v>
      </c>
      <c r="P70" s="184">
        <f t="shared" si="59"/>
        <v>46678</v>
      </c>
      <c r="Q70" s="184">
        <f t="shared" si="59"/>
        <v>46861</v>
      </c>
      <c r="R70" s="184">
        <f t="shared" si="59"/>
        <v>47044</v>
      </c>
      <c r="S70" s="184">
        <f t="shared" si="59"/>
        <v>47226</v>
      </c>
      <c r="T70" s="184">
        <f t="shared" si="59"/>
        <v>47409</v>
      </c>
      <c r="U70" s="184">
        <f t="shared" si="59"/>
        <v>47591</v>
      </c>
      <c r="V70" s="184">
        <f t="shared" si="59"/>
        <v>47774</v>
      </c>
      <c r="W70" s="184">
        <f t="shared" si="59"/>
        <v>47956</v>
      </c>
      <c r="X70" s="184">
        <f t="shared" si="59"/>
        <v>48139</v>
      </c>
      <c r="Y70" s="184">
        <f t="shared" si="59"/>
        <v>48322</v>
      </c>
      <c r="Z70" s="184">
        <f t="shared" si="59"/>
        <v>48505</v>
      </c>
      <c r="AA70" s="184">
        <f t="shared" si="59"/>
        <v>48687</v>
      </c>
      <c r="AB70" s="184">
        <f t="shared" si="60"/>
        <v>48870</v>
      </c>
      <c r="AC70" s="184">
        <f t="shared" si="60"/>
        <v>49052</v>
      </c>
      <c r="AD70" s="184">
        <f t="shared" si="60"/>
        <v>49235</v>
      </c>
      <c r="AE70" s="184">
        <f t="shared" si="54"/>
        <v>49417</v>
      </c>
      <c r="AF70" s="184">
        <f t="shared" si="51"/>
        <v>49600</v>
      </c>
      <c r="AG70" s="184">
        <f t="shared" si="51"/>
        <v>49783</v>
      </c>
      <c r="AH70" s="188">
        <f t="shared" ref="AH70:AH73" ca="1" si="64">M70-TODAY()</f>
        <v>18</v>
      </c>
      <c r="AI70" s="203">
        <f t="shared" si="61"/>
        <v>30000000</v>
      </c>
      <c r="AJ70" s="164" t="s">
        <v>978</v>
      </c>
    </row>
    <row r="71" spans="1:36" x14ac:dyDescent="0.2">
      <c r="A71" s="173">
        <v>68</v>
      </c>
      <c r="B71" s="164" t="s">
        <v>749</v>
      </c>
      <c r="C71" s="165" t="s">
        <v>117</v>
      </c>
      <c r="D71" s="166">
        <v>4500000</v>
      </c>
      <c r="E71" s="166" t="s">
        <v>758</v>
      </c>
      <c r="F71" s="166" t="s">
        <v>757</v>
      </c>
      <c r="G71" s="166" t="s">
        <v>709</v>
      </c>
      <c r="H71" s="166" t="s">
        <v>759</v>
      </c>
      <c r="I71" s="169" t="s">
        <v>79</v>
      </c>
      <c r="J71" s="169">
        <v>45530</v>
      </c>
      <c r="K71" s="184">
        <f t="shared" si="62"/>
        <v>45714</v>
      </c>
      <c r="L71" s="184">
        <f t="shared" si="62"/>
        <v>45895</v>
      </c>
      <c r="M71" s="184">
        <f t="shared" si="63"/>
        <v>46079</v>
      </c>
      <c r="N71" s="214">
        <f t="shared" si="63"/>
        <v>46260</v>
      </c>
      <c r="O71" s="184">
        <f t="shared" si="59"/>
        <v>46444</v>
      </c>
      <c r="P71" s="184">
        <f t="shared" si="59"/>
        <v>46625</v>
      </c>
      <c r="Q71" s="184">
        <f t="shared" si="59"/>
        <v>46809</v>
      </c>
      <c r="R71" s="184">
        <f t="shared" si="59"/>
        <v>46991</v>
      </c>
      <c r="S71" s="184">
        <f t="shared" si="59"/>
        <v>47175</v>
      </c>
      <c r="T71" s="184">
        <f t="shared" si="59"/>
        <v>47356</v>
      </c>
      <c r="U71" s="184">
        <f t="shared" si="59"/>
        <v>47540</v>
      </c>
      <c r="V71" s="184">
        <f t="shared" si="59"/>
        <v>47721</v>
      </c>
      <c r="W71" s="184">
        <f t="shared" si="59"/>
        <v>47905</v>
      </c>
      <c r="X71" s="184">
        <f t="shared" si="59"/>
        <v>48086</v>
      </c>
      <c r="Y71" s="184">
        <f t="shared" si="59"/>
        <v>48270</v>
      </c>
      <c r="Z71" s="184">
        <f t="shared" si="59"/>
        <v>48452</v>
      </c>
      <c r="AA71" s="184">
        <f t="shared" si="59"/>
        <v>48636</v>
      </c>
      <c r="AB71" s="184">
        <f t="shared" si="60"/>
        <v>48817</v>
      </c>
      <c r="AC71" s="184">
        <f t="shared" si="60"/>
        <v>49001</v>
      </c>
      <c r="AD71" s="184">
        <f t="shared" si="60"/>
        <v>49182</v>
      </c>
      <c r="AE71" s="184">
        <f t="shared" si="54"/>
        <v>49366</v>
      </c>
      <c r="AF71" s="184">
        <f t="shared" si="51"/>
        <v>49547</v>
      </c>
      <c r="AG71" s="184">
        <f t="shared" si="51"/>
        <v>49731</v>
      </c>
      <c r="AH71" s="188">
        <f ca="1">N71-TODAY()</f>
        <v>148</v>
      </c>
      <c r="AI71" s="203">
        <f t="shared" si="61"/>
        <v>27000000</v>
      </c>
      <c r="AJ71" s="164" t="s">
        <v>979</v>
      </c>
    </row>
    <row r="72" spans="1:36" x14ac:dyDescent="0.2">
      <c r="A72" s="164">
        <v>69</v>
      </c>
      <c r="B72" s="164" t="s">
        <v>780</v>
      </c>
      <c r="C72" s="165" t="s">
        <v>32</v>
      </c>
      <c r="D72" s="166">
        <v>6000000</v>
      </c>
      <c r="E72" s="166" t="s">
        <v>783</v>
      </c>
      <c r="F72" s="166" t="s">
        <v>784</v>
      </c>
      <c r="G72" s="166" t="s">
        <v>779</v>
      </c>
      <c r="H72" s="166" t="s">
        <v>785</v>
      </c>
      <c r="I72" s="169" t="s">
        <v>79</v>
      </c>
      <c r="J72" s="169">
        <v>45622</v>
      </c>
      <c r="K72" s="184">
        <f t="shared" si="62"/>
        <v>45803</v>
      </c>
      <c r="L72" s="184">
        <f t="shared" si="62"/>
        <v>45987</v>
      </c>
      <c r="M72" s="214">
        <f t="shared" si="63"/>
        <v>46168</v>
      </c>
      <c r="N72" s="184">
        <f t="shared" si="63"/>
        <v>46352</v>
      </c>
      <c r="O72" s="184">
        <f t="shared" si="59"/>
        <v>46533</v>
      </c>
      <c r="P72" s="184">
        <f t="shared" si="59"/>
        <v>46717</v>
      </c>
      <c r="Q72" s="184">
        <f t="shared" si="59"/>
        <v>46899</v>
      </c>
      <c r="R72" s="184">
        <f t="shared" si="59"/>
        <v>47083</v>
      </c>
      <c r="S72" s="184">
        <f t="shared" si="59"/>
        <v>47264</v>
      </c>
      <c r="T72" s="184">
        <f t="shared" si="59"/>
        <v>47448</v>
      </c>
      <c r="U72" s="184">
        <f t="shared" si="59"/>
        <v>47629</v>
      </c>
      <c r="V72" s="184">
        <f t="shared" si="59"/>
        <v>47813</v>
      </c>
      <c r="W72" s="184">
        <f t="shared" si="59"/>
        <v>47994</v>
      </c>
      <c r="X72" s="184">
        <f t="shared" si="59"/>
        <v>48178</v>
      </c>
      <c r="Y72" s="184">
        <f t="shared" si="59"/>
        <v>48360</v>
      </c>
      <c r="Z72" s="184">
        <f t="shared" si="59"/>
        <v>48544</v>
      </c>
      <c r="AA72" s="184">
        <f t="shared" si="59"/>
        <v>48725</v>
      </c>
      <c r="AB72" s="184">
        <f t="shared" si="60"/>
        <v>48909</v>
      </c>
      <c r="AC72" s="184">
        <f t="shared" si="60"/>
        <v>49090</v>
      </c>
      <c r="AD72" s="184">
        <f t="shared" si="60"/>
        <v>49274</v>
      </c>
      <c r="AE72" s="184">
        <f t="shared" si="54"/>
        <v>49455</v>
      </c>
      <c r="AF72" s="184">
        <f t="shared" si="51"/>
        <v>49639</v>
      </c>
      <c r="AG72" s="184">
        <f t="shared" si="51"/>
        <v>49821</v>
      </c>
      <c r="AH72" s="188">
        <f t="shared" ca="1" si="64"/>
        <v>56</v>
      </c>
      <c r="AI72" s="203">
        <f t="shared" si="61"/>
        <v>36000000</v>
      </c>
      <c r="AJ72" s="164" t="s">
        <v>982</v>
      </c>
    </row>
    <row r="73" spans="1:36" x14ac:dyDescent="0.2">
      <c r="A73" s="164">
        <v>70</v>
      </c>
      <c r="B73" s="221" t="s">
        <v>787</v>
      </c>
      <c r="C73" s="165" t="s">
        <v>157</v>
      </c>
      <c r="D73" s="166">
        <v>4000000</v>
      </c>
      <c r="E73" s="166" t="s">
        <v>789</v>
      </c>
      <c r="F73" s="166" t="s">
        <v>790</v>
      </c>
      <c r="G73" s="166" t="s">
        <v>791</v>
      </c>
      <c r="H73" s="166" t="s">
        <v>792</v>
      </c>
      <c r="I73" s="202" t="s">
        <v>79</v>
      </c>
      <c r="J73" s="169">
        <v>45639</v>
      </c>
      <c r="K73" s="184">
        <f t="shared" si="62"/>
        <v>45821</v>
      </c>
      <c r="L73" s="184">
        <f t="shared" si="62"/>
        <v>46004</v>
      </c>
      <c r="M73" s="214">
        <f t="shared" si="63"/>
        <v>46186</v>
      </c>
      <c r="N73" s="184">
        <f t="shared" si="63"/>
        <v>46369</v>
      </c>
      <c r="O73" s="184">
        <f t="shared" si="59"/>
        <v>46551</v>
      </c>
      <c r="P73" s="184">
        <f t="shared" si="59"/>
        <v>46734</v>
      </c>
      <c r="Q73" s="184">
        <f t="shared" si="59"/>
        <v>46917</v>
      </c>
      <c r="R73" s="184">
        <f t="shared" si="59"/>
        <v>47100</v>
      </c>
      <c r="S73" s="184">
        <f t="shared" si="59"/>
        <v>47282</v>
      </c>
      <c r="T73" s="184">
        <f t="shared" si="59"/>
        <v>47465</v>
      </c>
      <c r="U73" s="184">
        <f t="shared" si="59"/>
        <v>47647</v>
      </c>
      <c r="V73" s="184">
        <f t="shared" si="59"/>
        <v>47830</v>
      </c>
      <c r="W73" s="184">
        <f t="shared" si="59"/>
        <v>48012</v>
      </c>
      <c r="X73" s="184">
        <f t="shared" si="59"/>
        <v>48195</v>
      </c>
      <c r="Y73" s="184">
        <f t="shared" si="59"/>
        <v>48378</v>
      </c>
      <c r="Z73" s="184">
        <f t="shared" si="59"/>
        <v>48561</v>
      </c>
      <c r="AA73" s="184">
        <f t="shared" si="59"/>
        <v>48743</v>
      </c>
      <c r="AB73" s="184">
        <f t="shared" si="60"/>
        <v>48926</v>
      </c>
      <c r="AC73" s="184">
        <f t="shared" si="60"/>
        <v>49108</v>
      </c>
      <c r="AD73" s="184">
        <f t="shared" si="60"/>
        <v>49291</v>
      </c>
      <c r="AE73" s="184">
        <f t="shared" si="54"/>
        <v>49473</v>
      </c>
      <c r="AF73" s="184">
        <f t="shared" si="51"/>
        <v>49656</v>
      </c>
      <c r="AG73" s="184">
        <f t="shared" si="51"/>
        <v>49839</v>
      </c>
      <c r="AH73" s="188">
        <f t="shared" ca="1" si="64"/>
        <v>74</v>
      </c>
      <c r="AI73" s="203">
        <f t="shared" si="61"/>
        <v>24000000</v>
      </c>
      <c r="AJ73" s="164" t="s">
        <v>982</v>
      </c>
    </row>
    <row r="74" spans="1:36" x14ac:dyDescent="0.2">
      <c r="A74" s="164">
        <v>71</v>
      </c>
      <c r="B74" s="165" t="s">
        <v>796</v>
      </c>
      <c r="C74" s="165" t="s">
        <v>581</v>
      </c>
      <c r="D74" s="166">
        <v>7000000</v>
      </c>
      <c r="E74" s="166" t="s">
        <v>798</v>
      </c>
      <c r="F74" s="166" t="s">
        <v>797</v>
      </c>
      <c r="G74" s="166" t="s">
        <v>799</v>
      </c>
      <c r="H74" s="166" t="s">
        <v>794</v>
      </c>
      <c r="I74" s="169" t="s">
        <v>79</v>
      </c>
      <c r="J74" s="169">
        <v>45677</v>
      </c>
      <c r="K74" s="184">
        <f t="shared" si="62"/>
        <v>45858</v>
      </c>
      <c r="L74" s="184">
        <f t="shared" si="62"/>
        <v>46042</v>
      </c>
      <c r="M74" s="214">
        <f t="shared" si="63"/>
        <v>46223</v>
      </c>
      <c r="N74" s="184">
        <f t="shared" si="63"/>
        <v>46407</v>
      </c>
      <c r="O74" s="184">
        <f t="shared" si="59"/>
        <v>46588</v>
      </c>
      <c r="P74" s="184">
        <f t="shared" si="59"/>
        <v>46772</v>
      </c>
      <c r="Q74" s="184">
        <f t="shared" si="59"/>
        <v>46954</v>
      </c>
      <c r="R74" s="184">
        <f t="shared" si="59"/>
        <v>47138</v>
      </c>
      <c r="S74" s="184">
        <f t="shared" si="59"/>
        <v>47319</v>
      </c>
      <c r="T74" s="184">
        <f t="shared" si="59"/>
        <v>47503</v>
      </c>
      <c r="U74" s="184">
        <f t="shared" si="59"/>
        <v>47684</v>
      </c>
      <c r="V74" s="184">
        <f t="shared" si="59"/>
        <v>47868</v>
      </c>
      <c r="W74" s="184">
        <f t="shared" si="59"/>
        <v>48049</v>
      </c>
      <c r="X74" s="184">
        <f t="shared" si="59"/>
        <v>48233</v>
      </c>
      <c r="Y74" s="184">
        <f t="shared" si="59"/>
        <v>48415</v>
      </c>
      <c r="Z74" s="184">
        <f t="shared" si="59"/>
        <v>48599</v>
      </c>
      <c r="AA74" s="184">
        <f t="shared" si="59"/>
        <v>48780</v>
      </c>
      <c r="AB74" s="184">
        <f t="shared" si="60"/>
        <v>48964</v>
      </c>
      <c r="AC74" s="184">
        <f t="shared" si="60"/>
        <v>49145</v>
      </c>
      <c r="AD74" s="184">
        <f t="shared" si="60"/>
        <v>49329</v>
      </c>
      <c r="AE74" s="184">
        <f t="shared" si="54"/>
        <v>49510</v>
      </c>
      <c r="AF74" s="184">
        <f t="shared" si="51"/>
        <v>49694</v>
      </c>
      <c r="AG74" s="184">
        <f t="shared" si="51"/>
        <v>49876</v>
      </c>
      <c r="AH74" s="188">
        <f ca="1">M74-TODAY()</f>
        <v>111</v>
      </c>
      <c r="AI74" s="203">
        <f t="shared" si="61"/>
        <v>42000000</v>
      </c>
      <c r="AJ74" s="164" t="s">
        <v>978</v>
      </c>
    </row>
    <row r="75" spans="1:36" x14ac:dyDescent="0.2">
      <c r="A75" s="164">
        <v>73</v>
      </c>
      <c r="B75" s="165" t="s">
        <v>800</v>
      </c>
      <c r="C75" s="165" t="s">
        <v>32</v>
      </c>
      <c r="D75" s="166">
        <v>4000000</v>
      </c>
      <c r="E75" s="166" t="s">
        <v>807</v>
      </c>
      <c r="F75" s="166" t="s">
        <v>867</v>
      </c>
      <c r="G75" s="166" t="s">
        <v>705</v>
      </c>
      <c r="H75" s="166" t="s">
        <v>806</v>
      </c>
      <c r="I75" s="202" t="s">
        <v>79</v>
      </c>
      <c r="J75" s="169">
        <v>45683</v>
      </c>
      <c r="K75" s="184">
        <f t="shared" si="62"/>
        <v>45864</v>
      </c>
      <c r="L75" s="184">
        <f t="shared" si="62"/>
        <v>46048</v>
      </c>
      <c r="M75" s="214">
        <f t="shared" si="63"/>
        <v>46229</v>
      </c>
      <c r="N75" s="184">
        <f t="shared" si="63"/>
        <v>46413</v>
      </c>
      <c r="O75" s="184">
        <f t="shared" si="59"/>
        <v>46594</v>
      </c>
      <c r="P75" s="184">
        <f t="shared" si="59"/>
        <v>46778</v>
      </c>
      <c r="Q75" s="184">
        <f t="shared" si="59"/>
        <v>46960</v>
      </c>
      <c r="R75" s="184">
        <f t="shared" si="59"/>
        <v>47144</v>
      </c>
      <c r="S75" s="184">
        <f t="shared" si="59"/>
        <v>47325</v>
      </c>
      <c r="T75" s="184">
        <f t="shared" si="59"/>
        <v>47509</v>
      </c>
      <c r="U75" s="184">
        <f t="shared" si="59"/>
        <v>47690</v>
      </c>
      <c r="V75" s="184">
        <f t="shared" si="59"/>
        <v>47874</v>
      </c>
      <c r="W75" s="184">
        <f t="shared" si="59"/>
        <v>48055</v>
      </c>
      <c r="X75" s="184">
        <f t="shared" si="59"/>
        <v>48239</v>
      </c>
      <c r="Y75" s="184">
        <f t="shared" si="59"/>
        <v>48421</v>
      </c>
      <c r="Z75" s="184">
        <f t="shared" si="59"/>
        <v>48605</v>
      </c>
      <c r="AA75" s="184">
        <f t="shared" si="59"/>
        <v>48786</v>
      </c>
      <c r="AB75" s="184">
        <f t="shared" si="60"/>
        <v>48970</v>
      </c>
      <c r="AC75" s="184">
        <f t="shared" si="60"/>
        <v>49151</v>
      </c>
      <c r="AD75" s="184">
        <f t="shared" si="60"/>
        <v>49335</v>
      </c>
      <c r="AE75" s="184">
        <f t="shared" si="54"/>
        <v>49516</v>
      </c>
      <c r="AF75" s="184">
        <f t="shared" si="51"/>
        <v>49700</v>
      </c>
      <c r="AG75" s="184">
        <f t="shared" si="51"/>
        <v>49882</v>
      </c>
      <c r="AH75" s="188">
        <f ca="1">M75-TODAY()</f>
        <v>117</v>
      </c>
      <c r="AI75" s="203">
        <f t="shared" si="61"/>
        <v>24000000</v>
      </c>
      <c r="AJ75" s="164" t="s">
        <v>978</v>
      </c>
    </row>
    <row r="76" spans="1:36" x14ac:dyDescent="0.2">
      <c r="A76" s="164">
        <v>74</v>
      </c>
      <c r="B76" s="165" t="s">
        <v>801</v>
      </c>
      <c r="C76" s="165" t="s">
        <v>157</v>
      </c>
      <c r="D76" s="166">
        <v>4000000</v>
      </c>
      <c r="E76" s="166" t="s">
        <v>803</v>
      </c>
      <c r="F76" s="166" t="s">
        <v>804</v>
      </c>
      <c r="G76" s="166" t="s">
        <v>171</v>
      </c>
      <c r="H76" s="166" t="s">
        <v>805</v>
      </c>
      <c r="I76" s="169" t="s">
        <v>79</v>
      </c>
      <c r="J76" s="169">
        <v>45675</v>
      </c>
      <c r="K76" s="184">
        <f t="shared" si="62"/>
        <v>45856</v>
      </c>
      <c r="L76" s="214">
        <f t="shared" si="62"/>
        <v>46040</v>
      </c>
      <c r="M76" s="184">
        <f t="shared" si="63"/>
        <v>46221</v>
      </c>
      <c r="N76" s="184">
        <f t="shared" si="63"/>
        <v>46405</v>
      </c>
      <c r="O76" s="184">
        <f t="shared" si="59"/>
        <v>46586</v>
      </c>
      <c r="P76" s="184">
        <f t="shared" si="59"/>
        <v>46770</v>
      </c>
      <c r="Q76" s="184">
        <f t="shared" si="59"/>
        <v>46952</v>
      </c>
      <c r="R76" s="184">
        <f t="shared" si="59"/>
        <v>47136</v>
      </c>
      <c r="S76" s="184">
        <f t="shared" si="59"/>
        <v>47317</v>
      </c>
      <c r="T76" s="184">
        <f t="shared" si="59"/>
        <v>47501</v>
      </c>
      <c r="U76" s="184">
        <f t="shared" si="59"/>
        <v>47682</v>
      </c>
      <c r="V76" s="184">
        <f t="shared" si="59"/>
        <v>47866</v>
      </c>
      <c r="W76" s="184">
        <f t="shared" si="59"/>
        <v>48047</v>
      </c>
      <c r="X76" s="184">
        <f t="shared" si="59"/>
        <v>48231</v>
      </c>
      <c r="Y76" s="184">
        <f t="shared" si="59"/>
        <v>48413</v>
      </c>
      <c r="Z76" s="184">
        <f t="shared" si="59"/>
        <v>48597</v>
      </c>
      <c r="AA76" s="184">
        <f t="shared" si="59"/>
        <v>48778</v>
      </c>
      <c r="AB76" s="184">
        <f t="shared" si="60"/>
        <v>48962</v>
      </c>
      <c r="AC76" s="184">
        <f t="shared" si="60"/>
        <v>49143</v>
      </c>
      <c r="AD76" s="184">
        <f t="shared" si="60"/>
        <v>49327</v>
      </c>
      <c r="AE76" s="184">
        <f t="shared" si="54"/>
        <v>49508</v>
      </c>
      <c r="AF76" s="184">
        <f t="shared" si="51"/>
        <v>49692</v>
      </c>
      <c r="AG76" s="184">
        <f t="shared" si="51"/>
        <v>49874</v>
      </c>
      <c r="AH76" s="188">
        <f ca="1">M76-TODAY()</f>
        <v>109</v>
      </c>
      <c r="AI76" s="203">
        <f t="shared" si="61"/>
        <v>24000000</v>
      </c>
      <c r="AJ76" s="164" t="s">
        <v>978</v>
      </c>
    </row>
    <row r="77" spans="1:36" x14ac:dyDescent="0.2">
      <c r="A77" s="164">
        <v>75</v>
      </c>
      <c r="B77" s="164" t="s">
        <v>812</v>
      </c>
      <c r="C77" s="165" t="s">
        <v>117</v>
      </c>
      <c r="D77" s="166">
        <v>5000000</v>
      </c>
      <c r="E77" s="183" t="s">
        <v>814</v>
      </c>
      <c r="F77" s="165" t="s">
        <v>815</v>
      </c>
      <c r="G77" s="165" t="s">
        <v>154</v>
      </c>
      <c r="H77" s="164" t="s">
        <v>816</v>
      </c>
      <c r="I77" s="169" t="s">
        <v>79</v>
      </c>
      <c r="J77" s="169">
        <v>45705</v>
      </c>
      <c r="K77" s="184">
        <f t="shared" si="62"/>
        <v>45886</v>
      </c>
      <c r="L77" s="184">
        <f t="shared" si="62"/>
        <v>46070</v>
      </c>
      <c r="M77" s="214">
        <f t="shared" si="63"/>
        <v>46251</v>
      </c>
      <c r="N77" s="184">
        <f t="shared" si="63"/>
        <v>46435</v>
      </c>
      <c r="O77" s="184">
        <f t="shared" si="59"/>
        <v>46616</v>
      </c>
      <c r="P77" s="184">
        <f t="shared" si="59"/>
        <v>46800</v>
      </c>
      <c r="Q77" s="184">
        <f t="shared" si="59"/>
        <v>46982</v>
      </c>
      <c r="R77" s="184">
        <f t="shared" si="59"/>
        <v>47166</v>
      </c>
      <c r="S77" s="184">
        <f t="shared" si="59"/>
        <v>47347</v>
      </c>
      <c r="T77" s="184">
        <f t="shared" si="59"/>
        <v>47531</v>
      </c>
      <c r="U77" s="184">
        <f t="shared" si="59"/>
        <v>47712</v>
      </c>
      <c r="V77" s="184">
        <f t="shared" si="59"/>
        <v>47896</v>
      </c>
      <c r="W77" s="184">
        <f t="shared" si="59"/>
        <v>48077</v>
      </c>
      <c r="X77" s="184">
        <f t="shared" si="59"/>
        <v>48261</v>
      </c>
      <c r="Y77" s="184">
        <f t="shared" si="59"/>
        <v>48443</v>
      </c>
      <c r="Z77" s="184">
        <f t="shared" si="59"/>
        <v>48627</v>
      </c>
      <c r="AA77" s="184">
        <f t="shared" si="59"/>
        <v>48808</v>
      </c>
      <c r="AB77" s="184">
        <f t="shared" si="60"/>
        <v>48992</v>
      </c>
      <c r="AC77" s="184">
        <f t="shared" si="60"/>
        <v>49173</v>
      </c>
      <c r="AD77" s="184">
        <f t="shared" si="60"/>
        <v>49357</v>
      </c>
      <c r="AE77" s="184">
        <f t="shared" si="54"/>
        <v>49538</v>
      </c>
      <c r="AF77" s="184">
        <f t="shared" si="51"/>
        <v>49722</v>
      </c>
      <c r="AG77" s="184">
        <f t="shared" si="51"/>
        <v>49904</v>
      </c>
      <c r="AH77" s="188">
        <f ca="1">M77-TODAY()</f>
        <v>139</v>
      </c>
      <c r="AI77" s="203">
        <f t="shared" si="61"/>
        <v>30000000</v>
      </c>
      <c r="AJ77" s="164" t="s">
        <v>978</v>
      </c>
    </row>
    <row r="78" spans="1:36" x14ac:dyDescent="0.2">
      <c r="A78" s="164">
        <v>76</v>
      </c>
      <c r="B78" s="164" t="s">
        <v>817</v>
      </c>
      <c r="C78" s="165" t="s">
        <v>117</v>
      </c>
      <c r="D78" s="166">
        <v>3000000</v>
      </c>
      <c r="E78" s="183" t="s">
        <v>818</v>
      </c>
      <c r="F78" s="165" t="s">
        <v>819</v>
      </c>
      <c r="G78" s="165" t="s">
        <v>171</v>
      </c>
      <c r="H78" s="164" t="s">
        <v>983</v>
      </c>
      <c r="I78" s="192" t="s">
        <v>79</v>
      </c>
      <c r="J78" s="169">
        <v>45799</v>
      </c>
      <c r="K78" s="214">
        <f t="shared" si="62"/>
        <v>45983</v>
      </c>
      <c r="L78" s="184">
        <f t="shared" si="62"/>
        <v>46164</v>
      </c>
      <c r="M78" s="184">
        <f t="shared" si="63"/>
        <v>46348</v>
      </c>
      <c r="N78" s="184">
        <f t="shared" si="63"/>
        <v>46529</v>
      </c>
      <c r="O78" s="184">
        <f t="shared" si="59"/>
        <v>46713</v>
      </c>
      <c r="P78" s="184">
        <f t="shared" si="59"/>
        <v>46895</v>
      </c>
      <c r="Q78" s="184">
        <f t="shared" si="59"/>
        <v>47079</v>
      </c>
      <c r="R78" s="184">
        <f t="shared" si="59"/>
        <v>47260</v>
      </c>
      <c r="S78" s="184">
        <f t="shared" si="59"/>
        <v>47444</v>
      </c>
      <c r="T78" s="184">
        <f t="shared" si="59"/>
        <v>47625</v>
      </c>
      <c r="U78" s="184">
        <f t="shared" si="59"/>
        <v>47809</v>
      </c>
      <c r="V78" s="184">
        <f t="shared" si="59"/>
        <v>47990</v>
      </c>
      <c r="W78" s="184">
        <f t="shared" si="59"/>
        <v>48174</v>
      </c>
      <c r="X78" s="184">
        <f t="shared" si="59"/>
        <v>48356</v>
      </c>
      <c r="Y78" s="184">
        <f t="shared" si="59"/>
        <v>48540</v>
      </c>
      <c r="Z78" s="184">
        <f t="shared" si="59"/>
        <v>48721</v>
      </c>
      <c r="AA78" s="184">
        <f t="shared" si="59"/>
        <v>48905</v>
      </c>
      <c r="AB78" s="184">
        <f t="shared" si="60"/>
        <v>49086</v>
      </c>
      <c r="AC78" s="184">
        <f t="shared" si="60"/>
        <v>49270</v>
      </c>
      <c r="AD78" s="184">
        <f t="shared" si="60"/>
        <v>49451</v>
      </c>
      <c r="AE78" s="184">
        <f t="shared" si="54"/>
        <v>49635</v>
      </c>
      <c r="AF78" s="184">
        <f t="shared" si="51"/>
        <v>49817</v>
      </c>
      <c r="AG78" s="184">
        <f t="shared" si="51"/>
        <v>50001</v>
      </c>
      <c r="AH78" s="188">
        <f t="shared" ref="AH78:AH79" ca="1" si="65">L78-TODAY()</f>
        <v>52</v>
      </c>
      <c r="AI78" s="203">
        <f t="shared" si="61"/>
        <v>18000000</v>
      </c>
      <c r="AJ78" s="164" t="s">
        <v>984</v>
      </c>
    </row>
    <row r="79" spans="1:36" x14ac:dyDescent="0.2">
      <c r="A79" s="164">
        <v>77</v>
      </c>
      <c r="B79" s="164" t="s">
        <v>988</v>
      </c>
      <c r="C79" s="165" t="s">
        <v>66</v>
      </c>
      <c r="D79" s="166">
        <v>4000000</v>
      </c>
      <c r="E79" s="183" t="s">
        <v>821</v>
      </c>
      <c r="F79" s="165" t="s">
        <v>820</v>
      </c>
      <c r="G79" s="165" t="s">
        <v>985</v>
      </c>
      <c r="H79" s="164" t="s">
        <v>822</v>
      </c>
      <c r="I79" s="202" t="s">
        <v>79</v>
      </c>
      <c r="J79" s="169">
        <v>45804</v>
      </c>
      <c r="K79" s="184">
        <f t="shared" si="62"/>
        <v>45988</v>
      </c>
      <c r="L79" s="214">
        <f t="shared" si="62"/>
        <v>46169</v>
      </c>
      <c r="M79" s="184">
        <f t="shared" si="63"/>
        <v>46353</v>
      </c>
      <c r="N79" s="184">
        <f t="shared" si="63"/>
        <v>46534</v>
      </c>
      <c r="O79" s="184">
        <f t="shared" si="59"/>
        <v>46718</v>
      </c>
      <c r="P79" s="184">
        <f t="shared" si="59"/>
        <v>46900</v>
      </c>
      <c r="Q79" s="184">
        <f t="shared" si="59"/>
        <v>47084</v>
      </c>
      <c r="R79" s="184">
        <f t="shared" si="59"/>
        <v>47265</v>
      </c>
      <c r="S79" s="184">
        <f t="shared" si="59"/>
        <v>47449</v>
      </c>
      <c r="T79" s="184">
        <f t="shared" si="59"/>
        <v>47630</v>
      </c>
      <c r="U79" s="184">
        <f t="shared" si="59"/>
        <v>47814</v>
      </c>
      <c r="V79" s="184">
        <f t="shared" si="59"/>
        <v>47995</v>
      </c>
      <c r="W79" s="184">
        <f t="shared" ref="W79:AG85" si="66">EDATE(V79,6)</f>
        <v>48179</v>
      </c>
      <c r="X79" s="184">
        <f t="shared" si="66"/>
        <v>48361</v>
      </c>
      <c r="Y79" s="184">
        <f t="shared" si="66"/>
        <v>48545</v>
      </c>
      <c r="Z79" s="184">
        <f t="shared" si="66"/>
        <v>48726</v>
      </c>
      <c r="AA79" s="184">
        <f t="shared" si="66"/>
        <v>48910</v>
      </c>
      <c r="AB79" s="184">
        <f t="shared" si="66"/>
        <v>49091</v>
      </c>
      <c r="AC79" s="184">
        <f t="shared" si="66"/>
        <v>49275</v>
      </c>
      <c r="AD79" s="184">
        <f t="shared" si="66"/>
        <v>49456</v>
      </c>
      <c r="AE79" s="184">
        <f t="shared" si="66"/>
        <v>49640</v>
      </c>
      <c r="AF79" s="184">
        <f t="shared" si="66"/>
        <v>49822</v>
      </c>
      <c r="AG79" s="184">
        <f t="shared" si="66"/>
        <v>50006</v>
      </c>
      <c r="AH79" s="188">
        <f t="shared" ca="1" si="65"/>
        <v>57</v>
      </c>
      <c r="AI79" s="203">
        <f t="shared" si="61"/>
        <v>24000000</v>
      </c>
      <c r="AJ79" s="164" t="s">
        <v>984</v>
      </c>
    </row>
    <row r="80" spans="1:36" x14ac:dyDescent="0.2">
      <c r="A80" s="164">
        <v>78</v>
      </c>
      <c r="B80" s="189" t="s">
        <v>840</v>
      </c>
      <c r="C80" s="165" t="s">
        <v>15</v>
      </c>
      <c r="D80" s="166">
        <v>5000000</v>
      </c>
      <c r="E80" s="165" t="s">
        <v>848</v>
      </c>
      <c r="F80" s="165" t="s">
        <v>847</v>
      </c>
      <c r="G80" s="164" t="s">
        <v>154</v>
      </c>
      <c r="H80" s="164" t="s">
        <v>849</v>
      </c>
      <c r="I80" s="202" t="s">
        <v>79</v>
      </c>
      <c r="J80" s="169">
        <v>45857</v>
      </c>
      <c r="K80" s="184">
        <f t="shared" ref="K80:V85" si="67">EDATE(J80,6)</f>
        <v>46041</v>
      </c>
      <c r="L80" s="214">
        <f t="shared" si="67"/>
        <v>46222</v>
      </c>
      <c r="M80" s="184">
        <f t="shared" si="63"/>
        <v>46406</v>
      </c>
      <c r="N80" s="184">
        <f t="shared" si="63"/>
        <v>46587</v>
      </c>
      <c r="O80" s="184">
        <f t="shared" si="63"/>
        <v>46771</v>
      </c>
      <c r="P80" s="184">
        <f t="shared" si="63"/>
        <v>46953</v>
      </c>
      <c r="Q80" s="184">
        <f t="shared" si="63"/>
        <v>47137</v>
      </c>
      <c r="R80" s="184">
        <f t="shared" si="63"/>
        <v>47318</v>
      </c>
      <c r="S80" s="184">
        <f t="shared" si="63"/>
        <v>47502</v>
      </c>
      <c r="T80" s="184">
        <f t="shared" si="63"/>
        <v>47683</v>
      </c>
      <c r="U80" s="184">
        <f t="shared" si="63"/>
        <v>47867</v>
      </c>
      <c r="V80" s="184">
        <f t="shared" si="63"/>
        <v>48048</v>
      </c>
      <c r="W80" s="184">
        <f t="shared" si="66"/>
        <v>48232</v>
      </c>
      <c r="X80" s="184">
        <f t="shared" si="66"/>
        <v>48414</v>
      </c>
      <c r="Y80" s="184">
        <f t="shared" si="66"/>
        <v>48598</v>
      </c>
      <c r="Z80" s="184">
        <f t="shared" si="66"/>
        <v>48779</v>
      </c>
      <c r="AA80" s="184">
        <f t="shared" si="66"/>
        <v>48963</v>
      </c>
      <c r="AB80" s="184">
        <f t="shared" si="66"/>
        <v>49144</v>
      </c>
      <c r="AC80" s="184">
        <f t="shared" si="66"/>
        <v>49328</v>
      </c>
      <c r="AD80" s="184">
        <f t="shared" si="66"/>
        <v>49509</v>
      </c>
      <c r="AE80" s="184">
        <f t="shared" si="66"/>
        <v>49693</v>
      </c>
      <c r="AF80" s="184">
        <f t="shared" si="66"/>
        <v>49875</v>
      </c>
      <c r="AG80" s="184">
        <f t="shared" si="66"/>
        <v>50059</v>
      </c>
      <c r="AH80" s="188">
        <f ca="1">L80-TODAY()</f>
        <v>110</v>
      </c>
      <c r="AI80" s="203">
        <f t="shared" si="61"/>
        <v>30000000</v>
      </c>
      <c r="AJ80" s="222" t="s">
        <v>984</v>
      </c>
    </row>
    <row r="81" spans="1:36" x14ac:dyDescent="0.2">
      <c r="A81" s="164">
        <v>79</v>
      </c>
      <c r="B81" s="189" t="s">
        <v>842</v>
      </c>
      <c r="C81" s="165" t="s">
        <v>230</v>
      </c>
      <c r="D81" s="166">
        <v>5000000</v>
      </c>
      <c r="E81" s="165" t="s">
        <v>858</v>
      </c>
      <c r="F81" s="165" t="s">
        <v>857</v>
      </c>
      <c r="G81" s="164" t="s">
        <v>859</v>
      </c>
      <c r="H81" s="164" t="s">
        <v>855</v>
      </c>
      <c r="I81" s="202" t="s">
        <v>79</v>
      </c>
      <c r="J81" s="169">
        <v>45870</v>
      </c>
      <c r="K81" s="184">
        <f>EDATE(J81,6)</f>
        <v>46054</v>
      </c>
      <c r="L81" s="214">
        <f>EDATE(K81,6)</f>
        <v>46235</v>
      </c>
      <c r="M81" s="184">
        <f t="shared" si="63"/>
        <v>46419</v>
      </c>
      <c r="N81" s="184">
        <f t="shared" si="63"/>
        <v>46600</v>
      </c>
      <c r="O81" s="184">
        <f t="shared" si="63"/>
        <v>46784</v>
      </c>
      <c r="P81" s="184">
        <f t="shared" si="63"/>
        <v>46966</v>
      </c>
      <c r="Q81" s="184">
        <f t="shared" si="63"/>
        <v>47150</v>
      </c>
      <c r="R81" s="184">
        <f t="shared" si="63"/>
        <v>47331</v>
      </c>
      <c r="S81" s="184">
        <f t="shared" si="63"/>
        <v>47515</v>
      </c>
      <c r="T81" s="184">
        <f t="shared" si="63"/>
        <v>47696</v>
      </c>
      <c r="U81" s="184">
        <f t="shared" si="63"/>
        <v>47880</v>
      </c>
      <c r="V81" s="184">
        <f t="shared" si="63"/>
        <v>48061</v>
      </c>
      <c r="W81" s="184">
        <f t="shared" si="66"/>
        <v>48245</v>
      </c>
      <c r="X81" s="184">
        <f t="shared" si="66"/>
        <v>48427</v>
      </c>
      <c r="Y81" s="184">
        <f t="shared" si="66"/>
        <v>48611</v>
      </c>
      <c r="Z81" s="184">
        <f t="shared" si="66"/>
        <v>48792</v>
      </c>
      <c r="AA81" s="184">
        <f t="shared" si="66"/>
        <v>48976</v>
      </c>
      <c r="AB81" s="184">
        <f t="shared" si="66"/>
        <v>49157</v>
      </c>
      <c r="AC81" s="184">
        <f t="shared" si="66"/>
        <v>49341</v>
      </c>
      <c r="AD81" s="184">
        <f t="shared" si="66"/>
        <v>49522</v>
      </c>
      <c r="AE81" s="184">
        <f t="shared" si="66"/>
        <v>49706</v>
      </c>
      <c r="AF81" s="184">
        <f t="shared" si="66"/>
        <v>49888</v>
      </c>
      <c r="AG81" s="184">
        <f t="shared" si="66"/>
        <v>50072</v>
      </c>
      <c r="AH81" s="188">
        <f ca="1">L81-TODAY()</f>
        <v>123</v>
      </c>
      <c r="AI81" s="203">
        <f t="shared" si="61"/>
        <v>30000000</v>
      </c>
      <c r="AJ81" s="164" t="s">
        <v>984</v>
      </c>
    </row>
    <row r="82" spans="1:36" x14ac:dyDescent="0.2">
      <c r="A82" s="164">
        <v>80</v>
      </c>
      <c r="B82" s="189" t="s">
        <v>844</v>
      </c>
      <c r="C82" s="165" t="s">
        <v>291</v>
      </c>
      <c r="D82" s="166">
        <v>4000000</v>
      </c>
      <c r="E82" s="165" t="s">
        <v>853</v>
      </c>
      <c r="F82" s="165" t="s">
        <v>852</v>
      </c>
      <c r="G82" s="164" t="s">
        <v>854</v>
      </c>
      <c r="H82" s="164" t="s">
        <v>850</v>
      </c>
      <c r="I82" s="202" t="s">
        <v>79</v>
      </c>
      <c r="J82" s="169">
        <v>45846</v>
      </c>
      <c r="K82" s="184">
        <f>EDATE(J82,6)</f>
        <v>46030</v>
      </c>
      <c r="L82" s="214">
        <f t="shared" si="67"/>
        <v>46211</v>
      </c>
      <c r="M82" s="184">
        <f t="shared" si="63"/>
        <v>46395</v>
      </c>
      <c r="N82" s="184">
        <f t="shared" si="63"/>
        <v>46576</v>
      </c>
      <c r="O82" s="184">
        <f t="shared" si="63"/>
        <v>46760</v>
      </c>
      <c r="P82" s="184">
        <f t="shared" si="63"/>
        <v>46942</v>
      </c>
      <c r="Q82" s="184">
        <f t="shared" si="63"/>
        <v>47126</v>
      </c>
      <c r="R82" s="184">
        <f t="shared" si="63"/>
        <v>47307</v>
      </c>
      <c r="S82" s="184">
        <f t="shared" si="63"/>
        <v>47491</v>
      </c>
      <c r="T82" s="184">
        <f t="shared" si="63"/>
        <v>47672</v>
      </c>
      <c r="U82" s="184">
        <f t="shared" si="63"/>
        <v>47856</v>
      </c>
      <c r="V82" s="184">
        <f t="shared" si="63"/>
        <v>48037</v>
      </c>
      <c r="W82" s="184">
        <f t="shared" si="66"/>
        <v>48221</v>
      </c>
      <c r="X82" s="184">
        <f t="shared" si="66"/>
        <v>48403</v>
      </c>
      <c r="Y82" s="184">
        <f t="shared" si="66"/>
        <v>48587</v>
      </c>
      <c r="Z82" s="184">
        <f t="shared" si="66"/>
        <v>48768</v>
      </c>
      <c r="AA82" s="184">
        <f t="shared" si="66"/>
        <v>48952</v>
      </c>
      <c r="AB82" s="184">
        <f t="shared" si="66"/>
        <v>49133</v>
      </c>
      <c r="AC82" s="184">
        <f t="shared" si="66"/>
        <v>49317</v>
      </c>
      <c r="AD82" s="184">
        <f t="shared" si="66"/>
        <v>49498</v>
      </c>
      <c r="AE82" s="184">
        <f t="shared" si="66"/>
        <v>49682</v>
      </c>
      <c r="AF82" s="184">
        <f t="shared" si="66"/>
        <v>49864</v>
      </c>
      <c r="AG82" s="184">
        <f t="shared" si="66"/>
        <v>50048</v>
      </c>
      <c r="AH82" s="188">
        <f ca="1">L82-TODAY()</f>
        <v>99</v>
      </c>
      <c r="AI82" s="203">
        <f t="shared" si="61"/>
        <v>24000000</v>
      </c>
      <c r="AJ82" s="222" t="s">
        <v>984</v>
      </c>
    </row>
    <row r="83" spans="1:36" x14ac:dyDescent="0.2">
      <c r="A83" s="164">
        <v>81</v>
      </c>
      <c r="B83" s="189" t="s">
        <v>843</v>
      </c>
      <c r="C83" s="165" t="s">
        <v>587</v>
      </c>
      <c r="D83" s="166">
        <v>5000000</v>
      </c>
      <c r="E83" s="165" t="s">
        <v>865</v>
      </c>
      <c r="F83" s="165" t="s">
        <v>863</v>
      </c>
      <c r="G83" s="164" t="s">
        <v>864</v>
      </c>
      <c r="H83" s="164" t="s">
        <v>866</v>
      </c>
      <c r="I83" s="202" t="s">
        <v>79</v>
      </c>
      <c r="J83" s="169">
        <v>45847</v>
      </c>
      <c r="K83" s="184">
        <f>EDATE(J83,6)</f>
        <v>46031</v>
      </c>
      <c r="L83" s="214">
        <f t="shared" si="67"/>
        <v>46212</v>
      </c>
      <c r="M83" s="184">
        <f t="shared" si="63"/>
        <v>46396</v>
      </c>
      <c r="N83" s="184">
        <f t="shared" si="63"/>
        <v>46577</v>
      </c>
      <c r="O83" s="184">
        <f t="shared" si="63"/>
        <v>46761</v>
      </c>
      <c r="P83" s="184">
        <f t="shared" si="63"/>
        <v>46943</v>
      </c>
      <c r="Q83" s="184">
        <f t="shared" si="63"/>
        <v>47127</v>
      </c>
      <c r="R83" s="184">
        <f t="shared" si="63"/>
        <v>47308</v>
      </c>
      <c r="S83" s="184">
        <f t="shared" si="63"/>
        <v>47492</v>
      </c>
      <c r="T83" s="184">
        <f t="shared" si="63"/>
        <v>47673</v>
      </c>
      <c r="U83" s="184">
        <f t="shared" si="63"/>
        <v>47857</v>
      </c>
      <c r="V83" s="184">
        <f t="shared" si="63"/>
        <v>48038</v>
      </c>
      <c r="W83" s="184">
        <f t="shared" si="66"/>
        <v>48222</v>
      </c>
      <c r="X83" s="184">
        <f t="shared" si="66"/>
        <v>48404</v>
      </c>
      <c r="Y83" s="184">
        <f t="shared" si="66"/>
        <v>48588</v>
      </c>
      <c r="Z83" s="184">
        <f t="shared" si="66"/>
        <v>48769</v>
      </c>
      <c r="AA83" s="184">
        <f t="shared" si="66"/>
        <v>48953</v>
      </c>
      <c r="AB83" s="184">
        <f t="shared" si="66"/>
        <v>49134</v>
      </c>
      <c r="AC83" s="184">
        <f t="shared" si="66"/>
        <v>49318</v>
      </c>
      <c r="AD83" s="184">
        <f t="shared" si="66"/>
        <v>49499</v>
      </c>
      <c r="AE83" s="184">
        <f t="shared" si="66"/>
        <v>49683</v>
      </c>
      <c r="AF83" s="184">
        <f t="shared" si="66"/>
        <v>49865</v>
      </c>
      <c r="AG83" s="184">
        <f t="shared" si="66"/>
        <v>50049</v>
      </c>
      <c r="AH83" s="188">
        <f ca="1">L83-TODAY()</f>
        <v>100</v>
      </c>
      <c r="AI83" s="203">
        <f t="shared" si="61"/>
        <v>30000000</v>
      </c>
      <c r="AJ83" s="164" t="s">
        <v>984</v>
      </c>
    </row>
    <row r="84" spans="1:36" x14ac:dyDescent="0.2">
      <c r="A84" s="164">
        <v>82</v>
      </c>
      <c r="B84" s="223" t="s">
        <v>891</v>
      </c>
      <c r="C84" s="165" t="s">
        <v>66</v>
      </c>
      <c r="D84" s="166">
        <v>4000000</v>
      </c>
      <c r="E84" s="183" t="s">
        <v>893</v>
      </c>
      <c r="F84" s="165" t="s">
        <v>892</v>
      </c>
      <c r="G84" s="164" t="s">
        <v>699</v>
      </c>
      <c r="H84" s="164" t="s">
        <v>894</v>
      </c>
      <c r="I84" s="202" t="s">
        <v>79</v>
      </c>
      <c r="J84" s="169">
        <v>45905</v>
      </c>
      <c r="K84" s="184">
        <f>EDATE(J84,6)</f>
        <v>46086</v>
      </c>
      <c r="L84" s="214">
        <f t="shared" si="67"/>
        <v>46270</v>
      </c>
      <c r="M84" s="184">
        <f t="shared" si="63"/>
        <v>46451</v>
      </c>
      <c r="N84" s="184">
        <f t="shared" si="63"/>
        <v>46635</v>
      </c>
      <c r="O84" s="184">
        <f t="shared" si="63"/>
        <v>46817</v>
      </c>
      <c r="P84" s="184">
        <f t="shared" si="63"/>
        <v>47001</v>
      </c>
      <c r="Q84" s="184">
        <f t="shared" si="63"/>
        <v>47182</v>
      </c>
      <c r="R84" s="184">
        <f t="shared" si="63"/>
        <v>47366</v>
      </c>
      <c r="S84" s="184">
        <f t="shared" si="63"/>
        <v>47547</v>
      </c>
      <c r="T84" s="184">
        <f t="shared" si="63"/>
        <v>47731</v>
      </c>
      <c r="U84" s="184">
        <f t="shared" si="63"/>
        <v>47912</v>
      </c>
      <c r="V84" s="184">
        <f t="shared" si="63"/>
        <v>48096</v>
      </c>
      <c r="W84" s="184">
        <f t="shared" si="66"/>
        <v>48278</v>
      </c>
      <c r="X84" s="184">
        <f t="shared" si="66"/>
        <v>48462</v>
      </c>
      <c r="Y84" s="184">
        <f t="shared" si="66"/>
        <v>48643</v>
      </c>
      <c r="Z84" s="184">
        <f t="shared" si="66"/>
        <v>48827</v>
      </c>
      <c r="AA84" s="184">
        <f t="shared" si="66"/>
        <v>49008</v>
      </c>
      <c r="AB84" s="184">
        <f t="shared" si="66"/>
        <v>49192</v>
      </c>
      <c r="AC84" s="184">
        <f t="shared" si="66"/>
        <v>49373</v>
      </c>
      <c r="AD84" s="184">
        <f t="shared" si="66"/>
        <v>49557</v>
      </c>
      <c r="AE84" s="184">
        <f t="shared" si="66"/>
        <v>49739</v>
      </c>
      <c r="AF84" s="184">
        <f t="shared" si="66"/>
        <v>49923</v>
      </c>
      <c r="AG84" s="184">
        <f t="shared" si="66"/>
        <v>50104</v>
      </c>
      <c r="AH84" s="188">
        <f ca="1">L84-TODAY()</f>
        <v>158</v>
      </c>
      <c r="AI84" s="203">
        <f t="shared" si="61"/>
        <v>24000000</v>
      </c>
      <c r="AJ84" s="164" t="s">
        <v>984</v>
      </c>
    </row>
    <row r="85" spans="1:36" x14ac:dyDescent="0.2">
      <c r="A85" s="164">
        <v>83</v>
      </c>
      <c r="B85" s="189" t="s">
        <v>898</v>
      </c>
      <c r="C85" s="165" t="s">
        <v>66</v>
      </c>
      <c r="D85" s="166">
        <v>6000000</v>
      </c>
      <c r="E85" s="183" t="s">
        <v>899</v>
      </c>
      <c r="F85" s="165" t="s">
        <v>897</v>
      </c>
      <c r="G85" s="164" t="s">
        <v>102</v>
      </c>
      <c r="H85" s="164" t="s">
        <v>900</v>
      </c>
      <c r="I85" s="202" t="s">
        <v>79</v>
      </c>
      <c r="J85" s="169">
        <v>45931</v>
      </c>
      <c r="K85" s="184">
        <f>EDATE(J85,6)</f>
        <v>46113</v>
      </c>
      <c r="L85" s="184">
        <f t="shared" si="67"/>
        <v>46296</v>
      </c>
      <c r="M85" s="184">
        <f t="shared" si="67"/>
        <v>46478</v>
      </c>
      <c r="N85" s="184">
        <f t="shared" si="67"/>
        <v>46661</v>
      </c>
      <c r="O85" s="184">
        <f t="shared" si="67"/>
        <v>46844</v>
      </c>
      <c r="P85" s="184">
        <f t="shared" si="67"/>
        <v>47027</v>
      </c>
      <c r="Q85" s="184">
        <f t="shared" si="67"/>
        <v>47209</v>
      </c>
      <c r="R85" s="184">
        <f t="shared" si="67"/>
        <v>47392</v>
      </c>
      <c r="S85" s="184">
        <f t="shared" si="67"/>
        <v>47574</v>
      </c>
      <c r="T85" s="184">
        <f t="shared" si="67"/>
        <v>47757</v>
      </c>
      <c r="U85" s="184">
        <f t="shared" si="67"/>
        <v>47939</v>
      </c>
      <c r="V85" s="184">
        <f t="shared" si="67"/>
        <v>48122</v>
      </c>
      <c r="W85" s="184">
        <f t="shared" si="66"/>
        <v>48305</v>
      </c>
      <c r="X85" s="184">
        <f t="shared" si="66"/>
        <v>48488</v>
      </c>
      <c r="Y85" s="184">
        <f t="shared" si="66"/>
        <v>48670</v>
      </c>
      <c r="Z85" s="184">
        <f t="shared" si="66"/>
        <v>48853</v>
      </c>
      <c r="AA85" s="184">
        <f t="shared" si="66"/>
        <v>49035</v>
      </c>
      <c r="AB85" s="184">
        <f t="shared" si="66"/>
        <v>49218</v>
      </c>
      <c r="AC85" s="184">
        <f t="shared" si="66"/>
        <v>49400</v>
      </c>
      <c r="AD85" s="184">
        <f t="shared" si="66"/>
        <v>49583</v>
      </c>
      <c r="AE85" s="184">
        <f t="shared" si="66"/>
        <v>49766</v>
      </c>
      <c r="AF85" s="184">
        <f t="shared" si="66"/>
        <v>49949</v>
      </c>
      <c r="AG85" s="184">
        <f t="shared" si="66"/>
        <v>50131</v>
      </c>
      <c r="AH85" s="188">
        <f ca="1">K85-TODAY()</f>
        <v>1</v>
      </c>
      <c r="AI85" s="203">
        <f t="shared" si="61"/>
        <v>36000000</v>
      </c>
      <c r="AJ85" s="164" t="s">
        <v>986</v>
      </c>
    </row>
  </sheetData>
  <conditionalFormatting sqref="AI1">
    <cfRule type="cellIs" dxfId="99" priority="99" operator="lessThan">
      <formula>7</formula>
    </cfRule>
  </conditionalFormatting>
  <conditionalFormatting sqref="AH3:AH27 AH29:AH37 AH74:AH76">
    <cfRule type="cellIs" dxfId="98" priority="98" operator="lessThan">
      <formula>15</formula>
    </cfRule>
  </conditionalFormatting>
  <conditionalFormatting sqref="AH14:AH16">
    <cfRule type="cellIs" dxfId="97" priority="97" operator="lessThan">
      <formula>15</formula>
    </cfRule>
  </conditionalFormatting>
  <conditionalFormatting sqref="AH7">
    <cfRule type="cellIs" dxfId="96" priority="96" operator="lessThan">
      <formula>15</formula>
    </cfRule>
  </conditionalFormatting>
  <conditionalFormatting sqref="AH10">
    <cfRule type="cellIs" dxfId="95" priority="95" operator="lessThan">
      <formula>15</formula>
    </cfRule>
  </conditionalFormatting>
  <conditionalFormatting sqref="AH11">
    <cfRule type="cellIs" dxfId="94" priority="94" operator="lessThan">
      <formula>15</formula>
    </cfRule>
  </conditionalFormatting>
  <conditionalFormatting sqref="AH13">
    <cfRule type="cellIs" dxfId="93" priority="93" operator="lessThan">
      <formula>15</formula>
    </cfRule>
  </conditionalFormatting>
  <conditionalFormatting sqref="AH18:AH21">
    <cfRule type="cellIs" dxfId="92" priority="92" operator="lessThan">
      <formula>15</formula>
    </cfRule>
  </conditionalFormatting>
  <conditionalFormatting sqref="AH17">
    <cfRule type="cellIs" dxfId="91" priority="91" operator="lessThan">
      <formula>15</formula>
    </cfRule>
  </conditionalFormatting>
  <conditionalFormatting sqref="AH4:AH27 AH29:AH37 AH74:AH76">
    <cfRule type="cellIs" dxfId="90" priority="89" operator="lessThan">
      <formula>16</formula>
    </cfRule>
    <cfRule type="cellIs" dxfId="89" priority="90" operator="lessThan">
      <formula>15</formula>
    </cfRule>
  </conditionalFormatting>
  <conditionalFormatting sqref="E1:H1">
    <cfRule type="duplicateValues" dxfId="88" priority="100"/>
  </conditionalFormatting>
  <conditionalFormatting sqref="AH18">
    <cfRule type="cellIs" dxfId="87" priority="88" operator="lessThan">
      <formula>15</formula>
    </cfRule>
  </conditionalFormatting>
  <conditionalFormatting sqref="AH21">
    <cfRule type="cellIs" dxfId="86" priority="87" operator="lessThan">
      <formula>15</formula>
    </cfRule>
  </conditionalFormatting>
  <conditionalFormatting sqref="AH27">
    <cfRule type="cellIs" dxfId="85" priority="86" operator="lessThan">
      <formula>15</formula>
    </cfRule>
  </conditionalFormatting>
  <conditionalFormatting sqref="AH27">
    <cfRule type="cellIs" dxfId="84" priority="85" operator="lessThan">
      <formula>15</formula>
    </cfRule>
  </conditionalFormatting>
  <conditionalFormatting sqref="AH23">
    <cfRule type="cellIs" dxfId="83" priority="84" operator="lessThan">
      <formula>15</formula>
    </cfRule>
  </conditionalFormatting>
  <conditionalFormatting sqref="AH23">
    <cfRule type="cellIs" dxfId="82" priority="83" operator="lessThan">
      <formula>15</formula>
    </cfRule>
  </conditionalFormatting>
  <conditionalFormatting sqref="AH25">
    <cfRule type="cellIs" dxfId="81" priority="82" operator="lessThan">
      <formula>15</formula>
    </cfRule>
  </conditionalFormatting>
  <conditionalFormatting sqref="AH19">
    <cfRule type="cellIs" dxfId="80" priority="81" operator="lessThan">
      <formula>15</formula>
    </cfRule>
  </conditionalFormatting>
  <conditionalFormatting sqref="AH22">
    <cfRule type="cellIs" dxfId="79" priority="80" operator="lessThan">
      <formula>15</formula>
    </cfRule>
  </conditionalFormatting>
  <conditionalFormatting sqref="AH22">
    <cfRule type="cellIs" dxfId="78" priority="79" operator="lessThan">
      <formula>15</formula>
    </cfRule>
  </conditionalFormatting>
  <conditionalFormatting sqref="AH19:AH20">
    <cfRule type="cellIs" dxfId="77" priority="78" operator="lessThan">
      <formula>15</formula>
    </cfRule>
  </conditionalFormatting>
  <conditionalFormatting sqref="AH22">
    <cfRule type="cellIs" dxfId="76" priority="77" operator="lessThan">
      <formula>15</formula>
    </cfRule>
  </conditionalFormatting>
  <conditionalFormatting sqref="AH23">
    <cfRule type="cellIs" dxfId="75" priority="76" operator="lessThan">
      <formula>15</formula>
    </cfRule>
  </conditionalFormatting>
  <conditionalFormatting sqref="AH25">
    <cfRule type="cellIs" dxfId="74" priority="75" operator="lessThan">
      <formula>15</formula>
    </cfRule>
  </conditionalFormatting>
  <conditionalFormatting sqref="AH20">
    <cfRule type="cellIs" dxfId="73" priority="74" operator="lessThan">
      <formula>15</formula>
    </cfRule>
  </conditionalFormatting>
  <conditionalFormatting sqref="AH20">
    <cfRule type="cellIs" dxfId="72" priority="73" operator="lessThan">
      <formula>15</formula>
    </cfRule>
  </conditionalFormatting>
  <conditionalFormatting sqref="AH38">
    <cfRule type="cellIs" dxfId="71" priority="72" operator="lessThan">
      <formula>15</formula>
    </cfRule>
  </conditionalFormatting>
  <conditionalFormatting sqref="AH38">
    <cfRule type="cellIs" dxfId="70" priority="71" operator="lessThan">
      <formula>15</formula>
    </cfRule>
  </conditionalFormatting>
  <conditionalFormatting sqref="AH38">
    <cfRule type="cellIs" dxfId="69" priority="69" operator="lessThan">
      <formula>16</formula>
    </cfRule>
    <cfRule type="cellIs" dxfId="68" priority="70" operator="lessThan">
      <formula>15</formula>
    </cfRule>
  </conditionalFormatting>
  <conditionalFormatting sqref="AH28">
    <cfRule type="cellIs" dxfId="67" priority="68" operator="lessThan">
      <formula>15</formula>
    </cfRule>
  </conditionalFormatting>
  <conditionalFormatting sqref="AH28">
    <cfRule type="cellIs" dxfId="66" priority="67" operator="lessThan">
      <formula>15</formula>
    </cfRule>
  </conditionalFormatting>
  <conditionalFormatting sqref="AH28">
    <cfRule type="cellIs" dxfId="65" priority="65" operator="lessThan">
      <formula>16</formula>
    </cfRule>
    <cfRule type="cellIs" dxfId="64" priority="66" operator="lessThan">
      <formula>15</formula>
    </cfRule>
  </conditionalFormatting>
  <conditionalFormatting sqref="AH28">
    <cfRule type="cellIs" dxfId="63" priority="64" operator="lessThan">
      <formula>15</formula>
    </cfRule>
  </conditionalFormatting>
  <conditionalFormatting sqref="AH39:AH40">
    <cfRule type="cellIs" dxfId="62" priority="63" operator="lessThan">
      <formula>15</formula>
    </cfRule>
  </conditionalFormatting>
  <conditionalFormatting sqref="AH39:AH40">
    <cfRule type="cellIs" dxfId="61" priority="62" operator="lessThan">
      <formula>15</formula>
    </cfRule>
  </conditionalFormatting>
  <conditionalFormatting sqref="AH39:AH40">
    <cfRule type="cellIs" dxfId="60" priority="60" operator="lessThan">
      <formula>16</formula>
    </cfRule>
    <cfRule type="cellIs" dxfId="59" priority="61" operator="lessThan">
      <formula>15</formula>
    </cfRule>
  </conditionalFormatting>
  <conditionalFormatting sqref="AH41">
    <cfRule type="cellIs" dxfId="58" priority="59" operator="lessThan">
      <formula>15</formula>
    </cfRule>
  </conditionalFormatting>
  <conditionalFormatting sqref="AH41">
    <cfRule type="cellIs" dxfId="57" priority="58" operator="lessThan">
      <formula>15</formula>
    </cfRule>
  </conditionalFormatting>
  <conditionalFormatting sqref="AH41">
    <cfRule type="cellIs" dxfId="56" priority="56" operator="lessThan">
      <formula>16</formula>
    </cfRule>
    <cfRule type="cellIs" dxfId="55" priority="57" operator="lessThan">
      <formula>15</formula>
    </cfRule>
  </conditionalFormatting>
  <conditionalFormatting sqref="AH42:AH44 AH46:AH49">
    <cfRule type="cellIs" dxfId="54" priority="55" operator="lessThan">
      <formula>15</formula>
    </cfRule>
  </conditionalFormatting>
  <conditionalFormatting sqref="AH42:AH44 AH46:AH49">
    <cfRule type="cellIs" dxfId="53" priority="54" operator="lessThan">
      <formula>15</formula>
    </cfRule>
  </conditionalFormatting>
  <conditionalFormatting sqref="AH42:AH44 AH46:AH49">
    <cfRule type="cellIs" dxfId="52" priority="52" operator="lessThan">
      <formula>16</formula>
    </cfRule>
    <cfRule type="cellIs" dxfId="51" priority="53" operator="lessThan">
      <formula>15</formula>
    </cfRule>
  </conditionalFormatting>
  <conditionalFormatting sqref="AH45">
    <cfRule type="cellIs" dxfId="50" priority="51" operator="lessThan">
      <formula>15</formula>
    </cfRule>
  </conditionalFormatting>
  <conditionalFormatting sqref="AH45">
    <cfRule type="cellIs" dxfId="49" priority="49" operator="lessThan">
      <formula>16</formula>
    </cfRule>
    <cfRule type="cellIs" dxfId="48" priority="50" operator="lessThan">
      <formula>15</formula>
    </cfRule>
  </conditionalFormatting>
  <conditionalFormatting sqref="AH50">
    <cfRule type="cellIs" dxfId="47" priority="48" operator="lessThan">
      <formula>15</formula>
    </cfRule>
  </conditionalFormatting>
  <conditionalFormatting sqref="AH50">
    <cfRule type="cellIs" dxfId="46" priority="47" operator="lessThan">
      <formula>15</formula>
    </cfRule>
  </conditionalFormatting>
  <conditionalFormatting sqref="AH50">
    <cfRule type="cellIs" dxfId="45" priority="45" operator="lessThan">
      <formula>16</formula>
    </cfRule>
    <cfRule type="cellIs" dxfId="44" priority="46" operator="lessThan">
      <formula>15</formula>
    </cfRule>
  </conditionalFormatting>
  <conditionalFormatting sqref="AH51:AH61">
    <cfRule type="cellIs" dxfId="43" priority="44" operator="lessThan">
      <formula>15</formula>
    </cfRule>
  </conditionalFormatting>
  <conditionalFormatting sqref="AH51:AH61">
    <cfRule type="cellIs" dxfId="42" priority="43" operator="lessThan">
      <formula>15</formula>
    </cfRule>
  </conditionalFormatting>
  <conditionalFormatting sqref="AH51:AH61">
    <cfRule type="cellIs" dxfId="41" priority="41" operator="lessThan">
      <formula>16</formula>
    </cfRule>
    <cfRule type="cellIs" dxfId="40" priority="42" operator="lessThan">
      <formula>15</formula>
    </cfRule>
  </conditionalFormatting>
  <conditionalFormatting sqref="AH62:AH63">
    <cfRule type="cellIs" dxfId="39" priority="40" operator="lessThan">
      <formula>15</formula>
    </cfRule>
  </conditionalFormatting>
  <conditionalFormatting sqref="AH62:AH63">
    <cfRule type="cellIs" dxfId="38" priority="39" operator="lessThan">
      <formula>15</formula>
    </cfRule>
  </conditionalFormatting>
  <conditionalFormatting sqref="AH62:AH63">
    <cfRule type="cellIs" dxfId="37" priority="37" operator="lessThan">
      <formula>16</formula>
    </cfRule>
    <cfRule type="cellIs" dxfId="36" priority="38" operator="lessThan">
      <formula>15</formula>
    </cfRule>
  </conditionalFormatting>
  <conditionalFormatting sqref="AH64:AH65">
    <cfRule type="cellIs" dxfId="35" priority="36" operator="lessThan">
      <formula>15</formula>
    </cfRule>
  </conditionalFormatting>
  <conditionalFormatting sqref="AH64:AH65">
    <cfRule type="cellIs" dxfId="34" priority="35" operator="lessThan">
      <formula>15</formula>
    </cfRule>
  </conditionalFormatting>
  <conditionalFormatting sqref="AH64:AH65">
    <cfRule type="cellIs" dxfId="33" priority="33" operator="lessThan">
      <formula>16</formula>
    </cfRule>
    <cfRule type="cellIs" dxfId="32" priority="34" operator="lessThan">
      <formula>15</formula>
    </cfRule>
  </conditionalFormatting>
  <conditionalFormatting sqref="AH66">
    <cfRule type="cellIs" dxfId="31" priority="32" operator="lessThan">
      <formula>15</formula>
    </cfRule>
  </conditionalFormatting>
  <conditionalFormatting sqref="AH66">
    <cfRule type="cellIs" dxfId="30" priority="31" operator="lessThan">
      <formula>15</formula>
    </cfRule>
  </conditionalFormatting>
  <conditionalFormatting sqref="AH66">
    <cfRule type="cellIs" dxfId="29" priority="29" operator="lessThan">
      <formula>16</formula>
    </cfRule>
    <cfRule type="cellIs" dxfId="28" priority="30" operator="lessThan">
      <formula>15</formula>
    </cfRule>
  </conditionalFormatting>
  <conditionalFormatting sqref="AH67:AH69">
    <cfRule type="cellIs" dxfId="27" priority="28" operator="lessThan">
      <formula>15</formula>
    </cfRule>
  </conditionalFormatting>
  <conditionalFormatting sqref="AH67:AH69">
    <cfRule type="cellIs" dxfId="26" priority="27" operator="lessThan">
      <formula>15</formula>
    </cfRule>
  </conditionalFormatting>
  <conditionalFormatting sqref="AH67:AH69">
    <cfRule type="cellIs" dxfId="25" priority="25" operator="lessThan">
      <formula>16</formula>
    </cfRule>
    <cfRule type="cellIs" dxfId="24" priority="26" operator="lessThan">
      <formula>15</formula>
    </cfRule>
  </conditionalFormatting>
  <conditionalFormatting sqref="AH70:AH71">
    <cfRule type="cellIs" dxfId="23" priority="24" operator="lessThan">
      <formula>15</formula>
    </cfRule>
  </conditionalFormatting>
  <conditionalFormatting sqref="AH70:AH71">
    <cfRule type="cellIs" dxfId="22" priority="23" operator="lessThan">
      <formula>15</formula>
    </cfRule>
  </conditionalFormatting>
  <conditionalFormatting sqref="AH70:AH71">
    <cfRule type="cellIs" dxfId="21" priority="21" operator="lessThan">
      <formula>16</formula>
    </cfRule>
    <cfRule type="cellIs" dxfId="20" priority="22" operator="lessThan">
      <formula>15</formula>
    </cfRule>
  </conditionalFormatting>
  <conditionalFormatting sqref="AH73">
    <cfRule type="cellIs" dxfId="19" priority="20" operator="lessThan">
      <formula>15</formula>
    </cfRule>
  </conditionalFormatting>
  <conditionalFormatting sqref="AH73">
    <cfRule type="cellIs" dxfId="18" priority="19" operator="lessThan">
      <formula>15</formula>
    </cfRule>
  </conditionalFormatting>
  <conditionalFormatting sqref="AH73">
    <cfRule type="cellIs" dxfId="17" priority="17" operator="lessThan">
      <formula>16</formula>
    </cfRule>
    <cfRule type="cellIs" dxfId="16" priority="18" operator="lessThan">
      <formula>15</formula>
    </cfRule>
  </conditionalFormatting>
  <conditionalFormatting sqref="AH72">
    <cfRule type="cellIs" dxfId="15" priority="16" operator="lessThan">
      <formula>15</formula>
    </cfRule>
  </conditionalFormatting>
  <conditionalFormatting sqref="AH72">
    <cfRule type="cellIs" dxfId="14" priority="15" operator="lessThan">
      <formula>15</formula>
    </cfRule>
  </conditionalFormatting>
  <conditionalFormatting sqref="AH72">
    <cfRule type="cellIs" dxfId="13" priority="13" operator="lessThan">
      <formula>16</formula>
    </cfRule>
    <cfRule type="cellIs" dxfId="12" priority="14" operator="lessThan">
      <formula>15</formula>
    </cfRule>
  </conditionalFormatting>
  <conditionalFormatting sqref="AJ1">
    <cfRule type="cellIs" dxfId="11" priority="12" operator="lessThan">
      <formula>7</formula>
    </cfRule>
  </conditionalFormatting>
  <conditionalFormatting sqref="AH77">
    <cfRule type="cellIs" dxfId="10" priority="11" operator="lessThan">
      <formula>15</formula>
    </cfRule>
  </conditionalFormatting>
  <conditionalFormatting sqref="AH77">
    <cfRule type="cellIs" dxfId="9" priority="10" operator="lessThan">
      <formula>15</formula>
    </cfRule>
  </conditionalFormatting>
  <conditionalFormatting sqref="AH77">
    <cfRule type="cellIs" dxfId="8" priority="8" operator="lessThan">
      <formula>16</formula>
    </cfRule>
    <cfRule type="cellIs" dxfId="7" priority="9" operator="lessThan">
      <formula>15</formula>
    </cfRule>
  </conditionalFormatting>
  <conditionalFormatting sqref="AH78:AH85">
    <cfRule type="cellIs" dxfId="6" priority="7" operator="lessThan">
      <formula>15</formula>
    </cfRule>
  </conditionalFormatting>
  <conditionalFormatting sqref="AH78:AH85">
    <cfRule type="cellIs" dxfId="5" priority="6" operator="lessThan">
      <formula>15</formula>
    </cfRule>
  </conditionalFormatting>
  <conditionalFormatting sqref="AH78:AH85">
    <cfRule type="cellIs" dxfId="4" priority="4" operator="lessThan">
      <formula>16</formula>
    </cfRule>
    <cfRule type="cellIs" dxfId="3" priority="5" operator="lessThan">
      <formula>15</formula>
    </cfRule>
  </conditionalFormatting>
  <conditionalFormatting sqref="H80:H85 A80:A85">
    <cfRule type="duplicateValues" dxfId="2" priority="3"/>
  </conditionalFormatting>
  <conditionalFormatting sqref="A80:A85">
    <cfRule type="duplicateValues" dxfId="1" priority="2"/>
  </conditionalFormatting>
  <conditionalFormatting sqref="A80:A85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91"/>
  <sheetViews>
    <sheetView topLeftCell="A25" zoomScale="85" zoomScaleNormal="85" workbookViewId="0">
      <selection activeCell="B42" sqref="B42"/>
    </sheetView>
  </sheetViews>
  <sheetFormatPr defaultRowHeight="14.4" x14ac:dyDescent="0.3"/>
  <cols>
    <col min="1" max="1" width="9" bestFit="1" customWidth="1"/>
    <col min="2" max="2" width="26" bestFit="1" customWidth="1"/>
    <col min="3" max="3" width="11.6640625" bestFit="1" customWidth="1"/>
    <col min="4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30" t="s">
        <v>24</v>
      </c>
      <c r="B1" s="230" t="s">
        <v>366</v>
      </c>
      <c r="C1" s="157" t="s">
        <v>1062</v>
      </c>
      <c r="D1" s="157" t="s">
        <v>995</v>
      </c>
      <c r="E1" s="157" t="s">
        <v>996</v>
      </c>
      <c r="F1" s="157" t="s">
        <v>1063</v>
      </c>
      <c r="G1" s="230" t="s">
        <v>997</v>
      </c>
      <c r="H1" s="230" t="s">
        <v>998</v>
      </c>
      <c r="I1" s="230" t="s">
        <v>999</v>
      </c>
      <c r="J1" s="230" t="s">
        <v>1000</v>
      </c>
      <c r="K1" s="230" t="s">
        <v>1001</v>
      </c>
      <c r="L1" s="230" t="s">
        <v>1002</v>
      </c>
      <c r="M1" s="230" t="s">
        <v>1003</v>
      </c>
      <c r="N1" s="230" t="s">
        <v>1004</v>
      </c>
      <c r="O1" s="230" t="s">
        <v>1004</v>
      </c>
      <c r="P1" s="230" t="s">
        <v>1005</v>
      </c>
      <c r="Q1" s="230" t="s">
        <v>1005</v>
      </c>
      <c r="R1" s="230" t="s">
        <v>1054</v>
      </c>
      <c r="S1" s="230" t="s">
        <v>1055</v>
      </c>
      <c r="T1" s="230" t="s">
        <v>1056</v>
      </c>
      <c r="U1" s="230" t="s">
        <v>1057</v>
      </c>
      <c r="V1" s="230" t="s">
        <v>1058</v>
      </c>
      <c r="W1" s="230" t="s">
        <v>1059</v>
      </c>
      <c r="X1" s="230" t="s">
        <v>1060</v>
      </c>
      <c r="Y1" s="230" t="s">
        <v>1061</v>
      </c>
      <c r="Z1" s="231" t="s">
        <v>1006</v>
      </c>
    </row>
    <row r="2" spans="1:26" x14ac:dyDescent="0.3">
      <c r="A2" s="164">
        <f t="shared" ref="A2:Q2" si="0">SUBTOTAL(3,A4:A199)</f>
        <v>88</v>
      </c>
      <c r="B2" s="164">
        <f t="shared" si="0"/>
        <v>88</v>
      </c>
      <c r="C2" s="164">
        <f t="shared" si="0"/>
        <v>88</v>
      </c>
      <c r="D2" s="164">
        <f t="shared" si="0"/>
        <v>14</v>
      </c>
      <c r="E2" s="164">
        <f t="shared" si="0"/>
        <v>80</v>
      </c>
      <c r="F2" s="164">
        <f t="shared" si="0"/>
        <v>88</v>
      </c>
      <c r="G2" s="164">
        <f t="shared" si="0"/>
        <v>88</v>
      </c>
      <c r="H2" s="164">
        <f t="shared" si="0"/>
        <v>88</v>
      </c>
      <c r="I2" s="164">
        <f t="shared" si="0"/>
        <v>88</v>
      </c>
      <c r="J2" s="164">
        <f t="shared" si="0"/>
        <v>88</v>
      </c>
      <c r="K2" s="164">
        <f t="shared" si="0"/>
        <v>88</v>
      </c>
      <c r="L2" s="164">
        <f t="shared" si="0"/>
        <v>88</v>
      </c>
      <c r="M2" s="164">
        <f t="shared" si="0"/>
        <v>88</v>
      </c>
      <c r="N2" s="164">
        <f t="shared" si="0"/>
        <v>88</v>
      </c>
      <c r="O2" s="164">
        <f t="shared" si="0"/>
        <v>88</v>
      </c>
      <c r="P2" s="164">
        <f t="shared" si="0"/>
        <v>88</v>
      </c>
      <c r="Q2" s="164">
        <f t="shared" si="0"/>
        <v>88</v>
      </c>
      <c r="R2" s="164">
        <f t="shared" ref="R2:Y2" si="1">SUBTOTAL(3,R4:R199)</f>
        <v>88</v>
      </c>
      <c r="S2" s="164">
        <f t="shared" si="1"/>
        <v>88</v>
      </c>
      <c r="T2" s="164">
        <f t="shared" si="1"/>
        <v>88</v>
      </c>
      <c r="U2" s="164">
        <f t="shared" si="1"/>
        <v>88</v>
      </c>
      <c r="V2" s="164">
        <f t="shared" si="1"/>
        <v>88</v>
      </c>
      <c r="W2" s="164">
        <f t="shared" si="1"/>
        <v>88</v>
      </c>
      <c r="X2" s="164">
        <f t="shared" si="1"/>
        <v>88</v>
      </c>
      <c r="Y2" s="164">
        <f t="shared" si="1"/>
        <v>88</v>
      </c>
      <c r="Z2" s="232">
        <f>SUBTOTAL(9,Z4:Z199)</f>
        <v>4843080000</v>
      </c>
    </row>
    <row r="3" spans="1:26" x14ac:dyDescent="0.3">
      <c r="A3" s="164" t="s">
        <v>0</v>
      </c>
      <c r="B3" s="164" t="s">
        <v>0</v>
      </c>
      <c r="C3" s="164" t="s">
        <v>0</v>
      </c>
      <c r="D3" s="164" t="s">
        <v>0</v>
      </c>
      <c r="E3" s="164" t="s">
        <v>0</v>
      </c>
      <c r="F3" s="164" t="s">
        <v>0</v>
      </c>
      <c r="G3" s="164" t="s">
        <v>0</v>
      </c>
      <c r="H3" s="164" t="s">
        <v>0</v>
      </c>
      <c r="I3" s="164" t="s">
        <v>0</v>
      </c>
      <c r="J3" s="164" t="s">
        <v>0</v>
      </c>
      <c r="K3" s="164" t="s">
        <v>0</v>
      </c>
      <c r="L3" s="164" t="s">
        <v>0</v>
      </c>
      <c r="M3" s="164" t="s">
        <v>0</v>
      </c>
      <c r="N3" s="164" t="s">
        <v>0</v>
      </c>
      <c r="O3" s="164" t="s">
        <v>0</v>
      </c>
      <c r="P3" s="164" t="s">
        <v>0</v>
      </c>
      <c r="Q3" s="164" t="s">
        <v>0</v>
      </c>
      <c r="R3" s="164" t="s">
        <v>0</v>
      </c>
      <c r="S3" s="164" t="s">
        <v>0</v>
      </c>
      <c r="T3" s="164" t="s">
        <v>0</v>
      </c>
      <c r="U3" s="164" t="s">
        <v>0</v>
      </c>
      <c r="V3" s="164" t="s">
        <v>0</v>
      </c>
      <c r="W3" s="164" t="s">
        <v>0</v>
      </c>
      <c r="X3" s="164" t="s">
        <v>0</v>
      </c>
      <c r="Y3" s="164" t="s">
        <v>0</v>
      </c>
      <c r="Z3" s="164" t="s">
        <v>0</v>
      </c>
    </row>
    <row r="4" spans="1:26" x14ac:dyDescent="0.3">
      <c r="A4" s="164">
        <v>1</v>
      </c>
      <c r="B4" s="165" t="s">
        <v>14</v>
      </c>
      <c r="C4" s="189">
        <v>6640000</v>
      </c>
      <c r="D4" s="189"/>
      <c r="E4" s="164" t="s">
        <v>1007</v>
      </c>
      <c r="F4" s="233">
        <v>44594</v>
      </c>
      <c r="G4" s="233">
        <f>EDATE(F4,3)</f>
        <v>44683</v>
      </c>
      <c r="H4" s="233">
        <f>EDATE(G4,9)</f>
        <v>44959</v>
      </c>
      <c r="I4" s="233">
        <f t="shared" ref="I4:Q24" si="2">EDATE(H4,6)</f>
        <v>45140</v>
      </c>
      <c r="J4" s="233">
        <f t="shared" si="2"/>
        <v>45324</v>
      </c>
      <c r="K4" s="233">
        <f t="shared" si="2"/>
        <v>45506</v>
      </c>
      <c r="L4" s="233">
        <f t="shared" si="2"/>
        <v>45690</v>
      </c>
      <c r="M4" s="233">
        <f t="shared" si="2"/>
        <v>45871</v>
      </c>
      <c r="N4" s="233">
        <f t="shared" si="2"/>
        <v>46055</v>
      </c>
      <c r="O4" s="233">
        <f t="shared" si="2"/>
        <v>46236</v>
      </c>
      <c r="P4" s="233">
        <f t="shared" si="2"/>
        <v>46420</v>
      </c>
      <c r="Q4" s="233">
        <f t="shared" si="2"/>
        <v>46601</v>
      </c>
      <c r="R4" s="233">
        <f t="shared" ref="R4:R67" si="3">EDATE(Q4,6)</f>
        <v>46785</v>
      </c>
      <c r="S4" s="233">
        <f t="shared" ref="S4:S67" si="4">EDATE(R4,6)</f>
        <v>46967</v>
      </c>
      <c r="T4" s="233">
        <f t="shared" ref="T4:T67" si="5">EDATE(S4,6)</f>
        <v>47151</v>
      </c>
      <c r="U4" s="233">
        <f t="shared" ref="U4:U67" si="6">EDATE(T4,6)</f>
        <v>47332</v>
      </c>
      <c r="V4" s="233">
        <f t="shared" ref="V4:V67" si="7">EDATE(U4,6)</f>
        <v>47516</v>
      </c>
      <c r="W4" s="233">
        <f t="shared" ref="W4:W67" si="8">EDATE(V4,6)</f>
        <v>47697</v>
      </c>
      <c r="X4" s="233">
        <f t="shared" ref="X4:X67" si="9">EDATE(W4,6)</f>
        <v>47881</v>
      </c>
      <c r="Y4" s="233">
        <f t="shared" ref="Y4:Y67" si="10">EDATE(X4,6)</f>
        <v>48062</v>
      </c>
      <c r="Z4" s="203">
        <f t="shared" ref="Z4:Z17" si="11">C4*6</f>
        <v>39840000</v>
      </c>
    </row>
    <row r="5" spans="1:26" x14ac:dyDescent="0.3">
      <c r="A5" s="164">
        <v>2</v>
      </c>
      <c r="B5" s="165" t="s">
        <v>19</v>
      </c>
      <c r="C5" s="189">
        <v>8900000</v>
      </c>
      <c r="D5" s="189"/>
      <c r="E5" s="164" t="s">
        <v>1007</v>
      </c>
      <c r="F5" s="233">
        <v>44594</v>
      </c>
      <c r="G5" s="233">
        <f>EDATE(F5,3)</f>
        <v>44683</v>
      </c>
      <c r="H5" s="233">
        <f>EDATE(G5,9)</f>
        <v>44959</v>
      </c>
      <c r="I5" s="233">
        <f t="shared" si="2"/>
        <v>45140</v>
      </c>
      <c r="J5" s="233">
        <f t="shared" si="2"/>
        <v>45324</v>
      </c>
      <c r="K5" s="233">
        <f t="shared" si="2"/>
        <v>45506</v>
      </c>
      <c r="L5" s="233">
        <f t="shared" si="2"/>
        <v>45690</v>
      </c>
      <c r="M5" s="233">
        <f t="shared" si="2"/>
        <v>45871</v>
      </c>
      <c r="N5" s="233">
        <f t="shared" si="2"/>
        <v>46055</v>
      </c>
      <c r="O5" s="233">
        <f t="shared" si="2"/>
        <v>46236</v>
      </c>
      <c r="P5" s="233">
        <f t="shared" si="2"/>
        <v>46420</v>
      </c>
      <c r="Q5" s="233">
        <f t="shared" si="2"/>
        <v>46601</v>
      </c>
      <c r="R5" s="233">
        <f t="shared" si="3"/>
        <v>46785</v>
      </c>
      <c r="S5" s="233">
        <f t="shared" si="4"/>
        <v>46967</v>
      </c>
      <c r="T5" s="233">
        <f t="shared" si="5"/>
        <v>47151</v>
      </c>
      <c r="U5" s="233">
        <f t="shared" si="6"/>
        <v>47332</v>
      </c>
      <c r="V5" s="233">
        <f t="shared" si="7"/>
        <v>47516</v>
      </c>
      <c r="W5" s="233">
        <f t="shared" si="8"/>
        <v>47697</v>
      </c>
      <c r="X5" s="233">
        <f t="shared" si="9"/>
        <v>47881</v>
      </c>
      <c r="Y5" s="233">
        <f t="shared" si="10"/>
        <v>48062</v>
      </c>
      <c r="Z5" s="203">
        <f t="shared" si="11"/>
        <v>53400000</v>
      </c>
    </row>
    <row r="6" spans="1:26" x14ac:dyDescent="0.3">
      <c r="A6" s="164">
        <v>3</v>
      </c>
      <c r="B6" s="217" t="s">
        <v>29</v>
      </c>
      <c r="C6" s="208">
        <v>8300000</v>
      </c>
      <c r="D6" s="208"/>
      <c r="E6" s="173" t="s">
        <v>1007</v>
      </c>
      <c r="F6" s="234">
        <v>44678</v>
      </c>
      <c r="G6" s="234">
        <f>EDATE(F6,3)</f>
        <v>44769</v>
      </c>
      <c r="H6" s="234">
        <f>EDATE(G6,9)</f>
        <v>45043</v>
      </c>
      <c r="I6" s="234">
        <f t="shared" si="2"/>
        <v>45226</v>
      </c>
      <c r="J6" s="234">
        <f t="shared" si="2"/>
        <v>45409</v>
      </c>
      <c r="K6" s="234">
        <f t="shared" si="2"/>
        <v>45592</v>
      </c>
      <c r="L6" s="234">
        <f t="shared" si="2"/>
        <v>45774</v>
      </c>
      <c r="M6" s="234">
        <f t="shared" si="2"/>
        <v>45957</v>
      </c>
      <c r="N6" s="234">
        <f t="shared" si="2"/>
        <v>46139</v>
      </c>
      <c r="O6" s="233">
        <f t="shared" si="2"/>
        <v>46322</v>
      </c>
      <c r="P6" s="233">
        <f t="shared" si="2"/>
        <v>46504</v>
      </c>
      <c r="Q6" s="233">
        <f t="shared" si="2"/>
        <v>46687</v>
      </c>
      <c r="R6" s="233">
        <f t="shared" si="3"/>
        <v>46870</v>
      </c>
      <c r="S6" s="233">
        <f t="shared" si="4"/>
        <v>47053</v>
      </c>
      <c r="T6" s="233">
        <f t="shared" si="5"/>
        <v>47235</v>
      </c>
      <c r="U6" s="233">
        <f t="shared" si="6"/>
        <v>47418</v>
      </c>
      <c r="V6" s="233">
        <f t="shared" si="7"/>
        <v>47600</v>
      </c>
      <c r="W6" s="233">
        <f t="shared" si="8"/>
        <v>47783</v>
      </c>
      <c r="X6" s="233">
        <f t="shared" si="9"/>
        <v>47965</v>
      </c>
      <c r="Y6" s="233">
        <f t="shared" si="10"/>
        <v>48148</v>
      </c>
      <c r="Z6" s="196">
        <f t="shared" si="11"/>
        <v>49800000</v>
      </c>
    </row>
    <row r="7" spans="1:26" x14ac:dyDescent="0.3">
      <c r="A7" s="164">
        <v>4</v>
      </c>
      <c r="B7" s="235" t="s">
        <v>987</v>
      </c>
      <c r="C7" s="189">
        <v>6300000</v>
      </c>
      <c r="D7" s="189"/>
      <c r="E7" s="164" t="s">
        <v>1007</v>
      </c>
      <c r="F7" s="233">
        <v>44630</v>
      </c>
      <c r="G7" s="233">
        <f>EDATE(F7,3)</f>
        <v>44722</v>
      </c>
      <c r="H7" s="233">
        <f>EDATE(G7,9)</f>
        <v>44995</v>
      </c>
      <c r="I7" s="233">
        <f t="shared" si="2"/>
        <v>45179</v>
      </c>
      <c r="J7" s="233">
        <f t="shared" si="2"/>
        <v>45361</v>
      </c>
      <c r="K7" s="233">
        <f t="shared" si="2"/>
        <v>45545</v>
      </c>
      <c r="L7" s="233">
        <f>EDATE(K7,6)</f>
        <v>45726</v>
      </c>
      <c r="M7" s="233">
        <f t="shared" si="2"/>
        <v>45910</v>
      </c>
      <c r="N7" s="233">
        <f t="shared" si="2"/>
        <v>46091</v>
      </c>
      <c r="O7" s="233">
        <f t="shared" si="2"/>
        <v>46275</v>
      </c>
      <c r="P7" s="233">
        <f t="shared" si="2"/>
        <v>46456</v>
      </c>
      <c r="Q7" s="233">
        <f t="shared" si="2"/>
        <v>46640</v>
      </c>
      <c r="R7" s="233">
        <f t="shared" si="3"/>
        <v>46822</v>
      </c>
      <c r="S7" s="233">
        <f t="shared" si="4"/>
        <v>47006</v>
      </c>
      <c r="T7" s="233">
        <f t="shared" si="5"/>
        <v>47187</v>
      </c>
      <c r="U7" s="233">
        <f t="shared" si="6"/>
        <v>47371</v>
      </c>
      <c r="V7" s="233">
        <f t="shared" si="7"/>
        <v>47552</v>
      </c>
      <c r="W7" s="233">
        <f t="shared" si="8"/>
        <v>47736</v>
      </c>
      <c r="X7" s="233">
        <f t="shared" si="9"/>
        <v>47917</v>
      </c>
      <c r="Y7" s="233">
        <f t="shared" si="10"/>
        <v>48101</v>
      </c>
      <c r="Z7" s="203">
        <f t="shared" si="11"/>
        <v>37800000</v>
      </c>
    </row>
    <row r="8" spans="1:26" x14ac:dyDescent="0.3">
      <c r="A8" s="164">
        <v>5</v>
      </c>
      <c r="B8" s="165" t="s">
        <v>95</v>
      </c>
      <c r="C8" s="189">
        <v>7680000</v>
      </c>
      <c r="D8" s="189"/>
      <c r="E8" s="164" t="s">
        <v>1008</v>
      </c>
      <c r="F8" s="233">
        <v>44655</v>
      </c>
      <c r="G8" s="233">
        <f>EDATE(F8,6)</f>
        <v>44838</v>
      </c>
      <c r="H8" s="233">
        <f>EDATE(G8,6)</f>
        <v>45020</v>
      </c>
      <c r="I8" s="233">
        <f t="shared" si="2"/>
        <v>45203</v>
      </c>
      <c r="J8" s="233">
        <f t="shared" si="2"/>
        <v>45386</v>
      </c>
      <c r="K8" s="233">
        <f t="shared" si="2"/>
        <v>45569</v>
      </c>
      <c r="L8" s="233">
        <f t="shared" si="2"/>
        <v>45751</v>
      </c>
      <c r="M8" s="233">
        <f t="shared" si="2"/>
        <v>45934</v>
      </c>
      <c r="N8" s="238">
        <f t="shared" si="2"/>
        <v>46116</v>
      </c>
      <c r="O8" s="233">
        <f t="shared" si="2"/>
        <v>46299</v>
      </c>
      <c r="P8" s="233">
        <f t="shared" si="2"/>
        <v>46481</v>
      </c>
      <c r="Q8" s="233">
        <f t="shared" si="2"/>
        <v>46664</v>
      </c>
      <c r="R8" s="233">
        <f t="shared" si="3"/>
        <v>46847</v>
      </c>
      <c r="S8" s="233">
        <f t="shared" si="4"/>
        <v>47030</v>
      </c>
      <c r="T8" s="233">
        <f t="shared" si="5"/>
        <v>47212</v>
      </c>
      <c r="U8" s="233">
        <f t="shared" si="6"/>
        <v>47395</v>
      </c>
      <c r="V8" s="233">
        <f t="shared" si="7"/>
        <v>47577</v>
      </c>
      <c r="W8" s="233">
        <f t="shared" si="8"/>
        <v>47760</v>
      </c>
      <c r="X8" s="233">
        <f t="shared" si="9"/>
        <v>47942</v>
      </c>
      <c r="Y8" s="233">
        <f t="shared" si="10"/>
        <v>48125</v>
      </c>
      <c r="Z8" s="203">
        <f t="shared" si="11"/>
        <v>46080000</v>
      </c>
    </row>
    <row r="9" spans="1:26" x14ac:dyDescent="0.3">
      <c r="A9" s="164">
        <v>6</v>
      </c>
      <c r="B9" s="165" t="s">
        <v>97</v>
      </c>
      <c r="C9" s="189">
        <v>9600000</v>
      </c>
      <c r="D9" s="189"/>
      <c r="E9" s="164" t="s">
        <v>1007</v>
      </c>
      <c r="F9" s="233">
        <v>44752</v>
      </c>
      <c r="G9" s="233">
        <f>EDATE(F9,3)</f>
        <v>44844</v>
      </c>
      <c r="H9" s="233">
        <f>EDATE(G9,9)</f>
        <v>45117</v>
      </c>
      <c r="I9" s="233">
        <f t="shared" si="2"/>
        <v>45301</v>
      </c>
      <c r="J9" s="233">
        <f t="shared" si="2"/>
        <v>45483</v>
      </c>
      <c r="K9" s="233">
        <f t="shared" si="2"/>
        <v>45667</v>
      </c>
      <c r="L9" s="233">
        <f t="shared" si="2"/>
        <v>45848</v>
      </c>
      <c r="M9" s="233">
        <f t="shared" si="2"/>
        <v>46032</v>
      </c>
      <c r="N9" s="233">
        <f t="shared" si="2"/>
        <v>46213</v>
      </c>
      <c r="O9" s="233">
        <f t="shared" si="2"/>
        <v>46397</v>
      </c>
      <c r="P9" s="233">
        <f t="shared" si="2"/>
        <v>46578</v>
      </c>
      <c r="Q9" s="233">
        <f t="shared" si="2"/>
        <v>46762</v>
      </c>
      <c r="R9" s="233">
        <f t="shared" si="3"/>
        <v>46944</v>
      </c>
      <c r="S9" s="233">
        <f t="shared" si="4"/>
        <v>47128</v>
      </c>
      <c r="T9" s="233">
        <f t="shared" si="5"/>
        <v>47309</v>
      </c>
      <c r="U9" s="233">
        <f t="shared" si="6"/>
        <v>47493</v>
      </c>
      <c r="V9" s="233">
        <f t="shared" si="7"/>
        <v>47674</v>
      </c>
      <c r="W9" s="233">
        <f t="shared" si="8"/>
        <v>47858</v>
      </c>
      <c r="X9" s="233">
        <f t="shared" si="9"/>
        <v>48039</v>
      </c>
      <c r="Y9" s="233">
        <f t="shared" si="10"/>
        <v>48223</v>
      </c>
      <c r="Z9" s="203">
        <f t="shared" si="11"/>
        <v>57600000</v>
      </c>
    </row>
    <row r="10" spans="1:26" x14ac:dyDescent="0.3">
      <c r="A10" s="164">
        <v>7</v>
      </c>
      <c r="B10" s="217" t="s">
        <v>254</v>
      </c>
      <c r="C10" s="208">
        <v>11900000</v>
      </c>
      <c r="D10" s="208"/>
      <c r="E10" s="173" t="s">
        <v>1007</v>
      </c>
      <c r="F10" s="234">
        <v>44678</v>
      </c>
      <c r="G10" s="234">
        <f>EDATE(F10,3)</f>
        <v>44769</v>
      </c>
      <c r="H10" s="234">
        <f>EDATE(G10,9)</f>
        <v>45043</v>
      </c>
      <c r="I10" s="234">
        <f t="shared" si="2"/>
        <v>45226</v>
      </c>
      <c r="J10" s="234">
        <f t="shared" si="2"/>
        <v>45409</v>
      </c>
      <c r="K10" s="233">
        <f t="shared" si="2"/>
        <v>45592</v>
      </c>
      <c r="L10" s="233">
        <f t="shared" si="2"/>
        <v>45774</v>
      </c>
      <c r="M10" s="233">
        <f t="shared" si="2"/>
        <v>45957</v>
      </c>
      <c r="N10" s="238">
        <f t="shared" si="2"/>
        <v>46139</v>
      </c>
      <c r="O10" s="233">
        <f t="shared" si="2"/>
        <v>46322</v>
      </c>
      <c r="P10" s="233">
        <f t="shared" si="2"/>
        <v>46504</v>
      </c>
      <c r="Q10" s="233">
        <f t="shared" si="2"/>
        <v>46687</v>
      </c>
      <c r="R10" s="233">
        <f t="shared" si="3"/>
        <v>46870</v>
      </c>
      <c r="S10" s="233">
        <f t="shared" si="4"/>
        <v>47053</v>
      </c>
      <c r="T10" s="233">
        <f t="shared" si="5"/>
        <v>47235</v>
      </c>
      <c r="U10" s="233">
        <f t="shared" si="6"/>
        <v>47418</v>
      </c>
      <c r="V10" s="233">
        <f t="shared" si="7"/>
        <v>47600</v>
      </c>
      <c r="W10" s="233">
        <f t="shared" si="8"/>
        <v>47783</v>
      </c>
      <c r="X10" s="233">
        <f t="shared" si="9"/>
        <v>47965</v>
      </c>
      <c r="Y10" s="233">
        <f t="shared" si="10"/>
        <v>48148</v>
      </c>
      <c r="Z10" s="196">
        <f t="shared" si="11"/>
        <v>71400000</v>
      </c>
    </row>
    <row r="11" spans="1:26" x14ac:dyDescent="0.3">
      <c r="A11" s="164">
        <v>8</v>
      </c>
      <c r="B11" s="236" t="s">
        <v>257</v>
      </c>
      <c r="C11" s="189">
        <v>8640000</v>
      </c>
      <c r="D11" s="237" t="s">
        <v>1009</v>
      </c>
      <c r="E11" s="164" t="s">
        <v>1007</v>
      </c>
      <c r="F11" s="233">
        <v>44729</v>
      </c>
      <c r="G11" s="233">
        <f>EDATE(F11,3)</f>
        <v>44821</v>
      </c>
      <c r="H11" s="233">
        <f>EDATE(G11,9)</f>
        <v>45094</v>
      </c>
      <c r="I11" s="233">
        <f t="shared" si="2"/>
        <v>45277</v>
      </c>
      <c r="J11" s="233">
        <f t="shared" si="2"/>
        <v>45460</v>
      </c>
      <c r="K11" s="233">
        <f t="shared" si="2"/>
        <v>45643</v>
      </c>
      <c r="L11" s="233">
        <f t="shared" si="2"/>
        <v>45825</v>
      </c>
      <c r="M11" s="238">
        <f t="shared" si="2"/>
        <v>46008</v>
      </c>
      <c r="N11" s="233">
        <f t="shared" si="2"/>
        <v>46190</v>
      </c>
      <c r="O11" s="233">
        <f t="shared" si="2"/>
        <v>46373</v>
      </c>
      <c r="P11" s="233">
        <f t="shared" si="2"/>
        <v>46555</v>
      </c>
      <c r="Q11" s="233">
        <f t="shared" si="2"/>
        <v>46738</v>
      </c>
      <c r="R11" s="233">
        <f t="shared" si="3"/>
        <v>46921</v>
      </c>
      <c r="S11" s="233">
        <f t="shared" si="4"/>
        <v>47104</v>
      </c>
      <c r="T11" s="233">
        <f t="shared" si="5"/>
        <v>47286</v>
      </c>
      <c r="U11" s="233">
        <f t="shared" si="6"/>
        <v>47469</v>
      </c>
      <c r="V11" s="233">
        <f t="shared" si="7"/>
        <v>47651</v>
      </c>
      <c r="W11" s="233">
        <f t="shared" si="8"/>
        <v>47834</v>
      </c>
      <c r="X11" s="233">
        <f t="shared" si="9"/>
        <v>48016</v>
      </c>
      <c r="Y11" s="233">
        <f t="shared" si="10"/>
        <v>48199</v>
      </c>
      <c r="Z11" s="196">
        <f t="shared" si="11"/>
        <v>51840000</v>
      </c>
    </row>
    <row r="12" spans="1:26" x14ac:dyDescent="0.3">
      <c r="A12" s="164">
        <v>9</v>
      </c>
      <c r="B12" s="165" t="s">
        <v>30</v>
      </c>
      <c r="C12" s="189">
        <v>10900000</v>
      </c>
      <c r="D12" s="189"/>
      <c r="E12" s="164" t="s">
        <v>1007</v>
      </c>
      <c r="F12" s="233">
        <v>44662</v>
      </c>
      <c r="G12" s="233">
        <f>EDATE(F12,3)</f>
        <v>44753</v>
      </c>
      <c r="H12" s="233">
        <f>EDATE(G12,9)</f>
        <v>45027</v>
      </c>
      <c r="I12" s="233">
        <f t="shared" si="2"/>
        <v>45210</v>
      </c>
      <c r="J12" s="233">
        <f t="shared" si="2"/>
        <v>45393</v>
      </c>
      <c r="K12" s="233">
        <f t="shared" si="2"/>
        <v>45576</v>
      </c>
      <c r="L12" s="233">
        <f t="shared" si="2"/>
        <v>45758</v>
      </c>
      <c r="M12" s="233">
        <f t="shared" si="2"/>
        <v>45941</v>
      </c>
      <c r="N12" s="238">
        <f t="shared" si="2"/>
        <v>46123</v>
      </c>
      <c r="O12" s="233">
        <f t="shared" si="2"/>
        <v>46306</v>
      </c>
      <c r="P12" s="233">
        <f t="shared" si="2"/>
        <v>46488</v>
      </c>
      <c r="Q12" s="233">
        <f t="shared" si="2"/>
        <v>46671</v>
      </c>
      <c r="R12" s="233">
        <f t="shared" si="3"/>
        <v>46854</v>
      </c>
      <c r="S12" s="233">
        <f t="shared" si="4"/>
        <v>47037</v>
      </c>
      <c r="T12" s="233">
        <f t="shared" si="5"/>
        <v>47219</v>
      </c>
      <c r="U12" s="233">
        <f t="shared" si="6"/>
        <v>47402</v>
      </c>
      <c r="V12" s="233">
        <f t="shared" si="7"/>
        <v>47584</v>
      </c>
      <c r="W12" s="233">
        <f t="shared" si="8"/>
        <v>47767</v>
      </c>
      <c r="X12" s="233">
        <f t="shared" si="9"/>
        <v>47949</v>
      </c>
      <c r="Y12" s="233">
        <f t="shared" si="10"/>
        <v>48132</v>
      </c>
      <c r="Z12" s="203">
        <f t="shared" si="11"/>
        <v>65400000</v>
      </c>
    </row>
    <row r="13" spans="1:26" x14ac:dyDescent="0.3">
      <c r="A13" s="164">
        <v>10</v>
      </c>
      <c r="B13" s="165" t="s">
        <v>156</v>
      </c>
      <c r="C13" s="189">
        <v>11500000</v>
      </c>
      <c r="D13" s="189"/>
      <c r="E13" s="164" t="s">
        <v>1007</v>
      </c>
      <c r="F13" s="233">
        <v>44701</v>
      </c>
      <c r="G13" s="233">
        <f>EDATE(F13,3)</f>
        <v>44793</v>
      </c>
      <c r="H13" s="233">
        <f>EDATE(G13,9)</f>
        <v>45066</v>
      </c>
      <c r="I13" s="233">
        <f t="shared" si="2"/>
        <v>45250</v>
      </c>
      <c r="J13" s="233">
        <f t="shared" si="2"/>
        <v>45432</v>
      </c>
      <c r="K13" s="233">
        <f t="shared" si="2"/>
        <v>45616</v>
      </c>
      <c r="L13" s="233">
        <f t="shared" si="2"/>
        <v>45797</v>
      </c>
      <c r="M13" s="233">
        <f t="shared" si="2"/>
        <v>45981</v>
      </c>
      <c r="N13" s="233">
        <f t="shared" si="2"/>
        <v>46162</v>
      </c>
      <c r="O13" s="233">
        <f t="shared" si="2"/>
        <v>46346</v>
      </c>
      <c r="P13" s="233">
        <f t="shared" si="2"/>
        <v>46527</v>
      </c>
      <c r="Q13" s="233">
        <f t="shared" si="2"/>
        <v>46711</v>
      </c>
      <c r="R13" s="233">
        <f t="shared" si="3"/>
        <v>46893</v>
      </c>
      <c r="S13" s="233">
        <f t="shared" si="4"/>
        <v>47077</v>
      </c>
      <c r="T13" s="233">
        <f t="shared" si="5"/>
        <v>47258</v>
      </c>
      <c r="U13" s="233">
        <f t="shared" si="6"/>
        <v>47442</v>
      </c>
      <c r="V13" s="233">
        <f t="shared" si="7"/>
        <v>47623</v>
      </c>
      <c r="W13" s="233">
        <f t="shared" si="8"/>
        <v>47807</v>
      </c>
      <c r="X13" s="233">
        <f t="shared" si="9"/>
        <v>47988</v>
      </c>
      <c r="Y13" s="233">
        <f t="shared" si="10"/>
        <v>48172</v>
      </c>
      <c r="Z13" s="203">
        <f t="shared" si="11"/>
        <v>69000000</v>
      </c>
    </row>
    <row r="14" spans="1:26" x14ac:dyDescent="0.3">
      <c r="A14" s="164">
        <v>11</v>
      </c>
      <c r="B14" s="217" t="s">
        <v>260</v>
      </c>
      <c r="C14" s="208">
        <v>5920000</v>
      </c>
      <c r="D14" s="208"/>
      <c r="E14" s="173" t="s">
        <v>1010</v>
      </c>
      <c r="F14" s="234">
        <v>44676</v>
      </c>
      <c r="G14" s="234">
        <f>EDATE(F14,6)</f>
        <v>44859</v>
      </c>
      <c r="H14" s="234">
        <f>EDATE(G14,6)</f>
        <v>45041</v>
      </c>
      <c r="I14" s="234">
        <f t="shared" si="2"/>
        <v>45224</v>
      </c>
      <c r="J14" s="234">
        <f t="shared" si="2"/>
        <v>45407</v>
      </c>
      <c r="K14" s="234">
        <f t="shared" si="2"/>
        <v>45590</v>
      </c>
      <c r="L14" s="234">
        <f t="shared" si="2"/>
        <v>45772</v>
      </c>
      <c r="M14" s="234">
        <f t="shared" si="2"/>
        <v>45955</v>
      </c>
      <c r="N14" s="234">
        <f t="shared" si="2"/>
        <v>46137</v>
      </c>
      <c r="O14" s="233">
        <f t="shared" si="2"/>
        <v>46320</v>
      </c>
      <c r="P14" s="233">
        <f t="shared" si="2"/>
        <v>46502</v>
      </c>
      <c r="Q14" s="233">
        <f t="shared" si="2"/>
        <v>46685</v>
      </c>
      <c r="R14" s="233">
        <f t="shared" si="3"/>
        <v>46868</v>
      </c>
      <c r="S14" s="233">
        <f t="shared" si="4"/>
        <v>47051</v>
      </c>
      <c r="T14" s="233">
        <f t="shared" si="5"/>
        <v>47233</v>
      </c>
      <c r="U14" s="233">
        <f t="shared" si="6"/>
        <v>47416</v>
      </c>
      <c r="V14" s="233">
        <f t="shared" si="7"/>
        <v>47598</v>
      </c>
      <c r="W14" s="233">
        <f t="shared" si="8"/>
        <v>47781</v>
      </c>
      <c r="X14" s="233">
        <f t="shared" si="9"/>
        <v>47963</v>
      </c>
      <c r="Y14" s="233">
        <f t="shared" si="10"/>
        <v>48146</v>
      </c>
      <c r="Z14" s="203">
        <f t="shared" si="11"/>
        <v>35520000</v>
      </c>
    </row>
    <row r="15" spans="1:26" x14ac:dyDescent="0.3">
      <c r="A15" s="164">
        <v>12</v>
      </c>
      <c r="B15" s="165" t="s">
        <v>423</v>
      </c>
      <c r="C15" s="189">
        <v>11500000</v>
      </c>
      <c r="D15" s="189"/>
      <c r="E15" s="164" t="s">
        <v>1007</v>
      </c>
      <c r="F15" s="233">
        <v>44780</v>
      </c>
      <c r="G15" s="233">
        <f>EDATE(F15,3)</f>
        <v>44872</v>
      </c>
      <c r="H15" s="233">
        <f>EDATE(G15,9)</f>
        <v>45145</v>
      </c>
      <c r="I15" s="233">
        <f t="shared" si="2"/>
        <v>45329</v>
      </c>
      <c r="J15" s="233">
        <f t="shared" si="2"/>
        <v>45511</v>
      </c>
      <c r="K15" s="233">
        <f t="shared" si="2"/>
        <v>45695</v>
      </c>
      <c r="L15" s="233">
        <f t="shared" si="2"/>
        <v>45876</v>
      </c>
      <c r="M15" s="233">
        <f t="shared" si="2"/>
        <v>46060</v>
      </c>
      <c r="N15" s="233">
        <f t="shared" si="2"/>
        <v>46241</v>
      </c>
      <c r="O15" s="233">
        <f t="shared" si="2"/>
        <v>46425</v>
      </c>
      <c r="P15" s="233">
        <f t="shared" si="2"/>
        <v>46606</v>
      </c>
      <c r="Q15" s="233">
        <f t="shared" si="2"/>
        <v>46790</v>
      </c>
      <c r="R15" s="233">
        <f t="shared" si="3"/>
        <v>46972</v>
      </c>
      <c r="S15" s="233">
        <f t="shared" si="4"/>
        <v>47156</v>
      </c>
      <c r="T15" s="233">
        <f t="shared" si="5"/>
        <v>47337</v>
      </c>
      <c r="U15" s="233">
        <f t="shared" si="6"/>
        <v>47521</v>
      </c>
      <c r="V15" s="233">
        <f t="shared" si="7"/>
        <v>47702</v>
      </c>
      <c r="W15" s="233">
        <f t="shared" si="8"/>
        <v>47886</v>
      </c>
      <c r="X15" s="233">
        <f t="shared" si="9"/>
        <v>48067</v>
      </c>
      <c r="Y15" s="233">
        <f t="shared" si="10"/>
        <v>48251</v>
      </c>
      <c r="Z15" s="203">
        <f t="shared" si="11"/>
        <v>69000000</v>
      </c>
    </row>
    <row r="16" spans="1:26" x14ac:dyDescent="0.3">
      <c r="A16" s="164">
        <v>13</v>
      </c>
      <c r="B16" s="165" t="s">
        <v>185</v>
      </c>
      <c r="C16" s="189">
        <v>11500000</v>
      </c>
      <c r="D16" s="189"/>
      <c r="E16" s="164" t="s">
        <v>1007</v>
      </c>
      <c r="F16" s="233">
        <v>44801</v>
      </c>
      <c r="G16" s="233">
        <f>EDATE(F16,3)</f>
        <v>44893</v>
      </c>
      <c r="H16" s="233">
        <f>EDATE(G16,3)</f>
        <v>44985</v>
      </c>
      <c r="I16" s="233">
        <f t="shared" si="2"/>
        <v>45166</v>
      </c>
      <c r="J16" s="233">
        <f t="shared" si="2"/>
        <v>45350</v>
      </c>
      <c r="K16" s="233">
        <f t="shared" si="2"/>
        <v>45532</v>
      </c>
      <c r="L16" s="233">
        <f t="shared" si="2"/>
        <v>45716</v>
      </c>
      <c r="M16" s="233">
        <f t="shared" si="2"/>
        <v>45897</v>
      </c>
      <c r="N16" s="233">
        <f t="shared" si="2"/>
        <v>46081</v>
      </c>
      <c r="O16" s="233">
        <f t="shared" si="2"/>
        <v>46262</v>
      </c>
      <c r="P16" s="233">
        <f t="shared" si="2"/>
        <v>46446</v>
      </c>
      <c r="Q16" s="233">
        <f t="shared" si="2"/>
        <v>46627</v>
      </c>
      <c r="R16" s="233">
        <f t="shared" si="3"/>
        <v>46811</v>
      </c>
      <c r="S16" s="233">
        <f t="shared" si="4"/>
        <v>46993</v>
      </c>
      <c r="T16" s="233">
        <f t="shared" si="5"/>
        <v>47177</v>
      </c>
      <c r="U16" s="233">
        <f t="shared" si="6"/>
        <v>47358</v>
      </c>
      <c r="V16" s="233">
        <f t="shared" si="7"/>
        <v>47542</v>
      </c>
      <c r="W16" s="233">
        <f t="shared" si="8"/>
        <v>47723</v>
      </c>
      <c r="X16" s="233">
        <f t="shared" si="9"/>
        <v>47907</v>
      </c>
      <c r="Y16" s="233">
        <f t="shared" si="10"/>
        <v>48088</v>
      </c>
      <c r="Z16" s="203">
        <f t="shared" si="11"/>
        <v>69000000</v>
      </c>
    </row>
    <row r="17" spans="1:26" x14ac:dyDescent="0.3">
      <c r="A17" s="164">
        <v>14</v>
      </c>
      <c r="B17" s="217" t="s">
        <v>190</v>
      </c>
      <c r="C17" s="208">
        <v>7920000</v>
      </c>
      <c r="D17" s="208"/>
      <c r="E17" s="173" t="s">
        <v>1007</v>
      </c>
      <c r="F17" s="234">
        <v>44707</v>
      </c>
      <c r="G17" s="234">
        <f>EDATE(F17,3)</f>
        <v>44799</v>
      </c>
      <c r="H17" s="234">
        <f>EDATE(G17,9)</f>
        <v>45072</v>
      </c>
      <c r="I17" s="234">
        <f t="shared" si="2"/>
        <v>45256</v>
      </c>
      <c r="J17" s="234">
        <f t="shared" si="2"/>
        <v>45438</v>
      </c>
      <c r="K17" s="234">
        <f t="shared" si="2"/>
        <v>45622</v>
      </c>
      <c r="L17" s="234">
        <f t="shared" si="2"/>
        <v>45803</v>
      </c>
      <c r="M17" s="234">
        <f t="shared" si="2"/>
        <v>45987</v>
      </c>
      <c r="N17" s="234">
        <f t="shared" si="2"/>
        <v>46168</v>
      </c>
      <c r="O17" s="233">
        <f t="shared" si="2"/>
        <v>46352</v>
      </c>
      <c r="P17" s="233">
        <f t="shared" si="2"/>
        <v>46533</v>
      </c>
      <c r="Q17" s="233">
        <f t="shared" si="2"/>
        <v>46717</v>
      </c>
      <c r="R17" s="233">
        <f t="shared" si="3"/>
        <v>46899</v>
      </c>
      <c r="S17" s="233">
        <f t="shared" si="4"/>
        <v>47083</v>
      </c>
      <c r="T17" s="233">
        <f t="shared" si="5"/>
        <v>47264</v>
      </c>
      <c r="U17" s="233">
        <f t="shared" si="6"/>
        <v>47448</v>
      </c>
      <c r="V17" s="233">
        <f t="shared" si="7"/>
        <v>47629</v>
      </c>
      <c r="W17" s="233">
        <f t="shared" si="8"/>
        <v>47813</v>
      </c>
      <c r="X17" s="233">
        <f t="shared" si="9"/>
        <v>47994</v>
      </c>
      <c r="Y17" s="233">
        <f t="shared" si="10"/>
        <v>48178</v>
      </c>
      <c r="Z17" s="203">
        <f t="shared" si="11"/>
        <v>47520000</v>
      </c>
    </row>
    <row r="18" spans="1:26" x14ac:dyDescent="0.3">
      <c r="A18" s="164">
        <v>15</v>
      </c>
      <c r="B18" s="165" t="s">
        <v>229</v>
      </c>
      <c r="C18" s="189">
        <v>11700000</v>
      </c>
      <c r="D18" s="189"/>
      <c r="E18" s="164" t="s">
        <v>1011</v>
      </c>
      <c r="F18" s="233">
        <v>44749</v>
      </c>
      <c r="G18" s="233">
        <f t="shared" ref="G18:H24" si="12">EDATE(F18,6)</f>
        <v>44933</v>
      </c>
      <c r="H18" s="233">
        <f t="shared" si="12"/>
        <v>45114</v>
      </c>
      <c r="I18" s="233">
        <f t="shared" si="2"/>
        <v>45298</v>
      </c>
      <c r="J18" s="233">
        <f t="shared" si="2"/>
        <v>45480</v>
      </c>
      <c r="K18" s="233">
        <f t="shared" si="2"/>
        <v>45664</v>
      </c>
      <c r="L18" s="233">
        <f t="shared" si="2"/>
        <v>45845</v>
      </c>
      <c r="M18" s="233">
        <f t="shared" si="2"/>
        <v>46029</v>
      </c>
      <c r="N18" s="233">
        <f t="shared" si="2"/>
        <v>46210</v>
      </c>
      <c r="O18" s="233">
        <f t="shared" si="2"/>
        <v>46394</v>
      </c>
      <c r="P18" s="233">
        <f t="shared" si="2"/>
        <v>46575</v>
      </c>
      <c r="Q18" s="233">
        <f t="shared" si="2"/>
        <v>46759</v>
      </c>
      <c r="R18" s="233">
        <f t="shared" si="3"/>
        <v>46941</v>
      </c>
      <c r="S18" s="233">
        <f t="shared" si="4"/>
        <v>47125</v>
      </c>
      <c r="T18" s="233">
        <f t="shared" si="5"/>
        <v>47306</v>
      </c>
      <c r="U18" s="233">
        <f t="shared" si="6"/>
        <v>47490</v>
      </c>
      <c r="V18" s="233">
        <f t="shared" si="7"/>
        <v>47671</v>
      </c>
      <c r="W18" s="233">
        <f t="shared" si="8"/>
        <v>47855</v>
      </c>
      <c r="X18" s="233">
        <f t="shared" si="9"/>
        <v>48036</v>
      </c>
      <c r="Y18" s="233">
        <f t="shared" si="10"/>
        <v>48220</v>
      </c>
      <c r="Z18" s="203">
        <f t="shared" ref="Z18:Z70" si="13">C18*6</f>
        <v>70200000</v>
      </c>
    </row>
    <row r="19" spans="1:26" x14ac:dyDescent="0.3">
      <c r="A19" s="164">
        <v>16</v>
      </c>
      <c r="B19" s="217" t="s">
        <v>290</v>
      </c>
      <c r="C19" s="208">
        <v>8800000</v>
      </c>
      <c r="D19" s="239" t="s">
        <v>1012</v>
      </c>
      <c r="E19" s="173" t="s">
        <v>1013</v>
      </c>
      <c r="F19" s="234">
        <v>44719</v>
      </c>
      <c r="G19" s="234">
        <f t="shared" si="12"/>
        <v>44902</v>
      </c>
      <c r="H19" s="234">
        <f t="shared" si="12"/>
        <v>45084</v>
      </c>
      <c r="I19" s="234">
        <f t="shared" si="2"/>
        <v>45267</v>
      </c>
      <c r="J19" s="234">
        <f t="shared" si="2"/>
        <v>45450</v>
      </c>
      <c r="K19" s="234">
        <f t="shared" si="2"/>
        <v>45633</v>
      </c>
      <c r="L19" s="234">
        <f t="shared" si="2"/>
        <v>45815</v>
      </c>
      <c r="M19" s="240">
        <f t="shared" si="2"/>
        <v>45998</v>
      </c>
      <c r="N19" s="234">
        <f t="shared" si="2"/>
        <v>46180</v>
      </c>
      <c r="O19" s="233">
        <f t="shared" si="2"/>
        <v>46363</v>
      </c>
      <c r="P19" s="233">
        <f t="shared" si="2"/>
        <v>46545</v>
      </c>
      <c r="Q19" s="233">
        <f t="shared" si="2"/>
        <v>46728</v>
      </c>
      <c r="R19" s="233">
        <f t="shared" si="3"/>
        <v>46911</v>
      </c>
      <c r="S19" s="233">
        <f t="shared" si="4"/>
        <v>47094</v>
      </c>
      <c r="T19" s="233">
        <f t="shared" si="5"/>
        <v>47276</v>
      </c>
      <c r="U19" s="233">
        <f t="shared" si="6"/>
        <v>47459</v>
      </c>
      <c r="V19" s="233">
        <f t="shared" si="7"/>
        <v>47641</v>
      </c>
      <c r="W19" s="233">
        <f t="shared" si="8"/>
        <v>47824</v>
      </c>
      <c r="X19" s="233">
        <f t="shared" si="9"/>
        <v>48006</v>
      </c>
      <c r="Y19" s="233">
        <f t="shared" si="10"/>
        <v>48189</v>
      </c>
      <c r="Z19" s="196">
        <f t="shared" si="13"/>
        <v>52800000</v>
      </c>
    </row>
    <row r="20" spans="1:26" x14ac:dyDescent="0.3">
      <c r="A20" s="164">
        <v>17</v>
      </c>
      <c r="B20" s="165" t="s">
        <v>316</v>
      </c>
      <c r="C20" s="189">
        <v>10000000</v>
      </c>
      <c r="D20" s="189"/>
      <c r="E20" s="164" t="s">
        <v>1014</v>
      </c>
      <c r="F20" s="233">
        <v>44783</v>
      </c>
      <c r="G20" s="233">
        <f t="shared" si="12"/>
        <v>44967</v>
      </c>
      <c r="H20" s="233">
        <f t="shared" si="12"/>
        <v>45148</v>
      </c>
      <c r="I20" s="233">
        <f t="shared" si="2"/>
        <v>45332</v>
      </c>
      <c r="J20" s="233">
        <f t="shared" si="2"/>
        <v>45514</v>
      </c>
      <c r="K20" s="233">
        <f t="shared" si="2"/>
        <v>45698</v>
      </c>
      <c r="L20" s="233">
        <f t="shared" si="2"/>
        <v>45879</v>
      </c>
      <c r="M20" s="233">
        <f t="shared" si="2"/>
        <v>46063</v>
      </c>
      <c r="N20" s="233">
        <f t="shared" si="2"/>
        <v>46244</v>
      </c>
      <c r="O20" s="233">
        <f t="shared" si="2"/>
        <v>46428</v>
      </c>
      <c r="P20" s="233">
        <f t="shared" si="2"/>
        <v>46609</v>
      </c>
      <c r="Q20" s="233">
        <f t="shared" si="2"/>
        <v>46793</v>
      </c>
      <c r="R20" s="233">
        <f t="shared" si="3"/>
        <v>46975</v>
      </c>
      <c r="S20" s="233">
        <f t="shared" si="4"/>
        <v>47159</v>
      </c>
      <c r="T20" s="233">
        <f t="shared" si="5"/>
        <v>47340</v>
      </c>
      <c r="U20" s="233">
        <f t="shared" si="6"/>
        <v>47524</v>
      </c>
      <c r="V20" s="233">
        <f t="shared" si="7"/>
        <v>47705</v>
      </c>
      <c r="W20" s="233">
        <f t="shared" si="8"/>
        <v>47889</v>
      </c>
      <c r="X20" s="233">
        <f t="shared" si="9"/>
        <v>48070</v>
      </c>
      <c r="Y20" s="233">
        <f t="shared" si="10"/>
        <v>48254</v>
      </c>
      <c r="Z20" s="203">
        <f t="shared" si="13"/>
        <v>60000000</v>
      </c>
    </row>
    <row r="21" spans="1:26" x14ac:dyDescent="0.3">
      <c r="A21" s="164">
        <v>18</v>
      </c>
      <c r="B21" s="165" t="s">
        <v>347</v>
      </c>
      <c r="C21" s="189">
        <v>5800000</v>
      </c>
      <c r="D21" s="189"/>
      <c r="E21" s="164" t="s">
        <v>1015</v>
      </c>
      <c r="F21" s="233">
        <v>44781</v>
      </c>
      <c r="G21" s="233">
        <f t="shared" si="12"/>
        <v>44965</v>
      </c>
      <c r="H21" s="233">
        <f t="shared" si="12"/>
        <v>45146</v>
      </c>
      <c r="I21" s="233">
        <f t="shared" si="2"/>
        <v>45330</v>
      </c>
      <c r="J21" s="233">
        <f t="shared" si="2"/>
        <v>45512</v>
      </c>
      <c r="K21" s="233">
        <f t="shared" si="2"/>
        <v>45696</v>
      </c>
      <c r="L21" s="233">
        <f t="shared" si="2"/>
        <v>45877</v>
      </c>
      <c r="M21" s="233">
        <f t="shared" si="2"/>
        <v>46061</v>
      </c>
      <c r="N21" s="233">
        <f t="shared" si="2"/>
        <v>46242</v>
      </c>
      <c r="O21" s="233">
        <f t="shared" si="2"/>
        <v>46426</v>
      </c>
      <c r="P21" s="233">
        <f t="shared" si="2"/>
        <v>46607</v>
      </c>
      <c r="Q21" s="233">
        <f t="shared" si="2"/>
        <v>46791</v>
      </c>
      <c r="R21" s="233">
        <f t="shared" si="3"/>
        <v>46973</v>
      </c>
      <c r="S21" s="233">
        <f t="shared" si="4"/>
        <v>47157</v>
      </c>
      <c r="T21" s="233">
        <f t="shared" si="5"/>
        <v>47338</v>
      </c>
      <c r="U21" s="233">
        <f t="shared" si="6"/>
        <v>47522</v>
      </c>
      <c r="V21" s="233">
        <f t="shared" si="7"/>
        <v>47703</v>
      </c>
      <c r="W21" s="233">
        <f t="shared" si="8"/>
        <v>47887</v>
      </c>
      <c r="X21" s="233">
        <f t="shared" si="9"/>
        <v>48068</v>
      </c>
      <c r="Y21" s="233">
        <f t="shared" si="10"/>
        <v>48252</v>
      </c>
      <c r="Z21" s="203">
        <f t="shared" si="13"/>
        <v>34800000</v>
      </c>
    </row>
    <row r="22" spans="1:26" x14ac:dyDescent="0.3">
      <c r="A22" s="164">
        <v>19</v>
      </c>
      <c r="B22" s="241" t="s">
        <v>196</v>
      </c>
      <c r="C22" s="242">
        <v>10300000</v>
      </c>
      <c r="D22" s="242"/>
      <c r="E22" s="217" t="s">
        <v>1016</v>
      </c>
      <c r="F22" s="234">
        <v>44813</v>
      </c>
      <c r="G22" s="234">
        <f t="shared" si="12"/>
        <v>44994</v>
      </c>
      <c r="H22" s="234">
        <f t="shared" si="12"/>
        <v>45178</v>
      </c>
      <c r="I22" s="234">
        <f t="shared" si="2"/>
        <v>45360</v>
      </c>
      <c r="J22" s="234">
        <f t="shared" si="2"/>
        <v>45544</v>
      </c>
      <c r="K22" s="234">
        <f t="shared" si="2"/>
        <v>45725</v>
      </c>
      <c r="L22" s="234">
        <f t="shared" si="2"/>
        <v>45909</v>
      </c>
      <c r="M22" s="234">
        <f t="shared" si="2"/>
        <v>46090</v>
      </c>
      <c r="N22" s="234">
        <f t="shared" si="2"/>
        <v>46274</v>
      </c>
      <c r="O22" s="233">
        <f t="shared" si="2"/>
        <v>46455</v>
      </c>
      <c r="P22" s="233">
        <f t="shared" si="2"/>
        <v>46639</v>
      </c>
      <c r="Q22" s="233">
        <f t="shared" si="2"/>
        <v>46821</v>
      </c>
      <c r="R22" s="233">
        <f t="shared" si="3"/>
        <v>47005</v>
      </c>
      <c r="S22" s="233">
        <f t="shared" si="4"/>
        <v>47186</v>
      </c>
      <c r="T22" s="233">
        <f t="shared" si="5"/>
        <v>47370</v>
      </c>
      <c r="U22" s="233">
        <f t="shared" si="6"/>
        <v>47551</v>
      </c>
      <c r="V22" s="233">
        <f t="shared" si="7"/>
        <v>47735</v>
      </c>
      <c r="W22" s="233">
        <f t="shared" si="8"/>
        <v>47916</v>
      </c>
      <c r="X22" s="233">
        <f t="shared" si="9"/>
        <v>48100</v>
      </c>
      <c r="Y22" s="233">
        <f t="shared" si="10"/>
        <v>48282</v>
      </c>
      <c r="Z22" s="243">
        <f t="shared" si="13"/>
        <v>61800000</v>
      </c>
    </row>
    <row r="23" spans="1:26" x14ac:dyDescent="0.3">
      <c r="A23" s="164">
        <v>20</v>
      </c>
      <c r="B23" s="236" t="s">
        <v>535</v>
      </c>
      <c r="C23" s="189">
        <v>12600000</v>
      </c>
      <c r="D23" s="237" t="s">
        <v>1017</v>
      </c>
      <c r="E23" s="164" t="s">
        <v>1018</v>
      </c>
      <c r="F23" s="233">
        <v>44904</v>
      </c>
      <c r="G23" s="233">
        <f t="shared" si="12"/>
        <v>45086</v>
      </c>
      <c r="H23" s="233">
        <f t="shared" si="12"/>
        <v>45269</v>
      </c>
      <c r="I23" s="233">
        <f t="shared" si="2"/>
        <v>45452</v>
      </c>
      <c r="J23" s="233">
        <f t="shared" si="2"/>
        <v>45635</v>
      </c>
      <c r="K23" s="233">
        <f t="shared" si="2"/>
        <v>45817</v>
      </c>
      <c r="L23" s="238">
        <f t="shared" si="2"/>
        <v>46000</v>
      </c>
      <c r="M23" s="233">
        <f t="shared" si="2"/>
        <v>46182</v>
      </c>
      <c r="N23" s="233">
        <f t="shared" si="2"/>
        <v>46365</v>
      </c>
      <c r="O23" s="233">
        <f t="shared" si="2"/>
        <v>46547</v>
      </c>
      <c r="P23" s="233">
        <f t="shared" si="2"/>
        <v>46730</v>
      </c>
      <c r="Q23" s="233">
        <f t="shared" si="2"/>
        <v>46913</v>
      </c>
      <c r="R23" s="233">
        <f t="shared" si="3"/>
        <v>47096</v>
      </c>
      <c r="S23" s="233">
        <f t="shared" si="4"/>
        <v>47278</v>
      </c>
      <c r="T23" s="233">
        <f t="shared" si="5"/>
        <v>47461</v>
      </c>
      <c r="U23" s="233">
        <f t="shared" si="6"/>
        <v>47643</v>
      </c>
      <c r="V23" s="233">
        <f t="shared" si="7"/>
        <v>47826</v>
      </c>
      <c r="W23" s="233">
        <f t="shared" si="8"/>
        <v>48008</v>
      </c>
      <c r="X23" s="233">
        <f t="shared" si="9"/>
        <v>48191</v>
      </c>
      <c r="Y23" s="233">
        <f t="shared" si="10"/>
        <v>48374</v>
      </c>
      <c r="Z23" s="203">
        <f t="shared" si="13"/>
        <v>75600000</v>
      </c>
    </row>
    <row r="24" spans="1:26" x14ac:dyDescent="0.3">
      <c r="A24" s="164">
        <v>21</v>
      </c>
      <c r="B24" s="165" t="s">
        <v>106</v>
      </c>
      <c r="C24" s="189">
        <v>11200000</v>
      </c>
      <c r="D24" s="189"/>
      <c r="E24" s="164" t="s">
        <v>1019</v>
      </c>
      <c r="F24" s="233">
        <v>44785</v>
      </c>
      <c r="G24" s="233">
        <f t="shared" si="12"/>
        <v>44969</v>
      </c>
      <c r="H24" s="233">
        <f t="shared" si="12"/>
        <v>45150</v>
      </c>
      <c r="I24" s="233">
        <f t="shared" si="2"/>
        <v>45334</v>
      </c>
      <c r="J24" s="233">
        <f t="shared" si="2"/>
        <v>45516</v>
      </c>
      <c r="K24" s="233">
        <f t="shared" si="2"/>
        <v>45700</v>
      </c>
      <c r="L24" s="233">
        <f t="shared" si="2"/>
        <v>45881</v>
      </c>
      <c r="M24" s="233">
        <f t="shared" si="2"/>
        <v>46065</v>
      </c>
      <c r="N24" s="233">
        <f t="shared" si="2"/>
        <v>46246</v>
      </c>
      <c r="O24" s="233">
        <f t="shared" si="2"/>
        <v>46430</v>
      </c>
      <c r="P24" s="233">
        <f t="shared" si="2"/>
        <v>46611</v>
      </c>
      <c r="Q24" s="233">
        <f t="shared" si="2"/>
        <v>46795</v>
      </c>
      <c r="R24" s="233">
        <f t="shared" si="3"/>
        <v>46977</v>
      </c>
      <c r="S24" s="233">
        <f t="shared" si="4"/>
        <v>47161</v>
      </c>
      <c r="T24" s="233">
        <f t="shared" si="5"/>
        <v>47342</v>
      </c>
      <c r="U24" s="233">
        <f t="shared" si="6"/>
        <v>47526</v>
      </c>
      <c r="V24" s="233">
        <f t="shared" si="7"/>
        <v>47707</v>
      </c>
      <c r="W24" s="233">
        <f t="shared" si="8"/>
        <v>47891</v>
      </c>
      <c r="X24" s="233">
        <f t="shared" si="9"/>
        <v>48072</v>
      </c>
      <c r="Y24" s="233">
        <f t="shared" si="10"/>
        <v>48256</v>
      </c>
      <c r="Z24" s="203">
        <f t="shared" si="13"/>
        <v>67200000</v>
      </c>
    </row>
    <row r="25" spans="1:26" x14ac:dyDescent="0.3">
      <c r="A25" s="164">
        <v>22</v>
      </c>
      <c r="B25" s="244" t="s">
        <v>408</v>
      </c>
      <c r="C25" s="208">
        <v>10700000</v>
      </c>
      <c r="D25" s="208"/>
      <c r="E25" s="173" t="s">
        <v>1020</v>
      </c>
      <c r="F25" s="234">
        <v>44816</v>
      </c>
      <c r="G25" s="234">
        <f>EDATE(F25,3)</f>
        <v>44907</v>
      </c>
      <c r="H25" s="234">
        <f>EDATE(G25,3)</f>
        <v>44997</v>
      </c>
      <c r="I25" s="234">
        <f>EDATE(H25,6)</f>
        <v>45181</v>
      </c>
      <c r="J25" s="234">
        <f t="shared" ref="J25:Q60" si="14">EDATE(I25,6)</f>
        <v>45363</v>
      </c>
      <c r="K25" s="234">
        <f t="shared" si="14"/>
        <v>45547</v>
      </c>
      <c r="L25" s="234">
        <f t="shared" si="14"/>
        <v>45728</v>
      </c>
      <c r="M25" s="234">
        <f t="shared" si="14"/>
        <v>45912</v>
      </c>
      <c r="N25" s="234">
        <f t="shared" si="14"/>
        <v>46093</v>
      </c>
      <c r="O25" s="233">
        <f t="shared" si="14"/>
        <v>46277</v>
      </c>
      <c r="P25" s="233">
        <f t="shared" si="14"/>
        <v>46458</v>
      </c>
      <c r="Q25" s="233">
        <f t="shared" si="14"/>
        <v>46642</v>
      </c>
      <c r="R25" s="233">
        <f t="shared" si="3"/>
        <v>46824</v>
      </c>
      <c r="S25" s="233">
        <f t="shared" si="4"/>
        <v>47008</v>
      </c>
      <c r="T25" s="233">
        <f t="shared" si="5"/>
        <v>47189</v>
      </c>
      <c r="U25" s="233">
        <f t="shared" si="6"/>
        <v>47373</v>
      </c>
      <c r="V25" s="233">
        <f t="shared" si="7"/>
        <v>47554</v>
      </c>
      <c r="W25" s="233">
        <f t="shared" si="8"/>
        <v>47738</v>
      </c>
      <c r="X25" s="233">
        <f t="shared" si="9"/>
        <v>47919</v>
      </c>
      <c r="Y25" s="233">
        <f t="shared" si="10"/>
        <v>48103</v>
      </c>
      <c r="Z25" s="196">
        <f t="shared" si="13"/>
        <v>64200000</v>
      </c>
    </row>
    <row r="26" spans="1:26" x14ac:dyDescent="0.3">
      <c r="A26" s="164">
        <v>23</v>
      </c>
      <c r="B26" s="165" t="s">
        <v>428</v>
      </c>
      <c r="C26" s="189">
        <v>10200000</v>
      </c>
      <c r="D26" s="189"/>
      <c r="E26" s="164" t="s">
        <v>1021</v>
      </c>
      <c r="F26" s="233">
        <v>44837</v>
      </c>
      <c r="G26" s="233">
        <f t="shared" ref="G26:I40" si="15">EDATE(F26,6)</f>
        <v>45019</v>
      </c>
      <c r="H26" s="233">
        <f t="shared" si="15"/>
        <v>45202</v>
      </c>
      <c r="I26" s="233">
        <f>EDATE(H26,6)</f>
        <v>45385</v>
      </c>
      <c r="J26" s="233">
        <f t="shared" si="14"/>
        <v>45568</v>
      </c>
      <c r="K26" s="233">
        <f t="shared" si="14"/>
        <v>45750</v>
      </c>
      <c r="L26" s="233">
        <f t="shared" si="14"/>
        <v>45933</v>
      </c>
      <c r="M26" s="238">
        <f t="shared" si="14"/>
        <v>46115</v>
      </c>
      <c r="N26" s="233">
        <f t="shared" si="14"/>
        <v>46298</v>
      </c>
      <c r="O26" s="233">
        <f t="shared" si="14"/>
        <v>46480</v>
      </c>
      <c r="P26" s="233">
        <f t="shared" si="14"/>
        <v>46663</v>
      </c>
      <c r="Q26" s="233">
        <f t="shared" si="14"/>
        <v>46846</v>
      </c>
      <c r="R26" s="233">
        <f t="shared" si="3"/>
        <v>47029</v>
      </c>
      <c r="S26" s="233">
        <f t="shared" si="4"/>
        <v>47211</v>
      </c>
      <c r="T26" s="233">
        <f t="shared" si="5"/>
        <v>47394</v>
      </c>
      <c r="U26" s="233">
        <f t="shared" si="6"/>
        <v>47576</v>
      </c>
      <c r="V26" s="233">
        <f t="shared" si="7"/>
        <v>47759</v>
      </c>
      <c r="W26" s="233">
        <f t="shared" si="8"/>
        <v>47941</v>
      </c>
      <c r="X26" s="233">
        <f t="shared" si="9"/>
        <v>48124</v>
      </c>
      <c r="Y26" s="233">
        <f t="shared" si="10"/>
        <v>48307</v>
      </c>
      <c r="Z26" s="203">
        <f t="shared" si="13"/>
        <v>61200000</v>
      </c>
    </row>
    <row r="27" spans="1:26" x14ac:dyDescent="0.3">
      <c r="A27" s="164">
        <v>24</v>
      </c>
      <c r="B27" s="165" t="s">
        <v>434</v>
      </c>
      <c r="C27" s="189">
        <v>5700000</v>
      </c>
      <c r="D27" s="189"/>
      <c r="E27" s="164" t="s">
        <v>17</v>
      </c>
      <c r="F27" s="233">
        <v>44870</v>
      </c>
      <c r="G27" s="233">
        <f t="shared" si="15"/>
        <v>45051</v>
      </c>
      <c r="H27" s="233">
        <f t="shared" si="15"/>
        <v>45235</v>
      </c>
      <c r="I27" s="233">
        <f>EDATE(H27,6)</f>
        <v>45417</v>
      </c>
      <c r="J27" s="233">
        <f t="shared" si="14"/>
        <v>45601</v>
      </c>
      <c r="K27" s="233">
        <f t="shared" si="14"/>
        <v>45782</v>
      </c>
      <c r="L27" s="233">
        <f t="shared" si="14"/>
        <v>45966</v>
      </c>
      <c r="M27" s="233">
        <f t="shared" si="14"/>
        <v>46147</v>
      </c>
      <c r="N27" s="233">
        <f t="shared" si="14"/>
        <v>46331</v>
      </c>
      <c r="O27" s="233">
        <f t="shared" si="14"/>
        <v>46512</v>
      </c>
      <c r="P27" s="233">
        <f t="shared" si="14"/>
        <v>46696</v>
      </c>
      <c r="Q27" s="233">
        <f t="shared" si="14"/>
        <v>46878</v>
      </c>
      <c r="R27" s="233">
        <f t="shared" si="3"/>
        <v>47062</v>
      </c>
      <c r="S27" s="233">
        <f t="shared" si="4"/>
        <v>47243</v>
      </c>
      <c r="T27" s="233">
        <f t="shared" si="5"/>
        <v>47427</v>
      </c>
      <c r="U27" s="233">
        <f t="shared" si="6"/>
        <v>47608</v>
      </c>
      <c r="V27" s="233">
        <f t="shared" si="7"/>
        <v>47792</v>
      </c>
      <c r="W27" s="233">
        <f t="shared" si="8"/>
        <v>47973</v>
      </c>
      <c r="X27" s="233">
        <f t="shared" si="9"/>
        <v>48157</v>
      </c>
      <c r="Y27" s="233">
        <f t="shared" si="10"/>
        <v>48339</v>
      </c>
      <c r="Z27" s="203">
        <f t="shared" si="13"/>
        <v>34200000</v>
      </c>
    </row>
    <row r="28" spans="1:26" x14ac:dyDescent="0.3">
      <c r="A28" s="164">
        <v>25</v>
      </c>
      <c r="B28" s="217" t="s">
        <v>436</v>
      </c>
      <c r="C28" s="208">
        <v>12600000</v>
      </c>
      <c r="D28" s="208"/>
      <c r="E28" s="173" t="s">
        <v>17</v>
      </c>
      <c r="F28" s="234">
        <v>44852</v>
      </c>
      <c r="G28" s="234">
        <f t="shared" si="15"/>
        <v>45034</v>
      </c>
      <c r="H28" s="234">
        <f t="shared" si="15"/>
        <v>45217</v>
      </c>
      <c r="I28" s="234">
        <f>EDATE(H28,6)</f>
        <v>45400</v>
      </c>
      <c r="J28" s="234">
        <f t="shared" si="14"/>
        <v>45583</v>
      </c>
      <c r="K28" s="234">
        <f t="shared" si="14"/>
        <v>45765</v>
      </c>
      <c r="L28" s="233">
        <f t="shared" si="14"/>
        <v>45948</v>
      </c>
      <c r="M28" s="233">
        <f t="shared" si="14"/>
        <v>46130</v>
      </c>
      <c r="N28" s="233">
        <f t="shared" si="14"/>
        <v>46313</v>
      </c>
      <c r="O28" s="233">
        <f t="shared" si="14"/>
        <v>46495</v>
      </c>
      <c r="P28" s="233">
        <f t="shared" si="14"/>
        <v>46678</v>
      </c>
      <c r="Q28" s="233">
        <f t="shared" si="14"/>
        <v>46861</v>
      </c>
      <c r="R28" s="233">
        <f t="shared" si="3"/>
        <v>47044</v>
      </c>
      <c r="S28" s="233">
        <f t="shared" si="4"/>
        <v>47226</v>
      </c>
      <c r="T28" s="233">
        <f t="shared" si="5"/>
        <v>47409</v>
      </c>
      <c r="U28" s="233">
        <f t="shared" si="6"/>
        <v>47591</v>
      </c>
      <c r="V28" s="233">
        <f t="shared" si="7"/>
        <v>47774</v>
      </c>
      <c r="W28" s="233">
        <f t="shared" si="8"/>
        <v>47956</v>
      </c>
      <c r="X28" s="233">
        <f t="shared" si="9"/>
        <v>48139</v>
      </c>
      <c r="Y28" s="233">
        <f t="shared" si="10"/>
        <v>48322</v>
      </c>
      <c r="Z28" s="196">
        <f t="shared" si="13"/>
        <v>75600000</v>
      </c>
    </row>
    <row r="29" spans="1:26" x14ac:dyDescent="0.3">
      <c r="A29" s="164">
        <v>26</v>
      </c>
      <c r="B29" s="236" t="s">
        <v>343</v>
      </c>
      <c r="C29" s="189">
        <v>10000000</v>
      </c>
      <c r="D29" s="237" t="s">
        <v>1022</v>
      </c>
      <c r="E29" s="164" t="s">
        <v>1023</v>
      </c>
      <c r="F29" s="233">
        <v>44908</v>
      </c>
      <c r="G29" s="233">
        <f t="shared" si="15"/>
        <v>45090</v>
      </c>
      <c r="H29" s="233">
        <f t="shared" si="15"/>
        <v>45273</v>
      </c>
      <c r="I29" s="233">
        <f t="shared" si="15"/>
        <v>45456</v>
      </c>
      <c r="J29" s="233">
        <f t="shared" si="14"/>
        <v>45639</v>
      </c>
      <c r="K29" s="233">
        <f t="shared" si="14"/>
        <v>45821</v>
      </c>
      <c r="L29" s="238">
        <f t="shared" si="14"/>
        <v>46004</v>
      </c>
      <c r="M29" s="233">
        <f t="shared" si="14"/>
        <v>46186</v>
      </c>
      <c r="N29" s="233">
        <f t="shared" si="14"/>
        <v>46369</v>
      </c>
      <c r="O29" s="233">
        <f t="shared" si="14"/>
        <v>46551</v>
      </c>
      <c r="P29" s="233">
        <f t="shared" si="14"/>
        <v>46734</v>
      </c>
      <c r="Q29" s="233">
        <f t="shared" si="14"/>
        <v>46917</v>
      </c>
      <c r="R29" s="233">
        <f t="shared" si="3"/>
        <v>47100</v>
      </c>
      <c r="S29" s="233">
        <f t="shared" si="4"/>
        <v>47282</v>
      </c>
      <c r="T29" s="233">
        <f t="shared" si="5"/>
        <v>47465</v>
      </c>
      <c r="U29" s="233">
        <f t="shared" si="6"/>
        <v>47647</v>
      </c>
      <c r="V29" s="233">
        <f t="shared" si="7"/>
        <v>47830</v>
      </c>
      <c r="W29" s="233">
        <f t="shared" si="8"/>
        <v>48012</v>
      </c>
      <c r="X29" s="233">
        <f t="shared" si="9"/>
        <v>48195</v>
      </c>
      <c r="Y29" s="233">
        <f t="shared" si="10"/>
        <v>48378</v>
      </c>
      <c r="Z29" s="203">
        <f t="shared" si="13"/>
        <v>60000000</v>
      </c>
    </row>
    <row r="30" spans="1:26" x14ac:dyDescent="0.3">
      <c r="A30" s="164">
        <v>27</v>
      </c>
      <c r="B30" s="165" t="s">
        <v>457</v>
      </c>
      <c r="C30" s="189">
        <v>12000000</v>
      </c>
      <c r="D30" s="189"/>
      <c r="E30" s="164" t="s">
        <v>17</v>
      </c>
      <c r="F30" s="233">
        <v>44851</v>
      </c>
      <c r="G30" s="233">
        <f t="shared" si="15"/>
        <v>45033</v>
      </c>
      <c r="H30" s="233">
        <f t="shared" si="15"/>
        <v>45216</v>
      </c>
      <c r="I30" s="233">
        <f t="shared" si="15"/>
        <v>45399</v>
      </c>
      <c r="J30" s="233">
        <f t="shared" si="14"/>
        <v>45582</v>
      </c>
      <c r="K30" s="233">
        <f t="shared" si="14"/>
        <v>45764</v>
      </c>
      <c r="L30" s="233">
        <f t="shared" si="14"/>
        <v>45947</v>
      </c>
      <c r="M30" s="233">
        <f t="shared" si="14"/>
        <v>46129</v>
      </c>
      <c r="N30" s="233">
        <f t="shared" si="14"/>
        <v>46312</v>
      </c>
      <c r="O30" s="233">
        <f t="shared" si="14"/>
        <v>46494</v>
      </c>
      <c r="P30" s="233">
        <f t="shared" si="14"/>
        <v>46677</v>
      </c>
      <c r="Q30" s="233">
        <f t="shared" si="14"/>
        <v>46860</v>
      </c>
      <c r="R30" s="233">
        <f t="shared" si="3"/>
        <v>47043</v>
      </c>
      <c r="S30" s="233">
        <f t="shared" si="4"/>
        <v>47225</v>
      </c>
      <c r="T30" s="233">
        <f t="shared" si="5"/>
        <v>47408</v>
      </c>
      <c r="U30" s="233">
        <f t="shared" si="6"/>
        <v>47590</v>
      </c>
      <c r="V30" s="233">
        <f t="shared" si="7"/>
        <v>47773</v>
      </c>
      <c r="W30" s="233">
        <f t="shared" si="8"/>
        <v>47955</v>
      </c>
      <c r="X30" s="233">
        <f t="shared" si="9"/>
        <v>48138</v>
      </c>
      <c r="Y30" s="233">
        <f t="shared" si="10"/>
        <v>48321</v>
      </c>
      <c r="Z30" s="203">
        <f t="shared" si="13"/>
        <v>72000000</v>
      </c>
    </row>
    <row r="31" spans="1:26" x14ac:dyDescent="0.3">
      <c r="A31" s="164">
        <v>28</v>
      </c>
      <c r="B31" s="165" t="s">
        <v>463</v>
      </c>
      <c r="C31" s="189">
        <v>7900000</v>
      </c>
      <c r="D31" s="189"/>
      <c r="E31" s="164" t="s">
        <v>17</v>
      </c>
      <c r="F31" s="233">
        <v>44875</v>
      </c>
      <c r="G31" s="233">
        <f t="shared" si="15"/>
        <v>45056</v>
      </c>
      <c r="H31" s="233">
        <f t="shared" si="15"/>
        <v>45240</v>
      </c>
      <c r="I31" s="233">
        <f t="shared" si="15"/>
        <v>45422</v>
      </c>
      <c r="J31" s="233">
        <f t="shared" si="14"/>
        <v>45606</v>
      </c>
      <c r="K31" s="233">
        <f t="shared" si="14"/>
        <v>45787</v>
      </c>
      <c r="L31" s="233">
        <f t="shared" si="14"/>
        <v>45971</v>
      </c>
      <c r="M31" s="233">
        <f t="shared" si="14"/>
        <v>46152</v>
      </c>
      <c r="N31" s="233">
        <f t="shared" si="14"/>
        <v>46336</v>
      </c>
      <c r="O31" s="233">
        <f t="shared" si="14"/>
        <v>46517</v>
      </c>
      <c r="P31" s="233">
        <f t="shared" si="14"/>
        <v>46701</v>
      </c>
      <c r="Q31" s="233">
        <f t="shared" si="14"/>
        <v>46883</v>
      </c>
      <c r="R31" s="233">
        <f t="shared" si="3"/>
        <v>47067</v>
      </c>
      <c r="S31" s="233">
        <f t="shared" si="4"/>
        <v>47248</v>
      </c>
      <c r="T31" s="233">
        <f t="shared" si="5"/>
        <v>47432</v>
      </c>
      <c r="U31" s="233">
        <f t="shared" si="6"/>
        <v>47613</v>
      </c>
      <c r="V31" s="233">
        <f t="shared" si="7"/>
        <v>47797</v>
      </c>
      <c r="W31" s="233">
        <f t="shared" si="8"/>
        <v>47978</v>
      </c>
      <c r="X31" s="233">
        <f t="shared" si="9"/>
        <v>48162</v>
      </c>
      <c r="Y31" s="233">
        <f t="shared" si="10"/>
        <v>48344</v>
      </c>
      <c r="Z31" s="203">
        <f t="shared" si="13"/>
        <v>47400000</v>
      </c>
    </row>
    <row r="32" spans="1:26" x14ac:dyDescent="0.3">
      <c r="A32" s="164">
        <v>29</v>
      </c>
      <c r="B32" s="245" t="s">
        <v>469</v>
      </c>
      <c r="C32" s="208">
        <v>10600000</v>
      </c>
      <c r="D32" s="239" t="s">
        <v>1024</v>
      </c>
      <c r="E32" s="173" t="s">
        <v>1025</v>
      </c>
      <c r="F32" s="234">
        <v>44911</v>
      </c>
      <c r="G32" s="234">
        <f t="shared" si="15"/>
        <v>45093</v>
      </c>
      <c r="H32" s="234">
        <f t="shared" si="15"/>
        <v>45276</v>
      </c>
      <c r="I32" s="234">
        <f t="shared" si="15"/>
        <v>45459</v>
      </c>
      <c r="J32" s="234">
        <f t="shared" si="14"/>
        <v>45642</v>
      </c>
      <c r="K32" s="234">
        <f t="shared" si="14"/>
        <v>45824</v>
      </c>
      <c r="L32" s="238">
        <f t="shared" si="14"/>
        <v>46007</v>
      </c>
      <c r="M32" s="233">
        <f t="shared" si="14"/>
        <v>46189</v>
      </c>
      <c r="N32" s="233">
        <f t="shared" si="14"/>
        <v>46372</v>
      </c>
      <c r="O32" s="233">
        <f t="shared" si="14"/>
        <v>46554</v>
      </c>
      <c r="P32" s="233">
        <f t="shared" si="14"/>
        <v>46737</v>
      </c>
      <c r="Q32" s="233">
        <f t="shared" si="14"/>
        <v>46920</v>
      </c>
      <c r="R32" s="233">
        <f t="shared" si="3"/>
        <v>47103</v>
      </c>
      <c r="S32" s="233">
        <f t="shared" si="4"/>
        <v>47285</v>
      </c>
      <c r="T32" s="233">
        <f t="shared" si="5"/>
        <v>47468</v>
      </c>
      <c r="U32" s="233">
        <f t="shared" si="6"/>
        <v>47650</v>
      </c>
      <c r="V32" s="233">
        <f t="shared" si="7"/>
        <v>47833</v>
      </c>
      <c r="W32" s="233">
        <f t="shared" si="8"/>
        <v>48015</v>
      </c>
      <c r="X32" s="233">
        <f t="shared" si="9"/>
        <v>48198</v>
      </c>
      <c r="Y32" s="233">
        <f t="shared" si="10"/>
        <v>48381</v>
      </c>
      <c r="Z32" s="196">
        <f t="shared" si="13"/>
        <v>63600000</v>
      </c>
    </row>
    <row r="33" spans="1:26" x14ac:dyDescent="0.3">
      <c r="A33" s="164">
        <v>30</v>
      </c>
      <c r="B33" s="236" t="s">
        <v>475</v>
      </c>
      <c r="C33" s="189">
        <v>11000000</v>
      </c>
      <c r="D33" s="237" t="s">
        <v>1026</v>
      </c>
      <c r="E33" s="164" t="s">
        <v>17</v>
      </c>
      <c r="F33" s="233">
        <v>44907</v>
      </c>
      <c r="G33" s="233">
        <f t="shared" si="15"/>
        <v>45089</v>
      </c>
      <c r="H33" s="233">
        <f t="shared" si="15"/>
        <v>45272</v>
      </c>
      <c r="I33" s="233">
        <f t="shared" si="15"/>
        <v>45455</v>
      </c>
      <c r="J33" s="233">
        <f t="shared" si="14"/>
        <v>45638</v>
      </c>
      <c r="K33" s="233">
        <f t="shared" si="14"/>
        <v>45820</v>
      </c>
      <c r="L33" s="238">
        <f t="shared" si="14"/>
        <v>46003</v>
      </c>
      <c r="M33" s="233">
        <f t="shared" si="14"/>
        <v>46185</v>
      </c>
      <c r="N33" s="233">
        <f t="shared" si="14"/>
        <v>46368</v>
      </c>
      <c r="O33" s="233">
        <f t="shared" si="14"/>
        <v>46550</v>
      </c>
      <c r="P33" s="233">
        <f t="shared" si="14"/>
        <v>46733</v>
      </c>
      <c r="Q33" s="233">
        <f t="shared" si="14"/>
        <v>46916</v>
      </c>
      <c r="R33" s="233">
        <f t="shared" si="3"/>
        <v>47099</v>
      </c>
      <c r="S33" s="233">
        <f t="shared" si="4"/>
        <v>47281</v>
      </c>
      <c r="T33" s="233">
        <f t="shared" si="5"/>
        <v>47464</v>
      </c>
      <c r="U33" s="233">
        <f t="shared" si="6"/>
        <v>47646</v>
      </c>
      <c r="V33" s="233">
        <f t="shared" si="7"/>
        <v>47829</v>
      </c>
      <c r="W33" s="233">
        <f t="shared" si="8"/>
        <v>48011</v>
      </c>
      <c r="X33" s="233">
        <f t="shared" si="9"/>
        <v>48194</v>
      </c>
      <c r="Y33" s="233">
        <f t="shared" si="10"/>
        <v>48377</v>
      </c>
      <c r="Z33" s="203">
        <f t="shared" si="13"/>
        <v>66000000</v>
      </c>
    </row>
    <row r="34" spans="1:26" x14ac:dyDescent="0.3">
      <c r="A34" s="164">
        <v>31</v>
      </c>
      <c r="B34" s="165" t="s">
        <v>142</v>
      </c>
      <c r="C34" s="189">
        <v>11300000</v>
      </c>
      <c r="D34" s="189"/>
      <c r="E34" s="164" t="s">
        <v>17</v>
      </c>
      <c r="F34" s="233">
        <v>44870</v>
      </c>
      <c r="G34" s="233">
        <f t="shared" si="15"/>
        <v>45051</v>
      </c>
      <c r="H34" s="233">
        <f t="shared" si="15"/>
        <v>45235</v>
      </c>
      <c r="I34" s="233">
        <f t="shared" si="15"/>
        <v>45417</v>
      </c>
      <c r="J34" s="233">
        <f t="shared" si="14"/>
        <v>45601</v>
      </c>
      <c r="K34" s="233">
        <f t="shared" si="14"/>
        <v>45782</v>
      </c>
      <c r="L34" s="233">
        <f t="shared" si="14"/>
        <v>45966</v>
      </c>
      <c r="M34" s="233">
        <f t="shared" si="14"/>
        <v>46147</v>
      </c>
      <c r="N34" s="233">
        <f t="shared" si="14"/>
        <v>46331</v>
      </c>
      <c r="O34" s="233">
        <f t="shared" si="14"/>
        <v>46512</v>
      </c>
      <c r="P34" s="233">
        <f t="shared" si="14"/>
        <v>46696</v>
      </c>
      <c r="Q34" s="233">
        <f t="shared" si="14"/>
        <v>46878</v>
      </c>
      <c r="R34" s="233">
        <f t="shared" si="3"/>
        <v>47062</v>
      </c>
      <c r="S34" s="233">
        <f t="shared" si="4"/>
        <v>47243</v>
      </c>
      <c r="T34" s="233">
        <f t="shared" si="5"/>
        <v>47427</v>
      </c>
      <c r="U34" s="233">
        <f t="shared" si="6"/>
        <v>47608</v>
      </c>
      <c r="V34" s="233">
        <f t="shared" si="7"/>
        <v>47792</v>
      </c>
      <c r="W34" s="233">
        <f t="shared" si="8"/>
        <v>47973</v>
      </c>
      <c r="X34" s="233">
        <f t="shared" si="9"/>
        <v>48157</v>
      </c>
      <c r="Y34" s="233">
        <f t="shared" si="10"/>
        <v>48339</v>
      </c>
      <c r="Z34" s="203">
        <f t="shared" si="13"/>
        <v>67800000</v>
      </c>
    </row>
    <row r="35" spans="1:26" x14ac:dyDescent="0.3">
      <c r="A35" s="164">
        <v>32</v>
      </c>
      <c r="B35" s="236" t="s">
        <v>486</v>
      </c>
      <c r="C35" s="189">
        <v>11000000</v>
      </c>
      <c r="D35" s="237" t="s">
        <v>1027</v>
      </c>
      <c r="E35" s="164" t="s">
        <v>17</v>
      </c>
      <c r="F35" s="233">
        <v>44910</v>
      </c>
      <c r="G35" s="233">
        <f t="shared" si="15"/>
        <v>45092</v>
      </c>
      <c r="H35" s="233">
        <f t="shared" si="15"/>
        <v>45275</v>
      </c>
      <c r="I35" s="233">
        <f t="shared" si="15"/>
        <v>45458</v>
      </c>
      <c r="J35" s="233">
        <f t="shared" si="14"/>
        <v>45641</v>
      </c>
      <c r="K35" s="233">
        <f t="shared" si="14"/>
        <v>45823</v>
      </c>
      <c r="L35" s="238">
        <f t="shared" si="14"/>
        <v>46006</v>
      </c>
      <c r="M35" s="233">
        <f t="shared" si="14"/>
        <v>46188</v>
      </c>
      <c r="N35" s="233">
        <f t="shared" si="14"/>
        <v>46371</v>
      </c>
      <c r="O35" s="233">
        <f t="shared" si="14"/>
        <v>46553</v>
      </c>
      <c r="P35" s="233">
        <f t="shared" si="14"/>
        <v>46736</v>
      </c>
      <c r="Q35" s="233">
        <f t="shared" si="14"/>
        <v>46919</v>
      </c>
      <c r="R35" s="233">
        <f t="shared" si="3"/>
        <v>47102</v>
      </c>
      <c r="S35" s="233">
        <f t="shared" si="4"/>
        <v>47284</v>
      </c>
      <c r="T35" s="233">
        <f t="shared" si="5"/>
        <v>47467</v>
      </c>
      <c r="U35" s="233">
        <f t="shared" si="6"/>
        <v>47649</v>
      </c>
      <c r="V35" s="233">
        <f t="shared" si="7"/>
        <v>47832</v>
      </c>
      <c r="W35" s="233">
        <f t="shared" si="8"/>
        <v>48014</v>
      </c>
      <c r="X35" s="233">
        <f t="shared" si="9"/>
        <v>48197</v>
      </c>
      <c r="Y35" s="233">
        <f t="shared" si="10"/>
        <v>48380</v>
      </c>
      <c r="Z35" s="203">
        <f t="shared" si="13"/>
        <v>66000000</v>
      </c>
    </row>
    <row r="36" spans="1:26" x14ac:dyDescent="0.3">
      <c r="A36" s="164">
        <v>33</v>
      </c>
      <c r="B36" s="245" t="s">
        <v>501</v>
      </c>
      <c r="C36" s="208">
        <v>11700000</v>
      </c>
      <c r="D36" s="239" t="s">
        <v>1028</v>
      </c>
      <c r="E36" s="173" t="s">
        <v>1023</v>
      </c>
      <c r="F36" s="234">
        <v>44908</v>
      </c>
      <c r="G36" s="234">
        <f t="shared" si="15"/>
        <v>45090</v>
      </c>
      <c r="H36" s="234">
        <f t="shared" si="15"/>
        <v>45273</v>
      </c>
      <c r="I36" s="234">
        <f t="shared" si="15"/>
        <v>45456</v>
      </c>
      <c r="J36" s="234">
        <f t="shared" si="14"/>
        <v>45639</v>
      </c>
      <c r="K36" s="234">
        <f t="shared" si="14"/>
        <v>45821</v>
      </c>
      <c r="L36" s="238">
        <f t="shared" si="14"/>
        <v>46004</v>
      </c>
      <c r="M36" s="233">
        <f t="shared" si="14"/>
        <v>46186</v>
      </c>
      <c r="N36" s="233">
        <f t="shared" si="14"/>
        <v>46369</v>
      </c>
      <c r="O36" s="233">
        <f t="shared" si="14"/>
        <v>46551</v>
      </c>
      <c r="P36" s="233">
        <f t="shared" si="14"/>
        <v>46734</v>
      </c>
      <c r="Q36" s="233">
        <f t="shared" si="14"/>
        <v>46917</v>
      </c>
      <c r="R36" s="233">
        <f t="shared" si="3"/>
        <v>47100</v>
      </c>
      <c r="S36" s="233">
        <f t="shared" si="4"/>
        <v>47282</v>
      </c>
      <c r="T36" s="233">
        <f t="shared" si="5"/>
        <v>47465</v>
      </c>
      <c r="U36" s="233">
        <f t="shared" si="6"/>
        <v>47647</v>
      </c>
      <c r="V36" s="233">
        <f t="shared" si="7"/>
        <v>47830</v>
      </c>
      <c r="W36" s="233">
        <f t="shared" si="8"/>
        <v>48012</v>
      </c>
      <c r="X36" s="233">
        <f t="shared" si="9"/>
        <v>48195</v>
      </c>
      <c r="Y36" s="233">
        <f t="shared" si="10"/>
        <v>48378</v>
      </c>
      <c r="Z36" s="196">
        <f t="shared" si="13"/>
        <v>70200000</v>
      </c>
    </row>
    <row r="37" spans="1:26" x14ac:dyDescent="0.3">
      <c r="A37" s="164">
        <v>34</v>
      </c>
      <c r="B37" s="236" t="s">
        <v>500</v>
      </c>
      <c r="C37" s="189">
        <v>12600000</v>
      </c>
      <c r="D37" s="239" t="s">
        <v>1029</v>
      </c>
      <c r="E37" s="164" t="s">
        <v>1030</v>
      </c>
      <c r="F37" s="233">
        <v>44909</v>
      </c>
      <c r="G37" s="233">
        <f t="shared" si="15"/>
        <v>45091</v>
      </c>
      <c r="H37" s="233">
        <f t="shared" si="15"/>
        <v>45274</v>
      </c>
      <c r="I37" s="233">
        <f t="shared" si="15"/>
        <v>45457</v>
      </c>
      <c r="J37" s="233">
        <f t="shared" si="14"/>
        <v>45640</v>
      </c>
      <c r="K37" s="233">
        <f t="shared" si="14"/>
        <v>45822</v>
      </c>
      <c r="L37" s="238">
        <f t="shared" si="14"/>
        <v>46005</v>
      </c>
      <c r="M37" s="233">
        <f t="shared" si="14"/>
        <v>46187</v>
      </c>
      <c r="N37" s="233">
        <f t="shared" si="14"/>
        <v>46370</v>
      </c>
      <c r="O37" s="233">
        <f t="shared" si="14"/>
        <v>46552</v>
      </c>
      <c r="P37" s="233">
        <f t="shared" si="14"/>
        <v>46735</v>
      </c>
      <c r="Q37" s="233">
        <f t="shared" si="14"/>
        <v>46918</v>
      </c>
      <c r="R37" s="233">
        <f t="shared" si="3"/>
        <v>47101</v>
      </c>
      <c r="S37" s="233">
        <f t="shared" si="4"/>
        <v>47283</v>
      </c>
      <c r="T37" s="233">
        <f t="shared" si="5"/>
        <v>47466</v>
      </c>
      <c r="U37" s="233">
        <f t="shared" si="6"/>
        <v>47648</v>
      </c>
      <c r="V37" s="233">
        <f t="shared" si="7"/>
        <v>47831</v>
      </c>
      <c r="W37" s="233">
        <f t="shared" si="8"/>
        <v>48013</v>
      </c>
      <c r="X37" s="233">
        <f t="shared" si="9"/>
        <v>48196</v>
      </c>
      <c r="Y37" s="233">
        <f t="shared" si="10"/>
        <v>48379</v>
      </c>
      <c r="Z37" s="203">
        <f t="shared" si="13"/>
        <v>75600000</v>
      </c>
    </row>
    <row r="38" spans="1:26" x14ac:dyDescent="0.3">
      <c r="A38" s="164">
        <v>35</v>
      </c>
      <c r="B38" s="212" t="s">
        <v>1031</v>
      </c>
      <c r="C38" s="189">
        <v>8030000</v>
      </c>
      <c r="D38" s="189"/>
      <c r="E38" s="164" t="s">
        <v>1032</v>
      </c>
      <c r="F38" s="233">
        <v>44748</v>
      </c>
      <c r="G38" s="233">
        <f t="shared" si="15"/>
        <v>44932</v>
      </c>
      <c r="H38" s="233">
        <f t="shared" si="15"/>
        <v>45113</v>
      </c>
      <c r="I38" s="233">
        <f t="shared" si="15"/>
        <v>45297</v>
      </c>
      <c r="J38" s="233">
        <f>EDATE(I38,6)</f>
        <v>45479</v>
      </c>
      <c r="K38" s="233">
        <f t="shared" si="14"/>
        <v>45663</v>
      </c>
      <c r="L38" s="233">
        <f>EDATE(K38,6)</f>
        <v>45844</v>
      </c>
      <c r="M38" s="238">
        <f t="shared" si="14"/>
        <v>46028</v>
      </c>
      <c r="N38" s="233">
        <f t="shared" si="14"/>
        <v>46209</v>
      </c>
      <c r="O38" s="233">
        <f t="shared" si="14"/>
        <v>46393</v>
      </c>
      <c r="P38" s="233">
        <f t="shared" si="14"/>
        <v>46574</v>
      </c>
      <c r="Q38" s="233">
        <f t="shared" si="14"/>
        <v>46758</v>
      </c>
      <c r="R38" s="233">
        <f t="shared" si="3"/>
        <v>46940</v>
      </c>
      <c r="S38" s="233">
        <f t="shared" si="4"/>
        <v>47124</v>
      </c>
      <c r="T38" s="233">
        <f t="shared" si="5"/>
        <v>47305</v>
      </c>
      <c r="U38" s="233">
        <f t="shared" si="6"/>
        <v>47489</v>
      </c>
      <c r="V38" s="233">
        <f t="shared" si="7"/>
        <v>47670</v>
      </c>
      <c r="W38" s="233">
        <f t="shared" si="8"/>
        <v>47854</v>
      </c>
      <c r="X38" s="233">
        <f t="shared" si="9"/>
        <v>48035</v>
      </c>
      <c r="Y38" s="233">
        <f t="shared" si="10"/>
        <v>48219</v>
      </c>
      <c r="Z38" s="203">
        <f t="shared" si="13"/>
        <v>48180000</v>
      </c>
    </row>
    <row r="39" spans="1:26" x14ac:dyDescent="0.3">
      <c r="A39" s="164">
        <v>36</v>
      </c>
      <c r="B39" s="165" t="s">
        <v>649</v>
      </c>
      <c r="C39" s="189">
        <v>8000000</v>
      </c>
      <c r="D39" s="189"/>
      <c r="E39" s="164" t="s">
        <v>17</v>
      </c>
      <c r="F39" s="233">
        <v>44938</v>
      </c>
      <c r="G39" s="233">
        <f t="shared" si="15"/>
        <v>45119</v>
      </c>
      <c r="H39" s="233">
        <f t="shared" si="15"/>
        <v>45303</v>
      </c>
      <c r="I39" s="233">
        <f t="shared" si="15"/>
        <v>45485</v>
      </c>
      <c r="J39" s="233">
        <f t="shared" si="14"/>
        <v>45669</v>
      </c>
      <c r="K39" s="233">
        <f t="shared" si="14"/>
        <v>45850</v>
      </c>
      <c r="L39" s="233">
        <f t="shared" si="14"/>
        <v>46034</v>
      </c>
      <c r="M39" s="233">
        <f t="shared" si="14"/>
        <v>46215</v>
      </c>
      <c r="N39" s="233">
        <f t="shared" si="14"/>
        <v>46399</v>
      </c>
      <c r="O39" s="233">
        <f t="shared" si="14"/>
        <v>46580</v>
      </c>
      <c r="P39" s="233">
        <f t="shared" si="14"/>
        <v>46764</v>
      </c>
      <c r="Q39" s="233">
        <f t="shared" si="14"/>
        <v>46946</v>
      </c>
      <c r="R39" s="233">
        <f t="shared" si="3"/>
        <v>47130</v>
      </c>
      <c r="S39" s="233">
        <f t="shared" si="4"/>
        <v>47311</v>
      </c>
      <c r="T39" s="233">
        <f t="shared" si="5"/>
        <v>47495</v>
      </c>
      <c r="U39" s="233">
        <f t="shared" si="6"/>
        <v>47676</v>
      </c>
      <c r="V39" s="233">
        <f t="shared" si="7"/>
        <v>47860</v>
      </c>
      <c r="W39" s="233">
        <f t="shared" si="8"/>
        <v>48041</v>
      </c>
      <c r="X39" s="233">
        <f t="shared" si="9"/>
        <v>48225</v>
      </c>
      <c r="Y39" s="233">
        <f t="shared" si="10"/>
        <v>48407</v>
      </c>
      <c r="Z39" s="203">
        <f t="shared" si="13"/>
        <v>48000000</v>
      </c>
    </row>
    <row r="40" spans="1:26" x14ac:dyDescent="0.3">
      <c r="A40" s="164">
        <v>37</v>
      </c>
      <c r="B40" s="165" t="s">
        <v>492</v>
      </c>
      <c r="C40" s="189">
        <v>8000000</v>
      </c>
      <c r="D40" s="189"/>
      <c r="E40" s="164" t="s">
        <v>1033</v>
      </c>
      <c r="F40" s="233">
        <v>44940</v>
      </c>
      <c r="G40" s="233">
        <f t="shared" si="15"/>
        <v>45121</v>
      </c>
      <c r="H40" s="233">
        <f t="shared" si="15"/>
        <v>45305</v>
      </c>
      <c r="I40" s="233">
        <f t="shared" si="15"/>
        <v>45487</v>
      </c>
      <c r="J40" s="233">
        <f t="shared" si="14"/>
        <v>45671</v>
      </c>
      <c r="K40" s="233">
        <f t="shared" si="14"/>
        <v>45852</v>
      </c>
      <c r="L40" s="233">
        <f t="shared" si="14"/>
        <v>46036</v>
      </c>
      <c r="M40" s="233">
        <f t="shared" si="14"/>
        <v>46217</v>
      </c>
      <c r="N40" s="233">
        <f t="shared" si="14"/>
        <v>46401</v>
      </c>
      <c r="O40" s="233">
        <f t="shared" si="14"/>
        <v>46582</v>
      </c>
      <c r="P40" s="233">
        <f t="shared" si="14"/>
        <v>46766</v>
      </c>
      <c r="Q40" s="233">
        <f t="shared" si="14"/>
        <v>46948</v>
      </c>
      <c r="R40" s="233">
        <f t="shared" si="3"/>
        <v>47132</v>
      </c>
      <c r="S40" s="233">
        <f t="shared" si="4"/>
        <v>47313</v>
      </c>
      <c r="T40" s="233">
        <f t="shared" si="5"/>
        <v>47497</v>
      </c>
      <c r="U40" s="233">
        <f t="shared" si="6"/>
        <v>47678</v>
      </c>
      <c r="V40" s="233">
        <f t="shared" si="7"/>
        <v>47862</v>
      </c>
      <c r="W40" s="233">
        <f t="shared" si="8"/>
        <v>48043</v>
      </c>
      <c r="X40" s="233">
        <f t="shared" si="9"/>
        <v>48227</v>
      </c>
      <c r="Y40" s="233">
        <f t="shared" si="10"/>
        <v>48409</v>
      </c>
      <c r="Z40" s="203">
        <f t="shared" si="13"/>
        <v>48000000</v>
      </c>
    </row>
    <row r="41" spans="1:26" x14ac:dyDescent="0.3">
      <c r="A41" s="164">
        <v>38</v>
      </c>
      <c r="B41" s="241" t="s">
        <v>1152</v>
      </c>
      <c r="C41" s="208">
        <v>10700000</v>
      </c>
      <c r="D41" s="208"/>
      <c r="E41" s="173" t="s">
        <v>1034</v>
      </c>
      <c r="F41" s="234" t="s">
        <v>969</v>
      </c>
      <c r="G41" s="234" t="s">
        <v>969</v>
      </c>
      <c r="H41" s="234" t="s">
        <v>969</v>
      </c>
      <c r="I41" s="234">
        <v>45061</v>
      </c>
      <c r="J41" s="234">
        <v>45245</v>
      </c>
      <c r="K41" s="234">
        <f t="shared" si="14"/>
        <v>45427</v>
      </c>
      <c r="L41" s="234">
        <f t="shared" si="14"/>
        <v>45611</v>
      </c>
      <c r="M41" s="234">
        <f t="shared" si="14"/>
        <v>45792</v>
      </c>
      <c r="N41" s="234">
        <f t="shared" si="14"/>
        <v>45976</v>
      </c>
      <c r="O41" s="233">
        <f t="shared" si="14"/>
        <v>46157</v>
      </c>
      <c r="P41" s="233">
        <f t="shared" si="14"/>
        <v>46341</v>
      </c>
      <c r="Q41" s="233">
        <f t="shared" si="14"/>
        <v>46522</v>
      </c>
      <c r="R41" s="233">
        <f t="shared" si="3"/>
        <v>46706</v>
      </c>
      <c r="S41" s="233">
        <f t="shared" si="4"/>
        <v>46888</v>
      </c>
      <c r="T41" s="233">
        <f t="shared" si="5"/>
        <v>47072</v>
      </c>
      <c r="U41" s="233">
        <f t="shared" si="6"/>
        <v>47253</v>
      </c>
      <c r="V41" s="233">
        <f t="shared" si="7"/>
        <v>47437</v>
      </c>
      <c r="W41" s="233">
        <f t="shared" si="8"/>
        <v>47618</v>
      </c>
      <c r="X41" s="233">
        <f t="shared" si="9"/>
        <v>47802</v>
      </c>
      <c r="Y41" s="233">
        <f t="shared" si="10"/>
        <v>47983</v>
      </c>
      <c r="Z41" s="196">
        <f t="shared" si="13"/>
        <v>64200000</v>
      </c>
    </row>
    <row r="42" spans="1:26" x14ac:dyDescent="0.3">
      <c r="A42" s="164">
        <v>39</v>
      </c>
      <c r="B42" s="165" t="s">
        <v>549</v>
      </c>
      <c r="C42" s="189">
        <v>11400000</v>
      </c>
      <c r="D42" s="189"/>
      <c r="E42" s="164" t="s">
        <v>1020</v>
      </c>
      <c r="F42" s="233">
        <v>45074</v>
      </c>
      <c r="G42" s="233">
        <f>EDATE(F42,3)</f>
        <v>45166</v>
      </c>
      <c r="H42" s="233">
        <f>EDATE(G42,3)</f>
        <v>45258</v>
      </c>
      <c r="I42" s="233">
        <f>EDATE(H42,6)</f>
        <v>45440</v>
      </c>
      <c r="J42" s="233">
        <f t="shared" ref="J42:N42" si="16">EDATE(I42,6)</f>
        <v>45624</v>
      </c>
      <c r="K42" s="234">
        <f t="shared" si="16"/>
        <v>45805</v>
      </c>
      <c r="L42" s="233">
        <f t="shared" si="16"/>
        <v>45989</v>
      </c>
      <c r="M42" s="233">
        <f t="shared" si="16"/>
        <v>46170</v>
      </c>
      <c r="N42" s="233">
        <f t="shared" si="16"/>
        <v>46354</v>
      </c>
      <c r="O42" s="233">
        <f t="shared" si="14"/>
        <v>46535</v>
      </c>
      <c r="P42" s="233">
        <f t="shared" si="14"/>
        <v>46719</v>
      </c>
      <c r="Q42" s="233">
        <f t="shared" si="14"/>
        <v>46901</v>
      </c>
      <c r="R42" s="233">
        <f t="shared" si="3"/>
        <v>47085</v>
      </c>
      <c r="S42" s="233">
        <f t="shared" si="4"/>
        <v>47266</v>
      </c>
      <c r="T42" s="233">
        <f t="shared" si="5"/>
        <v>47450</v>
      </c>
      <c r="U42" s="233">
        <f t="shared" si="6"/>
        <v>47631</v>
      </c>
      <c r="V42" s="233">
        <f t="shared" si="7"/>
        <v>47815</v>
      </c>
      <c r="W42" s="233">
        <f t="shared" si="8"/>
        <v>47996</v>
      </c>
      <c r="X42" s="233">
        <f t="shared" si="9"/>
        <v>48180</v>
      </c>
      <c r="Y42" s="233">
        <f t="shared" si="10"/>
        <v>48362</v>
      </c>
      <c r="Z42" s="203">
        <f t="shared" si="13"/>
        <v>68400000</v>
      </c>
    </row>
    <row r="43" spans="1:26" x14ac:dyDescent="0.3">
      <c r="A43" s="164">
        <v>40</v>
      </c>
      <c r="B43" s="245" t="s">
        <v>558</v>
      </c>
      <c r="C43" s="208">
        <v>11000000</v>
      </c>
      <c r="D43" s="239" t="s">
        <v>1035</v>
      </c>
      <c r="E43" s="173" t="s">
        <v>1020</v>
      </c>
      <c r="F43" s="234">
        <v>45095</v>
      </c>
      <c r="G43" s="234">
        <f>EDATE(F43,3)</f>
        <v>45187</v>
      </c>
      <c r="H43" s="234">
        <f>EDATE(G43,3)</f>
        <v>45278</v>
      </c>
      <c r="I43" s="234">
        <f>EDATE(H43,6)</f>
        <v>45461</v>
      </c>
      <c r="J43" s="234">
        <f>EDATE(I43,6)</f>
        <v>45644</v>
      </c>
      <c r="K43" s="234">
        <f>EDATE(J43,6)</f>
        <v>45826</v>
      </c>
      <c r="L43" s="238">
        <f t="shared" si="14"/>
        <v>46009</v>
      </c>
      <c r="M43" s="233">
        <f t="shared" si="14"/>
        <v>46191</v>
      </c>
      <c r="N43" s="233">
        <f t="shared" si="14"/>
        <v>46374</v>
      </c>
      <c r="O43" s="233">
        <f t="shared" si="14"/>
        <v>46556</v>
      </c>
      <c r="P43" s="233">
        <f t="shared" si="14"/>
        <v>46739</v>
      </c>
      <c r="Q43" s="233">
        <f t="shared" si="14"/>
        <v>46922</v>
      </c>
      <c r="R43" s="233">
        <f t="shared" si="3"/>
        <v>47105</v>
      </c>
      <c r="S43" s="233">
        <f t="shared" si="4"/>
        <v>47287</v>
      </c>
      <c r="T43" s="233">
        <f t="shared" si="5"/>
        <v>47470</v>
      </c>
      <c r="U43" s="233">
        <f t="shared" si="6"/>
        <v>47652</v>
      </c>
      <c r="V43" s="233">
        <f t="shared" si="7"/>
        <v>47835</v>
      </c>
      <c r="W43" s="233">
        <f t="shared" si="8"/>
        <v>48017</v>
      </c>
      <c r="X43" s="233">
        <f t="shared" si="9"/>
        <v>48200</v>
      </c>
      <c r="Y43" s="233">
        <f t="shared" si="10"/>
        <v>48383</v>
      </c>
      <c r="Z43" s="196">
        <f t="shared" si="13"/>
        <v>66000000</v>
      </c>
    </row>
    <row r="44" spans="1:26" x14ac:dyDescent="0.3">
      <c r="A44" s="164">
        <v>41</v>
      </c>
      <c r="B44" s="235" t="s">
        <v>565</v>
      </c>
      <c r="C44" s="189">
        <v>6500000</v>
      </c>
      <c r="D44" s="189"/>
      <c r="E44" s="164" t="s">
        <v>1020</v>
      </c>
      <c r="F44" s="233">
        <v>45073</v>
      </c>
      <c r="G44" s="233">
        <f>EDATE(F44,3)</f>
        <v>45165</v>
      </c>
      <c r="H44" s="233">
        <f t="shared" ref="H44" si="17">EDATE(G44,3)</f>
        <v>45257</v>
      </c>
      <c r="I44" s="233">
        <f>EDATE(H44,6)</f>
        <v>45439</v>
      </c>
      <c r="J44" s="233">
        <f t="shared" ref="J44:N48" si="18">EDATE(I44,6)</f>
        <v>45623</v>
      </c>
      <c r="K44" s="234">
        <f t="shared" si="18"/>
        <v>45804</v>
      </c>
      <c r="L44" s="233">
        <f t="shared" si="18"/>
        <v>45988</v>
      </c>
      <c r="M44" s="233">
        <f t="shared" si="18"/>
        <v>46169</v>
      </c>
      <c r="N44" s="233">
        <f t="shared" si="18"/>
        <v>46353</v>
      </c>
      <c r="O44" s="233">
        <f t="shared" si="14"/>
        <v>46534</v>
      </c>
      <c r="P44" s="233">
        <f t="shared" si="14"/>
        <v>46718</v>
      </c>
      <c r="Q44" s="233">
        <f t="shared" si="14"/>
        <v>46900</v>
      </c>
      <c r="R44" s="233">
        <f t="shared" si="3"/>
        <v>47084</v>
      </c>
      <c r="S44" s="233">
        <f t="shared" si="4"/>
        <v>47265</v>
      </c>
      <c r="T44" s="233">
        <f t="shared" si="5"/>
        <v>47449</v>
      </c>
      <c r="U44" s="233">
        <f t="shared" si="6"/>
        <v>47630</v>
      </c>
      <c r="V44" s="233">
        <f t="shared" si="7"/>
        <v>47814</v>
      </c>
      <c r="W44" s="233">
        <f t="shared" si="8"/>
        <v>47995</v>
      </c>
      <c r="X44" s="233">
        <f t="shared" si="9"/>
        <v>48179</v>
      </c>
      <c r="Y44" s="233">
        <f t="shared" si="10"/>
        <v>48361</v>
      </c>
      <c r="Z44" s="203">
        <f t="shared" si="13"/>
        <v>39000000</v>
      </c>
    </row>
    <row r="45" spans="1:26" x14ac:dyDescent="0.3">
      <c r="A45" s="164">
        <v>42</v>
      </c>
      <c r="B45" s="165" t="s">
        <v>577</v>
      </c>
      <c r="C45" s="189">
        <v>11200000</v>
      </c>
      <c r="D45" s="189"/>
      <c r="E45" s="164" t="s">
        <v>1036</v>
      </c>
      <c r="F45" s="233">
        <v>45128</v>
      </c>
      <c r="G45" s="233">
        <f t="shared" ref="G45:N49" si="19">EDATE(F45,6)</f>
        <v>45312</v>
      </c>
      <c r="H45" s="233">
        <f t="shared" si="19"/>
        <v>45494</v>
      </c>
      <c r="I45" s="233">
        <f t="shared" si="19"/>
        <v>45678</v>
      </c>
      <c r="J45" s="233">
        <f t="shared" si="18"/>
        <v>45859</v>
      </c>
      <c r="K45" s="233">
        <f t="shared" si="18"/>
        <v>46043</v>
      </c>
      <c r="L45" s="233">
        <f t="shared" si="18"/>
        <v>46224</v>
      </c>
      <c r="M45" s="233">
        <f t="shared" si="18"/>
        <v>46408</v>
      </c>
      <c r="N45" s="233">
        <f t="shared" si="18"/>
        <v>46589</v>
      </c>
      <c r="O45" s="233">
        <f t="shared" si="14"/>
        <v>46773</v>
      </c>
      <c r="P45" s="233">
        <f t="shared" si="14"/>
        <v>46955</v>
      </c>
      <c r="Q45" s="233">
        <f t="shared" si="14"/>
        <v>47139</v>
      </c>
      <c r="R45" s="233">
        <f t="shared" si="3"/>
        <v>47320</v>
      </c>
      <c r="S45" s="233">
        <f t="shared" si="4"/>
        <v>47504</v>
      </c>
      <c r="T45" s="233">
        <f t="shared" si="5"/>
        <v>47685</v>
      </c>
      <c r="U45" s="233">
        <f t="shared" si="6"/>
        <v>47869</v>
      </c>
      <c r="V45" s="233">
        <f t="shared" si="7"/>
        <v>48050</v>
      </c>
      <c r="W45" s="233">
        <f t="shared" si="8"/>
        <v>48234</v>
      </c>
      <c r="X45" s="233">
        <f t="shared" si="9"/>
        <v>48416</v>
      </c>
      <c r="Y45" s="233">
        <f t="shared" si="10"/>
        <v>48600</v>
      </c>
      <c r="Z45" s="203">
        <f t="shared" si="13"/>
        <v>67200000</v>
      </c>
    </row>
    <row r="46" spans="1:26" x14ac:dyDescent="0.3">
      <c r="A46" s="164">
        <v>43</v>
      </c>
      <c r="B46" s="165" t="s">
        <v>580</v>
      </c>
      <c r="C46" s="189">
        <v>10100000</v>
      </c>
      <c r="D46" s="189"/>
      <c r="E46" s="164" t="s">
        <v>1037</v>
      </c>
      <c r="F46" s="233">
        <v>45163</v>
      </c>
      <c r="G46" s="233">
        <f>EDATE(F46,6)</f>
        <v>45347</v>
      </c>
      <c r="H46" s="233">
        <f t="shared" si="19"/>
        <v>45529</v>
      </c>
      <c r="I46" s="233">
        <f t="shared" si="19"/>
        <v>45713</v>
      </c>
      <c r="J46" s="233">
        <f t="shared" si="18"/>
        <v>45894</v>
      </c>
      <c r="K46" s="233">
        <f t="shared" si="18"/>
        <v>46078</v>
      </c>
      <c r="L46" s="233">
        <f t="shared" si="18"/>
        <v>46259</v>
      </c>
      <c r="M46" s="233">
        <f t="shared" si="18"/>
        <v>46443</v>
      </c>
      <c r="N46" s="233">
        <f t="shared" si="18"/>
        <v>46624</v>
      </c>
      <c r="O46" s="233">
        <f t="shared" si="14"/>
        <v>46808</v>
      </c>
      <c r="P46" s="233">
        <f t="shared" si="14"/>
        <v>46990</v>
      </c>
      <c r="Q46" s="233">
        <f t="shared" si="14"/>
        <v>47174</v>
      </c>
      <c r="R46" s="233">
        <f t="shared" si="3"/>
        <v>47355</v>
      </c>
      <c r="S46" s="233">
        <f t="shared" si="4"/>
        <v>47539</v>
      </c>
      <c r="T46" s="233">
        <f t="shared" si="5"/>
        <v>47720</v>
      </c>
      <c r="U46" s="233">
        <f t="shared" si="6"/>
        <v>47904</v>
      </c>
      <c r="V46" s="233">
        <f t="shared" si="7"/>
        <v>48085</v>
      </c>
      <c r="W46" s="233">
        <f t="shared" si="8"/>
        <v>48269</v>
      </c>
      <c r="X46" s="233">
        <f t="shared" si="9"/>
        <v>48451</v>
      </c>
      <c r="Y46" s="233">
        <f t="shared" si="10"/>
        <v>48635</v>
      </c>
      <c r="Z46" s="203">
        <f t="shared" si="13"/>
        <v>60600000</v>
      </c>
    </row>
    <row r="47" spans="1:26" x14ac:dyDescent="0.3">
      <c r="A47" s="164">
        <v>44</v>
      </c>
      <c r="B47" s="165" t="s">
        <v>579</v>
      </c>
      <c r="C47" s="189">
        <v>7000000</v>
      </c>
      <c r="D47" s="189"/>
      <c r="E47" s="164" t="s">
        <v>1038</v>
      </c>
      <c r="F47" s="233">
        <v>45121</v>
      </c>
      <c r="G47" s="233">
        <f t="shared" si="19"/>
        <v>45305</v>
      </c>
      <c r="H47" s="233">
        <f t="shared" si="19"/>
        <v>45487</v>
      </c>
      <c r="I47" s="233">
        <f t="shared" si="19"/>
        <v>45671</v>
      </c>
      <c r="J47" s="233">
        <f t="shared" si="18"/>
        <v>45852</v>
      </c>
      <c r="K47" s="233">
        <f t="shared" si="18"/>
        <v>46036</v>
      </c>
      <c r="L47" s="233">
        <f t="shared" si="18"/>
        <v>46217</v>
      </c>
      <c r="M47" s="233">
        <f t="shared" si="18"/>
        <v>46401</v>
      </c>
      <c r="N47" s="233">
        <f t="shared" si="18"/>
        <v>46582</v>
      </c>
      <c r="O47" s="233">
        <f t="shared" si="14"/>
        <v>46766</v>
      </c>
      <c r="P47" s="233">
        <f t="shared" si="14"/>
        <v>46948</v>
      </c>
      <c r="Q47" s="233">
        <f t="shared" si="14"/>
        <v>47132</v>
      </c>
      <c r="R47" s="233">
        <f t="shared" si="3"/>
        <v>47313</v>
      </c>
      <c r="S47" s="233">
        <f t="shared" si="4"/>
        <v>47497</v>
      </c>
      <c r="T47" s="233">
        <f t="shared" si="5"/>
        <v>47678</v>
      </c>
      <c r="U47" s="233">
        <f t="shared" si="6"/>
        <v>47862</v>
      </c>
      <c r="V47" s="233">
        <f t="shared" si="7"/>
        <v>48043</v>
      </c>
      <c r="W47" s="233">
        <f t="shared" si="8"/>
        <v>48227</v>
      </c>
      <c r="X47" s="233">
        <f t="shared" si="9"/>
        <v>48409</v>
      </c>
      <c r="Y47" s="233">
        <f t="shared" si="10"/>
        <v>48593</v>
      </c>
      <c r="Z47" s="203">
        <f t="shared" si="13"/>
        <v>42000000</v>
      </c>
    </row>
    <row r="48" spans="1:26" x14ac:dyDescent="0.3">
      <c r="A48" s="164">
        <v>45</v>
      </c>
      <c r="B48" s="165" t="s">
        <v>578</v>
      </c>
      <c r="C48" s="189">
        <v>7000000</v>
      </c>
      <c r="D48" s="189"/>
      <c r="E48" s="164" t="s">
        <v>1038</v>
      </c>
      <c r="F48" s="233">
        <v>45121</v>
      </c>
      <c r="G48" s="233">
        <f t="shared" si="19"/>
        <v>45305</v>
      </c>
      <c r="H48" s="233">
        <f t="shared" si="19"/>
        <v>45487</v>
      </c>
      <c r="I48" s="233">
        <f t="shared" si="19"/>
        <v>45671</v>
      </c>
      <c r="J48" s="233">
        <f t="shared" si="18"/>
        <v>45852</v>
      </c>
      <c r="K48" s="233">
        <f t="shared" si="18"/>
        <v>46036</v>
      </c>
      <c r="L48" s="233">
        <f t="shared" si="18"/>
        <v>46217</v>
      </c>
      <c r="M48" s="233">
        <f t="shared" si="18"/>
        <v>46401</v>
      </c>
      <c r="N48" s="233">
        <f t="shared" si="18"/>
        <v>46582</v>
      </c>
      <c r="O48" s="233">
        <f t="shared" si="14"/>
        <v>46766</v>
      </c>
      <c r="P48" s="233">
        <f t="shared" si="14"/>
        <v>46948</v>
      </c>
      <c r="Q48" s="233">
        <f t="shared" si="14"/>
        <v>47132</v>
      </c>
      <c r="R48" s="233">
        <f t="shared" si="3"/>
        <v>47313</v>
      </c>
      <c r="S48" s="233">
        <f t="shared" si="4"/>
        <v>47497</v>
      </c>
      <c r="T48" s="233">
        <f t="shared" si="5"/>
        <v>47678</v>
      </c>
      <c r="U48" s="233">
        <f t="shared" si="6"/>
        <v>47862</v>
      </c>
      <c r="V48" s="233">
        <f t="shared" si="7"/>
        <v>48043</v>
      </c>
      <c r="W48" s="233">
        <f t="shared" si="8"/>
        <v>48227</v>
      </c>
      <c r="X48" s="233">
        <f t="shared" si="9"/>
        <v>48409</v>
      </c>
      <c r="Y48" s="233">
        <f t="shared" si="10"/>
        <v>48593</v>
      </c>
      <c r="Z48" s="203">
        <f t="shared" si="13"/>
        <v>42000000</v>
      </c>
    </row>
    <row r="49" spans="1:26" x14ac:dyDescent="0.3">
      <c r="A49" s="164">
        <v>46</v>
      </c>
      <c r="B49" s="241" t="s">
        <v>615</v>
      </c>
      <c r="C49" s="208">
        <v>7500000</v>
      </c>
      <c r="D49" s="208"/>
      <c r="E49" s="176" t="s">
        <v>1039</v>
      </c>
      <c r="F49" s="234">
        <v>45174</v>
      </c>
      <c r="G49" s="234">
        <f>EDATE(F49,6)</f>
        <v>45356</v>
      </c>
      <c r="H49" s="234">
        <f>EDATE(G49,6)</f>
        <v>45540</v>
      </c>
      <c r="I49" s="234">
        <f t="shared" si="19"/>
        <v>45721</v>
      </c>
      <c r="J49" s="234">
        <f t="shared" si="19"/>
        <v>45905</v>
      </c>
      <c r="K49" s="234">
        <f t="shared" si="19"/>
        <v>46086</v>
      </c>
      <c r="L49" s="234">
        <f t="shared" si="19"/>
        <v>46270</v>
      </c>
      <c r="M49" s="234">
        <f t="shared" si="19"/>
        <v>46451</v>
      </c>
      <c r="N49" s="234">
        <f t="shared" si="19"/>
        <v>46635</v>
      </c>
      <c r="O49" s="233">
        <f t="shared" si="14"/>
        <v>46817</v>
      </c>
      <c r="P49" s="233">
        <f t="shared" si="14"/>
        <v>47001</v>
      </c>
      <c r="Q49" s="233">
        <f t="shared" si="14"/>
        <v>47182</v>
      </c>
      <c r="R49" s="233">
        <f t="shared" si="3"/>
        <v>47366</v>
      </c>
      <c r="S49" s="233">
        <f t="shared" si="4"/>
        <v>47547</v>
      </c>
      <c r="T49" s="233">
        <f t="shared" si="5"/>
        <v>47731</v>
      </c>
      <c r="U49" s="233">
        <f t="shared" si="6"/>
        <v>47912</v>
      </c>
      <c r="V49" s="233">
        <f t="shared" si="7"/>
        <v>48096</v>
      </c>
      <c r="W49" s="233">
        <f t="shared" si="8"/>
        <v>48278</v>
      </c>
      <c r="X49" s="233">
        <f t="shared" si="9"/>
        <v>48462</v>
      </c>
      <c r="Y49" s="233">
        <f t="shared" si="10"/>
        <v>48643</v>
      </c>
      <c r="Z49" s="196">
        <f t="shared" si="13"/>
        <v>45000000</v>
      </c>
    </row>
    <row r="50" spans="1:26" x14ac:dyDescent="0.3">
      <c r="A50" s="164">
        <v>47</v>
      </c>
      <c r="B50" s="165" t="s">
        <v>576</v>
      </c>
      <c r="C50" s="189">
        <v>6400000</v>
      </c>
      <c r="D50" s="189"/>
      <c r="E50" s="164" t="s">
        <v>1040</v>
      </c>
      <c r="F50" s="233">
        <v>45161</v>
      </c>
      <c r="G50" s="233">
        <f>EDATE(F50,6)</f>
        <v>45345</v>
      </c>
      <c r="H50" s="233">
        <f t="shared" ref="H50:N50" si="20">EDATE(G50,6)</f>
        <v>45527</v>
      </c>
      <c r="I50" s="233">
        <f t="shared" si="20"/>
        <v>45711</v>
      </c>
      <c r="J50" s="233">
        <f t="shared" si="20"/>
        <v>45892</v>
      </c>
      <c r="K50" s="233">
        <f t="shared" si="20"/>
        <v>46076</v>
      </c>
      <c r="L50" s="233">
        <f t="shared" si="20"/>
        <v>46257</v>
      </c>
      <c r="M50" s="233">
        <f t="shared" si="20"/>
        <v>46441</v>
      </c>
      <c r="N50" s="233">
        <f t="shared" si="20"/>
        <v>46622</v>
      </c>
      <c r="O50" s="233">
        <f t="shared" si="14"/>
        <v>46806</v>
      </c>
      <c r="P50" s="233">
        <f t="shared" si="14"/>
        <v>46988</v>
      </c>
      <c r="Q50" s="233">
        <f t="shared" si="14"/>
        <v>47172</v>
      </c>
      <c r="R50" s="233">
        <f t="shared" si="3"/>
        <v>47353</v>
      </c>
      <c r="S50" s="233">
        <f t="shared" si="4"/>
        <v>47537</v>
      </c>
      <c r="T50" s="233">
        <f t="shared" si="5"/>
        <v>47718</v>
      </c>
      <c r="U50" s="233">
        <f t="shared" si="6"/>
        <v>47902</v>
      </c>
      <c r="V50" s="233">
        <f t="shared" si="7"/>
        <v>48083</v>
      </c>
      <c r="W50" s="233">
        <f t="shared" si="8"/>
        <v>48267</v>
      </c>
      <c r="X50" s="233">
        <f t="shared" si="9"/>
        <v>48449</v>
      </c>
      <c r="Y50" s="233">
        <f t="shared" si="10"/>
        <v>48633</v>
      </c>
      <c r="Z50" s="203">
        <f t="shared" si="13"/>
        <v>38400000</v>
      </c>
    </row>
    <row r="51" spans="1:26" x14ac:dyDescent="0.3">
      <c r="A51" s="164">
        <v>48</v>
      </c>
      <c r="B51" s="165" t="s">
        <v>1041</v>
      </c>
      <c r="C51" s="189">
        <v>8000000</v>
      </c>
      <c r="D51" s="189"/>
      <c r="E51" s="164" t="s">
        <v>1042</v>
      </c>
      <c r="F51" s="233">
        <v>45133</v>
      </c>
      <c r="G51" s="233">
        <f t="shared" ref="G51:Q66" si="21">EDATE(F51,6)</f>
        <v>45317</v>
      </c>
      <c r="H51" s="233">
        <f t="shared" si="21"/>
        <v>45499</v>
      </c>
      <c r="I51" s="233">
        <f t="shared" si="21"/>
        <v>45683</v>
      </c>
      <c r="J51" s="233">
        <f t="shared" si="21"/>
        <v>45864</v>
      </c>
      <c r="K51" s="238">
        <f t="shared" si="21"/>
        <v>46048</v>
      </c>
      <c r="L51" s="233">
        <f t="shared" si="21"/>
        <v>46229</v>
      </c>
      <c r="M51" s="233">
        <f t="shared" si="21"/>
        <v>46413</v>
      </c>
      <c r="N51" s="233">
        <f t="shared" si="21"/>
        <v>46594</v>
      </c>
      <c r="O51" s="233">
        <f t="shared" si="14"/>
        <v>46778</v>
      </c>
      <c r="P51" s="233">
        <f t="shared" si="14"/>
        <v>46960</v>
      </c>
      <c r="Q51" s="233">
        <f t="shared" si="14"/>
        <v>47144</v>
      </c>
      <c r="R51" s="233">
        <f t="shared" si="3"/>
        <v>47325</v>
      </c>
      <c r="S51" s="233">
        <f t="shared" si="4"/>
        <v>47509</v>
      </c>
      <c r="T51" s="233">
        <f t="shared" si="5"/>
        <v>47690</v>
      </c>
      <c r="U51" s="233">
        <f t="shared" si="6"/>
        <v>47874</v>
      </c>
      <c r="V51" s="233">
        <f t="shared" si="7"/>
        <v>48055</v>
      </c>
      <c r="W51" s="233">
        <f t="shared" si="8"/>
        <v>48239</v>
      </c>
      <c r="X51" s="233">
        <f t="shared" si="9"/>
        <v>48421</v>
      </c>
      <c r="Y51" s="233">
        <f t="shared" si="10"/>
        <v>48605</v>
      </c>
      <c r="Z51" s="203">
        <f t="shared" si="13"/>
        <v>48000000</v>
      </c>
    </row>
    <row r="52" spans="1:26" x14ac:dyDescent="0.3">
      <c r="A52" s="164">
        <v>49</v>
      </c>
      <c r="B52" s="165" t="s">
        <v>616</v>
      </c>
      <c r="C52" s="189">
        <v>12000000</v>
      </c>
      <c r="D52" s="189"/>
      <c r="E52" s="222" t="s">
        <v>17</v>
      </c>
      <c r="F52" s="246">
        <v>45244</v>
      </c>
      <c r="G52" s="246">
        <f t="shared" si="21"/>
        <v>45426</v>
      </c>
      <c r="H52" s="246">
        <f t="shared" si="21"/>
        <v>45610</v>
      </c>
      <c r="I52" s="246">
        <f t="shared" si="21"/>
        <v>45791</v>
      </c>
      <c r="J52" s="246">
        <f t="shared" si="21"/>
        <v>45975</v>
      </c>
      <c r="K52" s="234">
        <f t="shared" si="21"/>
        <v>46156</v>
      </c>
      <c r="L52" s="246">
        <f t="shared" si="21"/>
        <v>46340</v>
      </c>
      <c r="M52" s="246">
        <f t="shared" si="21"/>
        <v>46521</v>
      </c>
      <c r="N52" s="246">
        <f t="shared" si="21"/>
        <v>46705</v>
      </c>
      <c r="O52" s="233">
        <f t="shared" si="14"/>
        <v>46887</v>
      </c>
      <c r="P52" s="233">
        <f t="shared" si="14"/>
        <v>47071</v>
      </c>
      <c r="Q52" s="233">
        <f t="shared" si="14"/>
        <v>47252</v>
      </c>
      <c r="R52" s="233">
        <f t="shared" si="3"/>
        <v>47436</v>
      </c>
      <c r="S52" s="233">
        <f t="shared" si="4"/>
        <v>47617</v>
      </c>
      <c r="T52" s="233">
        <f t="shared" si="5"/>
        <v>47801</v>
      </c>
      <c r="U52" s="233">
        <f t="shared" si="6"/>
        <v>47982</v>
      </c>
      <c r="V52" s="233">
        <f t="shared" si="7"/>
        <v>48166</v>
      </c>
      <c r="W52" s="233">
        <f t="shared" si="8"/>
        <v>48348</v>
      </c>
      <c r="X52" s="233">
        <f t="shared" si="9"/>
        <v>48532</v>
      </c>
      <c r="Y52" s="233">
        <f t="shared" si="10"/>
        <v>48713</v>
      </c>
      <c r="Z52" s="203">
        <f t="shared" si="13"/>
        <v>72000000</v>
      </c>
    </row>
    <row r="53" spans="1:26" x14ac:dyDescent="0.3">
      <c r="A53" s="164">
        <v>50</v>
      </c>
      <c r="B53" s="236" t="s">
        <v>644</v>
      </c>
      <c r="C53" s="189">
        <v>6600000</v>
      </c>
      <c r="D53" s="237" t="s">
        <v>1043</v>
      </c>
      <c r="E53" s="222" t="s">
        <v>17</v>
      </c>
      <c r="F53" s="246">
        <v>45281</v>
      </c>
      <c r="G53" s="246">
        <f t="shared" si="21"/>
        <v>45464</v>
      </c>
      <c r="H53" s="246">
        <f t="shared" si="21"/>
        <v>45647</v>
      </c>
      <c r="I53" s="246">
        <f t="shared" si="21"/>
        <v>45829</v>
      </c>
      <c r="J53" s="247">
        <f t="shared" si="21"/>
        <v>46012</v>
      </c>
      <c r="K53" s="246">
        <f t="shared" si="21"/>
        <v>46194</v>
      </c>
      <c r="L53" s="246">
        <f t="shared" si="21"/>
        <v>46377</v>
      </c>
      <c r="M53" s="246">
        <f t="shared" si="21"/>
        <v>46559</v>
      </c>
      <c r="N53" s="246">
        <f t="shared" si="21"/>
        <v>46742</v>
      </c>
      <c r="O53" s="233">
        <f t="shared" si="14"/>
        <v>46925</v>
      </c>
      <c r="P53" s="233">
        <f t="shared" si="14"/>
        <v>47108</v>
      </c>
      <c r="Q53" s="233">
        <f t="shared" si="14"/>
        <v>47290</v>
      </c>
      <c r="R53" s="233">
        <f t="shared" si="3"/>
        <v>47473</v>
      </c>
      <c r="S53" s="233">
        <f t="shared" si="4"/>
        <v>47655</v>
      </c>
      <c r="T53" s="233">
        <f t="shared" si="5"/>
        <v>47838</v>
      </c>
      <c r="U53" s="233">
        <f t="shared" si="6"/>
        <v>48020</v>
      </c>
      <c r="V53" s="233">
        <f t="shared" si="7"/>
        <v>48203</v>
      </c>
      <c r="W53" s="233">
        <f t="shared" si="8"/>
        <v>48386</v>
      </c>
      <c r="X53" s="233">
        <f t="shared" si="9"/>
        <v>48569</v>
      </c>
      <c r="Y53" s="233">
        <f t="shared" si="10"/>
        <v>48751</v>
      </c>
      <c r="Z53" s="203">
        <f t="shared" si="13"/>
        <v>39600000</v>
      </c>
    </row>
    <row r="54" spans="1:26" x14ac:dyDescent="0.3">
      <c r="A54" s="164">
        <v>51</v>
      </c>
      <c r="B54" s="236" t="s">
        <v>645</v>
      </c>
      <c r="C54" s="189">
        <v>6700000</v>
      </c>
      <c r="D54" s="237" t="s">
        <v>1044</v>
      </c>
      <c r="E54" s="222" t="s">
        <v>17</v>
      </c>
      <c r="F54" s="246">
        <v>45281</v>
      </c>
      <c r="G54" s="246">
        <f t="shared" si="21"/>
        <v>45464</v>
      </c>
      <c r="H54" s="246">
        <f t="shared" si="21"/>
        <v>45647</v>
      </c>
      <c r="I54" s="246">
        <f t="shared" si="21"/>
        <v>45829</v>
      </c>
      <c r="J54" s="247">
        <f t="shared" si="21"/>
        <v>46012</v>
      </c>
      <c r="K54" s="246">
        <f t="shared" si="21"/>
        <v>46194</v>
      </c>
      <c r="L54" s="246">
        <f t="shared" si="21"/>
        <v>46377</v>
      </c>
      <c r="M54" s="246">
        <f t="shared" si="21"/>
        <v>46559</v>
      </c>
      <c r="N54" s="246">
        <f t="shared" si="21"/>
        <v>46742</v>
      </c>
      <c r="O54" s="233">
        <f t="shared" si="14"/>
        <v>46925</v>
      </c>
      <c r="P54" s="233">
        <f t="shared" si="14"/>
        <v>47108</v>
      </c>
      <c r="Q54" s="233">
        <f t="shared" si="14"/>
        <v>47290</v>
      </c>
      <c r="R54" s="233">
        <f t="shared" si="3"/>
        <v>47473</v>
      </c>
      <c r="S54" s="233">
        <f t="shared" si="4"/>
        <v>47655</v>
      </c>
      <c r="T54" s="233">
        <f t="shared" si="5"/>
        <v>47838</v>
      </c>
      <c r="U54" s="233">
        <f t="shared" si="6"/>
        <v>48020</v>
      </c>
      <c r="V54" s="233">
        <f t="shared" si="7"/>
        <v>48203</v>
      </c>
      <c r="W54" s="233">
        <f t="shared" si="8"/>
        <v>48386</v>
      </c>
      <c r="X54" s="233">
        <f t="shared" si="9"/>
        <v>48569</v>
      </c>
      <c r="Y54" s="233">
        <f t="shared" si="10"/>
        <v>48751</v>
      </c>
      <c r="Z54" s="203">
        <f t="shared" si="13"/>
        <v>40200000</v>
      </c>
    </row>
    <row r="55" spans="1:26" x14ac:dyDescent="0.3">
      <c r="A55" s="164">
        <v>52</v>
      </c>
      <c r="B55" s="235" t="s">
        <v>622</v>
      </c>
      <c r="C55" s="189">
        <v>10200000</v>
      </c>
      <c r="D55" s="189"/>
      <c r="E55" s="222" t="s">
        <v>1045</v>
      </c>
      <c r="F55" s="233">
        <v>45326</v>
      </c>
      <c r="G55" s="233">
        <f>EDATE(F55,3)</f>
        <v>45416</v>
      </c>
      <c r="H55" s="233">
        <v>45729</v>
      </c>
      <c r="I55" s="233">
        <f>EDATE(H55,6)</f>
        <v>45913</v>
      </c>
      <c r="J55" s="233">
        <f t="shared" si="21"/>
        <v>46094</v>
      </c>
      <c r="K55" s="233">
        <f t="shared" si="21"/>
        <v>46278</v>
      </c>
      <c r="L55" s="233">
        <f t="shared" si="21"/>
        <v>46459</v>
      </c>
      <c r="M55" s="233">
        <f t="shared" si="21"/>
        <v>46643</v>
      </c>
      <c r="N55" s="233">
        <f t="shared" si="21"/>
        <v>46825</v>
      </c>
      <c r="O55" s="233">
        <f t="shared" si="14"/>
        <v>47009</v>
      </c>
      <c r="P55" s="233">
        <f t="shared" si="14"/>
        <v>47190</v>
      </c>
      <c r="Q55" s="233">
        <f t="shared" si="14"/>
        <v>47374</v>
      </c>
      <c r="R55" s="233">
        <f t="shared" si="3"/>
        <v>47555</v>
      </c>
      <c r="S55" s="233">
        <f t="shared" si="4"/>
        <v>47739</v>
      </c>
      <c r="T55" s="233">
        <f t="shared" si="5"/>
        <v>47920</v>
      </c>
      <c r="U55" s="233">
        <f t="shared" si="6"/>
        <v>48104</v>
      </c>
      <c r="V55" s="233">
        <f t="shared" si="7"/>
        <v>48286</v>
      </c>
      <c r="W55" s="233">
        <f t="shared" si="8"/>
        <v>48470</v>
      </c>
      <c r="X55" s="233">
        <f t="shared" si="9"/>
        <v>48651</v>
      </c>
      <c r="Y55" s="233">
        <f t="shared" si="10"/>
        <v>48835</v>
      </c>
      <c r="Z55" s="203">
        <f>C55*6</f>
        <v>61200000</v>
      </c>
    </row>
    <row r="56" spans="1:26" x14ac:dyDescent="0.3">
      <c r="A56" s="164">
        <v>53</v>
      </c>
      <c r="B56" s="165" t="s">
        <v>627</v>
      </c>
      <c r="C56" s="189">
        <v>11300000</v>
      </c>
      <c r="D56" s="189"/>
      <c r="E56" s="222" t="s">
        <v>17</v>
      </c>
      <c r="F56" s="233">
        <v>45313</v>
      </c>
      <c r="G56" s="233">
        <f t="shared" si="21"/>
        <v>45495</v>
      </c>
      <c r="H56" s="233">
        <f t="shared" si="21"/>
        <v>45679</v>
      </c>
      <c r="I56" s="233">
        <f t="shared" si="21"/>
        <v>45860</v>
      </c>
      <c r="J56" s="233">
        <f t="shared" si="21"/>
        <v>46044</v>
      </c>
      <c r="K56" s="233">
        <f t="shared" si="21"/>
        <v>46225</v>
      </c>
      <c r="L56" s="233">
        <f t="shared" si="21"/>
        <v>46409</v>
      </c>
      <c r="M56" s="233">
        <f t="shared" si="21"/>
        <v>46590</v>
      </c>
      <c r="N56" s="233">
        <f t="shared" si="21"/>
        <v>46774</v>
      </c>
      <c r="O56" s="233">
        <f t="shared" si="14"/>
        <v>46956</v>
      </c>
      <c r="P56" s="233">
        <f t="shared" si="14"/>
        <v>47140</v>
      </c>
      <c r="Q56" s="233">
        <f t="shared" si="14"/>
        <v>47321</v>
      </c>
      <c r="R56" s="233">
        <f t="shared" si="3"/>
        <v>47505</v>
      </c>
      <c r="S56" s="233">
        <f t="shared" si="4"/>
        <v>47686</v>
      </c>
      <c r="T56" s="233">
        <f t="shared" si="5"/>
        <v>47870</v>
      </c>
      <c r="U56" s="233">
        <f t="shared" si="6"/>
        <v>48051</v>
      </c>
      <c r="V56" s="233">
        <f t="shared" si="7"/>
        <v>48235</v>
      </c>
      <c r="W56" s="233">
        <f t="shared" si="8"/>
        <v>48417</v>
      </c>
      <c r="X56" s="233">
        <f t="shared" si="9"/>
        <v>48601</v>
      </c>
      <c r="Y56" s="233">
        <f t="shared" si="10"/>
        <v>48782</v>
      </c>
      <c r="Z56" s="203">
        <f t="shared" si="13"/>
        <v>67800000</v>
      </c>
    </row>
    <row r="57" spans="1:26" x14ac:dyDescent="0.3">
      <c r="A57" s="164">
        <v>54</v>
      </c>
      <c r="B57" s="165" t="s">
        <v>680</v>
      </c>
      <c r="C57" s="189">
        <v>6000000</v>
      </c>
      <c r="D57" s="189"/>
      <c r="E57" s="222" t="s">
        <v>17</v>
      </c>
      <c r="F57" s="233">
        <v>45415</v>
      </c>
      <c r="G57" s="233">
        <f t="shared" si="21"/>
        <v>45599</v>
      </c>
      <c r="H57" s="233">
        <f t="shared" si="21"/>
        <v>45780</v>
      </c>
      <c r="I57" s="233">
        <f t="shared" si="21"/>
        <v>45964</v>
      </c>
      <c r="J57" s="233">
        <f t="shared" si="21"/>
        <v>46145</v>
      </c>
      <c r="K57" s="233">
        <f t="shared" si="21"/>
        <v>46329</v>
      </c>
      <c r="L57" s="233">
        <f t="shared" si="21"/>
        <v>46510</v>
      </c>
      <c r="M57" s="233">
        <f t="shared" si="21"/>
        <v>46694</v>
      </c>
      <c r="N57" s="233">
        <f t="shared" si="21"/>
        <v>46876</v>
      </c>
      <c r="O57" s="233">
        <f t="shared" si="14"/>
        <v>47060</v>
      </c>
      <c r="P57" s="233">
        <f t="shared" si="14"/>
        <v>47241</v>
      </c>
      <c r="Q57" s="233">
        <f t="shared" si="14"/>
        <v>47425</v>
      </c>
      <c r="R57" s="233">
        <f t="shared" si="3"/>
        <v>47606</v>
      </c>
      <c r="S57" s="233">
        <f t="shared" si="4"/>
        <v>47790</v>
      </c>
      <c r="T57" s="233">
        <f t="shared" si="5"/>
        <v>47971</v>
      </c>
      <c r="U57" s="233">
        <f t="shared" si="6"/>
        <v>48155</v>
      </c>
      <c r="V57" s="233">
        <f t="shared" si="7"/>
        <v>48337</v>
      </c>
      <c r="W57" s="233">
        <f t="shared" si="8"/>
        <v>48521</v>
      </c>
      <c r="X57" s="233">
        <f t="shared" si="9"/>
        <v>48702</v>
      </c>
      <c r="Y57" s="233">
        <f t="shared" si="10"/>
        <v>48886</v>
      </c>
      <c r="Z57" s="203">
        <f t="shared" si="13"/>
        <v>36000000</v>
      </c>
    </row>
    <row r="58" spans="1:26" x14ac:dyDescent="0.3">
      <c r="A58" s="164">
        <v>55</v>
      </c>
      <c r="B58" s="165" t="s">
        <v>746</v>
      </c>
      <c r="C58" s="189">
        <v>5700000</v>
      </c>
      <c r="D58" s="189"/>
      <c r="E58" s="222" t="s">
        <v>17</v>
      </c>
      <c r="F58" s="233">
        <v>45415</v>
      </c>
      <c r="G58" s="233">
        <f t="shared" si="21"/>
        <v>45599</v>
      </c>
      <c r="H58" s="233">
        <f t="shared" si="21"/>
        <v>45780</v>
      </c>
      <c r="I58" s="233">
        <f t="shared" si="21"/>
        <v>45964</v>
      </c>
      <c r="J58" s="233">
        <f t="shared" si="21"/>
        <v>46145</v>
      </c>
      <c r="K58" s="233">
        <f t="shared" si="21"/>
        <v>46329</v>
      </c>
      <c r="L58" s="233">
        <f t="shared" si="21"/>
        <v>46510</v>
      </c>
      <c r="M58" s="233">
        <f t="shared" si="21"/>
        <v>46694</v>
      </c>
      <c r="N58" s="233">
        <f t="shared" si="21"/>
        <v>46876</v>
      </c>
      <c r="O58" s="233">
        <f t="shared" si="14"/>
        <v>47060</v>
      </c>
      <c r="P58" s="233">
        <f t="shared" si="14"/>
        <v>47241</v>
      </c>
      <c r="Q58" s="233">
        <f t="shared" si="14"/>
        <v>47425</v>
      </c>
      <c r="R58" s="233">
        <f t="shared" si="3"/>
        <v>47606</v>
      </c>
      <c r="S58" s="233">
        <f t="shared" si="4"/>
        <v>47790</v>
      </c>
      <c r="T58" s="233">
        <f t="shared" si="5"/>
        <v>47971</v>
      </c>
      <c r="U58" s="233">
        <f t="shared" si="6"/>
        <v>48155</v>
      </c>
      <c r="V58" s="233">
        <f t="shared" si="7"/>
        <v>48337</v>
      </c>
      <c r="W58" s="233">
        <f t="shared" si="8"/>
        <v>48521</v>
      </c>
      <c r="X58" s="233">
        <f t="shared" si="9"/>
        <v>48702</v>
      </c>
      <c r="Y58" s="233">
        <f t="shared" si="10"/>
        <v>48886</v>
      </c>
      <c r="Z58" s="203">
        <f t="shared" si="13"/>
        <v>34200000</v>
      </c>
    </row>
    <row r="59" spans="1:26" x14ac:dyDescent="0.3">
      <c r="A59" s="164">
        <v>56</v>
      </c>
      <c r="B59" s="165" t="s">
        <v>738</v>
      </c>
      <c r="C59" s="189">
        <v>6400000</v>
      </c>
      <c r="D59" s="189"/>
      <c r="E59" s="222" t="s">
        <v>17</v>
      </c>
      <c r="F59" s="233">
        <v>45415</v>
      </c>
      <c r="G59" s="233">
        <f t="shared" si="21"/>
        <v>45599</v>
      </c>
      <c r="H59" s="233">
        <f t="shared" si="21"/>
        <v>45780</v>
      </c>
      <c r="I59" s="233">
        <f t="shared" si="21"/>
        <v>45964</v>
      </c>
      <c r="J59" s="233">
        <f t="shared" si="21"/>
        <v>46145</v>
      </c>
      <c r="K59" s="233">
        <f t="shared" si="21"/>
        <v>46329</v>
      </c>
      <c r="L59" s="233">
        <f t="shared" si="21"/>
        <v>46510</v>
      </c>
      <c r="M59" s="233">
        <f t="shared" si="21"/>
        <v>46694</v>
      </c>
      <c r="N59" s="233">
        <f t="shared" si="21"/>
        <v>46876</v>
      </c>
      <c r="O59" s="233">
        <f t="shared" si="14"/>
        <v>47060</v>
      </c>
      <c r="P59" s="233">
        <f t="shared" si="14"/>
        <v>47241</v>
      </c>
      <c r="Q59" s="233">
        <f t="shared" si="14"/>
        <v>47425</v>
      </c>
      <c r="R59" s="233">
        <f t="shared" si="3"/>
        <v>47606</v>
      </c>
      <c r="S59" s="233">
        <f t="shared" si="4"/>
        <v>47790</v>
      </c>
      <c r="T59" s="233">
        <f t="shared" si="5"/>
        <v>47971</v>
      </c>
      <c r="U59" s="233">
        <f t="shared" si="6"/>
        <v>48155</v>
      </c>
      <c r="V59" s="233">
        <f t="shared" si="7"/>
        <v>48337</v>
      </c>
      <c r="W59" s="233">
        <f t="shared" si="8"/>
        <v>48521</v>
      </c>
      <c r="X59" s="233">
        <f t="shared" si="9"/>
        <v>48702</v>
      </c>
      <c r="Y59" s="233">
        <f t="shared" si="10"/>
        <v>48886</v>
      </c>
      <c r="Z59" s="203">
        <f t="shared" si="13"/>
        <v>38400000</v>
      </c>
    </row>
    <row r="60" spans="1:26" x14ac:dyDescent="0.3">
      <c r="A60" s="164">
        <v>57</v>
      </c>
      <c r="B60" s="165" t="s">
        <v>679</v>
      </c>
      <c r="C60" s="189">
        <v>5700000</v>
      </c>
      <c r="D60" s="189"/>
      <c r="E60" s="222" t="s">
        <v>17</v>
      </c>
      <c r="F60" s="233">
        <v>45422</v>
      </c>
      <c r="G60" s="233">
        <f t="shared" si="21"/>
        <v>45606</v>
      </c>
      <c r="H60" s="233">
        <f t="shared" si="21"/>
        <v>45787</v>
      </c>
      <c r="I60" s="233">
        <f t="shared" si="21"/>
        <v>45971</v>
      </c>
      <c r="J60" s="233">
        <f t="shared" si="21"/>
        <v>46152</v>
      </c>
      <c r="K60" s="233">
        <f t="shared" si="21"/>
        <v>46336</v>
      </c>
      <c r="L60" s="233">
        <f t="shared" si="21"/>
        <v>46517</v>
      </c>
      <c r="M60" s="233">
        <f t="shared" si="21"/>
        <v>46701</v>
      </c>
      <c r="N60" s="233">
        <f t="shared" si="21"/>
        <v>46883</v>
      </c>
      <c r="O60" s="233">
        <f t="shared" si="14"/>
        <v>47067</v>
      </c>
      <c r="P60" s="233">
        <f t="shared" si="14"/>
        <v>47248</v>
      </c>
      <c r="Q60" s="233">
        <f t="shared" si="14"/>
        <v>47432</v>
      </c>
      <c r="R60" s="233">
        <f t="shared" si="3"/>
        <v>47613</v>
      </c>
      <c r="S60" s="233">
        <f t="shared" si="4"/>
        <v>47797</v>
      </c>
      <c r="T60" s="233">
        <f t="shared" si="5"/>
        <v>47978</v>
      </c>
      <c r="U60" s="233">
        <f t="shared" si="6"/>
        <v>48162</v>
      </c>
      <c r="V60" s="233">
        <f t="shared" si="7"/>
        <v>48344</v>
      </c>
      <c r="W60" s="233">
        <f t="shared" si="8"/>
        <v>48528</v>
      </c>
      <c r="X60" s="233">
        <f t="shared" si="9"/>
        <v>48709</v>
      </c>
      <c r="Y60" s="233">
        <f t="shared" si="10"/>
        <v>48893</v>
      </c>
      <c r="Z60" s="203">
        <f t="shared" si="13"/>
        <v>34200000</v>
      </c>
    </row>
    <row r="61" spans="1:26" x14ac:dyDescent="0.3">
      <c r="A61" s="164">
        <v>58</v>
      </c>
      <c r="B61" s="165" t="s">
        <v>677</v>
      </c>
      <c r="C61" s="189">
        <v>6700000</v>
      </c>
      <c r="D61" s="189"/>
      <c r="E61" s="222" t="s">
        <v>17</v>
      </c>
      <c r="F61" s="233">
        <v>45399</v>
      </c>
      <c r="G61" s="233">
        <f t="shared" si="21"/>
        <v>45582</v>
      </c>
      <c r="H61" s="233">
        <f t="shared" si="21"/>
        <v>45764</v>
      </c>
      <c r="I61" s="233">
        <f t="shared" si="21"/>
        <v>45947</v>
      </c>
      <c r="J61" s="233">
        <f t="shared" si="21"/>
        <v>46129</v>
      </c>
      <c r="K61" s="233">
        <f t="shared" si="21"/>
        <v>46312</v>
      </c>
      <c r="L61" s="233">
        <f t="shared" si="21"/>
        <v>46494</v>
      </c>
      <c r="M61" s="233">
        <f t="shared" si="21"/>
        <v>46677</v>
      </c>
      <c r="N61" s="233">
        <f t="shared" si="21"/>
        <v>46860</v>
      </c>
      <c r="O61" s="233">
        <f t="shared" si="21"/>
        <v>47043</v>
      </c>
      <c r="P61" s="233">
        <f t="shared" si="21"/>
        <v>47225</v>
      </c>
      <c r="Q61" s="233">
        <f t="shared" si="21"/>
        <v>47408</v>
      </c>
      <c r="R61" s="233">
        <f t="shared" si="3"/>
        <v>47590</v>
      </c>
      <c r="S61" s="233">
        <f t="shared" si="4"/>
        <v>47773</v>
      </c>
      <c r="T61" s="233">
        <f t="shared" si="5"/>
        <v>47955</v>
      </c>
      <c r="U61" s="233">
        <f t="shared" si="6"/>
        <v>48138</v>
      </c>
      <c r="V61" s="233">
        <f t="shared" si="7"/>
        <v>48321</v>
      </c>
      <c r="W61" s="233">
        <f t="shared" si="8"/>
        <v>48504</v>
      </c>
      <c r="X61" s="233">
        <f t="shared" si="9"/>
        <v>48686</v>
      </c>
      <c r="Y61" s="233">
        <f t="shared" si="10"/>
        <v>48869</v>
      </c>
      <c r="Z61" s="203">
        <f t="shared" si="13"/>
        <v>40200000</v>
      </c>
    </row>
    <row r="62" spans="1:26" x14ac:dyDescent="0.3">
      <c r="A62" s="164">
        <v>59</v>
      </c>
      <c r="B62" s="236" t="s">
        <v>1046</v>
      </c>
      <c r="C62" s="189">
        <v>12000000</v>
      </c>
      <c r="D62" s="189"/>
      <c r="E62" s="222" t="s">
        <v>1047</v>
      </c>
      <c r="F62" s="233">
        <v>45449</v>
      </c>
      <c r="G62" s="233">
        <f t="shared" si="21"/>
        <v>45632</v>
      </c>
      <c r="H62" s="233">
        <f t="shared" si="21"/>
        <v>45814</v>
      </c>
      <c r="I62" s="238">
        <f t="shared" si="21"/>
        <v>45997</v>
      </c>
      <c r="J62" s="233">
        <f t="shared" si="21"/>
        <v>46179</v>
      </c>
      <c r="K62" s="233">
        <f t="shared" si="21"/>
        <v>46362</v>
      </c>
      <c r="L62" s="233">
        <f t="shared" si="21"/>
        <v>46544</v>
      </c>
      <c r="M62" s="233">
        <f t="shared" si="21"/>
        <v>46727</v>
      </c>
      <c r="N62" s="233">
        <f t="shared" si="21"/>
        <v>46910</v>
      </c>
      <c r="O62" s="233">
        <f t="shared" si="21"/>
        <v>47093</v>
      </c>
      <c r="P62" s="233">
        <f t="shared" si="21"/>
        <v>47275</v>
      </c>
      <c r="Q62" s="233">
        <f t="shared" si="21"/>
        <v>47458</v>
      </c>
      <c r="R62" s="233">
        <f t="shared" si="3"/>
        <v>47640</v>
      </c>
      <c r="S62" s="233">
        <f t="shared" si="4"/>
        <v>47823</v>
      </c>
      <c r="T62" s="233">
        <f t="shared" si="5"/>
        <v>48005</v>
      </c>
      <c r="U62" s="233">
        <f t="shared" si="6"/>
        <v>48188</v>
      </c>
      <c r="V62" s="233">
        <f t="shared" si="7"/>
        <v>48371</v>
      </c>
      <c r="W62" s="233">
        <f t="shared" si="8"/>
        <v>48554</v>
      </c>
      <c r="X62" s="233">
        <f t="shared" si="9"/>
        <v>48736</v>
      </c>
      <c r="Y62" s="233">
        <f t="shared" si="10"/>
        <v>48919</v>
      </c>
      <c r="Z62" s="203">
        <f t="shared" si="13"/>
        <v>72000000</v>
      </c>
    </row>
    <row r="63" spans="1:26" x14ac:dyDescent="0.3">
      <c r="A63" s="164">
        <v>60</v>
      </c>
      <c r="B63" s="165" t="s">
        <v>710</v>
      </c>
      <c r="C63" s="189">
        <v>10900000</v>
      </c>
      <c r="D63" s="189"/>
      <c r="E63" s="222" t="s">
        <v>79</v>
      </c>
      <c r="F63" s="233">
        <v>45476</v>
      </c>
      <c r="G63" s="233">
        <f>EDATE(F63,6)</f>
        <v>45660</v>
      </c>
      <c r="H63" s="233">
        <f t="shared" si="21"/>
        <v>45841</v>
      </c>
      <c r="I63" s="233">
        <f t="shared" si="21"/>
        <v>46025</v>
      </c>
      <c r="J63" s="233">
        <f t="shared" si="21"/>
        <v>46206</v>
      </c>
      <c r="K63" s="233">
        <f t="shared" si="21"/>
        <v>46390</v>
      </c>
      <c r="L63" s="233">
        <f t="shared" si="21"/>
        <v>46571</v>
      </c>
      <c r="M63" s="233">
        <f t="shared" si="21"/>
        <v>46755</v>
      </c>
      <c r="N63" s="233">
        <f t="shared" si="21"/>
        <v>46937</v>
      </c>
      <c r="O63" s="233">
        <f t="shared" si="21"/>
        <v>47121</v>
      </c>
      <c r="P63" s="233">
        <f t="shared" si="21"/>
        <v>47302</v>
      </c>
      <c r="Q63" s="233">
        <f t="shared" si="21"/>
        <v>47486</v>
      </c>
      <c r="R63" s="233">
        <f t="shared" si="3"/>
        <v>47667</v>
      </c>
      <c r="S63" s="233">
        <f t="shared" si="4"/>
        <v>47851</v>
      </c>
      <c r="T63" s="233">
        <f t="shared" si="5"/>
        <v>48032</v>
      </c>
      <c r="U63" s="233">
        <f t="shared" si="6"/>
        <v>48216</v>
      </c>
      <c r="V63" s="233">
        <f t="shared" si="7"/>
        <v>48398</v>
      </c>
      <c r="W63" s="233">
        <f t="shared" si="8"/>
        <v>48582</v>
      </c>
      <c r="X63" s="233">
        <f t="shared" si="9"/>
        <v>48763</v>
      </c>
      <c r="Y63" s="233">
        <f t="shared" si="10"/>
        <v>48947</v>
      </c>
      <c r="Z63" s="203">
        <f t="shared" si="13"/>
        <v>65400000</v>
      </c>
    </row>
    <row r="64" spans="1:26" x14ac:dyDescent="0.3">
      <c r="A64" s="164">
        <v>61</v>
      </c>
      <c r="B64" s="236" t="s">
        <v>713</v>
      </c>
      <c r="C64" s="189">
        <v>9800000</v>
      </c>
      <c r="D64" s="237" t="s">
        <v>1048</v>
      </c>
      <c r="E64" s="222" t="s">
        <v>1049</v>
      </c>
      <c r="F64" s="233">
        <v>45463</v>
      </c>
      <c r="G64" s="233">
        <f t="shared" si="21"/>
        <v>45646</v>
      </c>
      <c r="H64" s="233">
        <f t="shared" si="21"/>
        <v>45828</v>
      </c>
      <c r="I64" s="238">
        <f t="shared" si="21"/>
        <v>46011</v>
      </c>
      <c r="J64" s="233">
        <f t="shared" si="21"/>
        <v>46193</v>
      </c>
      <c r="K64" s="233">
        <f t="shared" si="21"/>
        <v>46376</v>
      </c>
      <c r="L64" s="233">
        <f t="shared" si="21"/>
        <v>46558</v>
      </c>
      <c r="M64" s="233">
        <f t="shared" si="21"/>
        <v>46741</v>
      </c>
      <c r="N64" s="233">
        <f t="shared" si="21"/>
        <v>46924</v>
      </c>
      <c r="O64" s="233">
        <f t="shared" si="21"/>
        <v>47107</v>
      </c>
      <c r="P64" s="233">
        <f t="shared" si="21"/>
        <v>47289</v>
      </c>
      <c r="Q64" s="233">
        <f t="shared" si="21"/>
        <v>47472</v>
      </c>
      <c r="R64" s="233">
        <f t="shared" si="3"/>
        <v>47654</v>
      </c>
      <c r="S64" s="233">
        <f t="shared" si="4"/>
        <v>47837</v>
      </c>
      <c r="T64" s="233">
        <f t="shared" si="5"/>
        <v>48019</v>
      </c>
      <c r="U64" s="233">
        <f t="shared" si="6"/>
        <v>48202</v>
      </c>
      <c r="V64" s="233">
        <f t="shared" si="7"/>
        <v>48385</v>
      </c>
      <c r="W64" s="233">
        <f t="shared" si="8"/>
        <v>48568</v>
      </c>
      <c r="X64" s="233">
        <f t="shared" si="9"/>
        <v>48750</v>
      </c>
      <c r="Y64" s="233">
        <f t="shared" si="10"/>
        <v>48933</v>
      </c>
      <c r="Z64" s="203">
        <f t="shared" si="13"/>
        <v>58800000</v>
      </c>
    </row>
    <row r="65" spans="1:26" x14ac:dyDescent="0.3">
      <c r="A65" s="164">
        <v>62</v>
      </c>
      <c r="B65" s="165" t="s">
        <v>716</v>
      </c>
      <c r="C65" s="189">
        <v>13300000</v>
      </c>
      <c r="D65" s="189"/>
      <c r="E65" s="222" t="s">
        <v>79</v>
      </c>
      <c r="F65" s="233">
        <v>45506</v>
      </c>
      <c r="G65" s="233">
        <f>EDATE(F65,6)</f>
        <v>45690</v>
      </c>
      <c r="H65" s="233">
        <f t="shared" si="21"/>
        <v>45871</v>
      </c>
      <c r="I65" s="233">
        <f t="shared" si="21"/>
        <v>46055</v>
      </c>
      <c r="J65" s="233">
        <f t="shared" si="21"/>
        <v>46236</v>
      </c>
      <c r="K65" s="233">
        <f t="shared" si="21"/>
        <v>46420</v>
      </c>
      <c r="L65" s="233">
        <f t="shared" si="21"/>
        <v>46601</v>
      </c>
      <c r="M65" s="233">
        <f t="shared" si="21"/>
        <v>46785</v>
      </c>
      <c r="N65" s="233">
        <f t="shared" si="21"/>
        <v>46967</v>
      </c>
      <c r="O65" s="233">
        <f t="shared" si="21"/>
        <v>47151</v>
      </c>
      <c r="P65" s="233">
        <f t="shared" si="21"/>
        <v>47332</v>
      </c>
      <c r="Q65" s="233">
        <f t="shared" si="21"/>
        <v>47516</v>
      </c>
      <c r="R65" s="233">
        <f t="shared" si="3"/>
        <v>47697</v>
      </c>
      <c r="S65" s="233">
        <f t="shared" si="4"/>
        <v>47881</v>
      </c>
      <c r="T65" s="233">
        <f t="shared" si="5"/>
        <v>48062</v>
      </c>
      <c r="U65" s="233">
        <f t="shared" si="6"/>
        <v>48246</v>
      </c>
      <c r="V65" s="233">
        <f t="shared" si="7"/>
        <v>48428</v>
      </c>
      <c r="W65" s="233">
        <f t="shared" si="8"/>
        <v>48612</v>
      </c>
      <c r="X65" s="233">
        <f t="shared" si="9"/>
        <v>48793</v>
      </c>
      <c r="Y65" s="233">
        <f t="shared" si="10"/>
        <v>48977</v>
      </c>
      <c r="Z65" s="203">
        <f t="shared" si="13"/>
        <v>79800000</v>
      </c>
    </row>
    <row r="66" spans="1:26" x14ac:dyDescent="0.3">
      <c r="A66" s="164">
        <v>63</v>
      </c>
      <c r="B66" s="165" t="s">
        <v>719</v>
      </c>
      <c r="C66" s="189">
        <v>10000000</v>
      </c>
      <c r="D66" s="189"/>
      <c r="E66" s="222" t="s">
        <v>79</v>
      </c>
      <c r="F66" s="233">
        <v>45527</v>
      </c>
      <c r="G66" s="233">
        <f>EDATE(F66,6)</f>
        <v>45711</v>
      </c>
      <c r="H66" s="233">
        <f t="shared" si="21"/>
        <v>45892</v>
      </c>
      <c r="I66" s="233">
        <f t="shared" si="21"/>
        <v>46076</v>
      </c>
      <c r="J66" s="233">
        <f t="shared" si="21"/>
        <v>46257</v>
      </c>
      <c r="K66" s="233">
        <f t="shared" si="21"/>
        <v>46441</v>
      </c>
      <c r="L66" s="233">
        <f t="shared" si="21"/>
        <v>46622</v>
      </c>
      <c r="M66" s="233">
        <f t="shared" si="21"/>
        <v>46806</v>
      </c>
      <c r="N66" s="233">
        <f t="shared" si="21"/>
        <v>46988</v>
      </c>
      <c r="O66" s="233">
        <f t="shared" si="21"/>
        <v>47172</v>
      </c>
      <c r="P66" s="233">
        <f t="shared" si="21"/>
        <v>47353</v>
      </c>
      <c r="Q66" s="233">
        <f t="shared" si="21"/>
        <v>47537</v>
      </c>
      <c r="R66" s="233">
        <f t="shared" si="3"/>
        <v>47718</v>
      </c>
      <c r="S66" s="233">
        <f t="shared" si="4"/>
        <v>47902</v>
      </c>
      <c r="T66" s="233">
        <f t="shared" si="5"/>
        <v>48083</v>
      </c>
      <c r="U66" s="233">
        <f t="shared" si="6"/>
        <v>48267</v>
      </c>
      <c r="V66" s="233">
        <f t="shared" si="7"/>
        <v>48449</v>
      </c>
      <c r="W66" s="233">
        <f t="shared" si="8"/>
        <v>48633</v>
      </c>
      <c r="X66" s="233">
        <f t="shared" si="9"/>
        <v>48814</v>
      </c>
      <c r="Y66" s="233">
        <f t="shared" si="10"/>
        <v>48998</v>
      </c>
      <c r="Z66" s="203">
        <f t="shared" si="13"/>
        <v>60000000</v>
      </c>
    </row>
    <row r="67" spans="1:26" x14ac:dyDescent="0.3">
      <c r="A67" s="164">
        <v>64</v>
      </c>
      <c r="B67" s="236" t="s">
        <v>731</v>
      </c>
      <c r="C67" s="189">
        <v>9500000</v>
      </c>
      <c r="D67" s="237" t="s">
        <v>1050</v>
      </c>
      <c r="E67" s="222" t="s">
        <v>1051</v>
      </c>
      <c r="F67" s="233">
        <v>45454</v>
      </c>
      <c r="G67" s="233">
        <f t="shared" ref="G67:Q82" si="22">EDATE(F67,6)</f>
        <v>45637</v>
      </c>
      <c r="H67" s="233">
        <f t="shared" si="22"/>
        <v>45819</v>
      </c>
      <c r="I67" s="238">
        <f t="shared" si="22"/>
        <v>46002</v>
      </c>
      <c r="J67" s="233">
        <f t="shared" si="22"/>
        <v>46184</v>
      </c>
      <c r="K67" s="233">
        <f t="shared" si="22"/>
        <v>46367</v>
      </c>
      <c r="L67" s="233">
        <f t="shared" si="22"/>
        <v>46549</v>
      </c>
      <c r="M67" s="233">
        <f t="shared" si="22"/>
        <v>46732</v>
      </c>
      <c r="N67" s="233">
        <f t="shared" si="22"/>
        <v>46915</v>
      </c>
      <c r="O67" s="233">
        <f t="shared" si="22"/>
        <v>47098</v>
      </c>
      <c r="P67" s="233">
        <f t="shared" si="22"/>
        <v>47280</v>
      </c>
      <c r="Q67" s="233">
        <f t="shared" si="22"/>
        <v>47463</v>
      </c>
      <c r="R67" s="233">
        <f t="shared" si="3"/>
        <v>47645</v>
      </c>
      <c r="S67" s="233">
        <f t="shared" si="4"/>
        <v>47828</v>
      </c>
      <c r="T67" s="233">
        <f t="shared" si="5"/>
        <v>48010</v>
      </c>
      <c r="U67" s="233">
        <f t="shared" si="6"/>
        <v>48193</v>
      </c>
      <c r="V67" s="233">
        <f t="shared" si="7"/>
        <v>48376</v>
      </c>
      <c r="W67" s="233">
        <f t="shared" si="8"/>
        <v>48559</v>
      </c>
      <c r="X67" s="233">
        <f t="shared" si="9"/>
        <v>48741</v>
      </c>
      <c r="Y67" s="233">
        <f t="shared" si="10"/>
        <v>48924</v>
      </c>
      <c r="Z67" s="203">
        <f t="shared" si="13"/>
        <v>57000000</v>
      </c>
    </row>
    <row r="68" spans="1:26" x14ac:dyDescent="0.3">
      <c r="A68" s="164">
        <v>65</v>
      </c>
      <c r="B68" s="165" t="s">
        <v>749</v>
      </c>
      <c r="C68" s="189">
        <v>6400000</v>
      </c>
      <c r="D68" s="189"/>
      <c r="E68" s="222" t="s">
        <v>17</v>
      </c>
      <c r="F68" s="233">
        <v>45505</v>
      </c>
      <c r="G68" s="233">
        <f>EDATE(F68,6)</f>
        <v>45689</v>
      </c>
      <c r="H68" s="233">
        <f t="shared" si="22"/>
        <v>45870</v>
      </c>
      <c r="I68" s="233">
        <f t="shared" si="22"/>
        <v>46054</v>
      </c>
      <c r="J68" s="233">
        <f t="shared" si="22"/>
        <v>46235</v>
      </c>
      <c r="K68" s="233">
        <f t="shared" si="22"/>
        <v>46419</v>
      </c>
      <c r="L68" s="233">
        <f t="shared" si="22"/>
        <v>46600</v>
      </c>
      <c r="M68" s="233">
        <f t="shared" si="22"/>
        <v>46784</v>
      </c>
      <c r="N68" s="233">
        <f t="shared" si="22"/>
        <v>46966</v>
      </c>
      <c r="O68" s="233">
        <f t="shared" si="22"/>
        <v>47150</v>
      </c>
      <c r="P68" s="233">
        <f t="shared" si="22"/>
        <v>47331</v>
      </c>
      <c r="Q68" s="233">
        <f t="shared" si="22"/>
        <v>47515</v>
      </c>
      <c r="R68" s="233">
        <f t="shared" ref="R68:R91" si="23">EDATE(Q68,6)</f>
        <v>47696</v>
      </c>
      <c r="S68" s="233">
        <f t="shared" ref="S68:S91" si="24">EDATE(R68,6)</f>
        <v>47880</v>
      </c>
      <c r="T68" s="233">
        <f t="shared" ref="T68:T91" si="25">EDATE(S68,6)</f>
        <v>48061</v>
      </c>
      <c r="U68" s="233">
        <f t="shared" ref="U68:U91" si="26">EDATE(T68,6)</f>
        <v>48245</v>
      </c>
      <c r="V68" s="233">
        <f t="shared" ref="V68:V91" si="27">EDATE(U68,6)</f>
        <v>48427</v>
      </c>
      <c r="W68" s="233">
        <f t="shared" ref="W68:W91" si="28">EDATE(V68,6)</f>
        <v>48611</v>
      </c>
      <c r="X68" s="233">
        <f t="shared" ref="X68:X91" si="29">EDATE(W68,6)</f>
        <v>48792</v>
      </c>
      <c r="Y68" s="233">
        <f t="shared" ref="Y68:Y91" si="30">EDATE(X68,6)</f>
        <v>48976</v>
      </c>
      <c r="Z68" s="203">
        <f t="shared" si="13"/>
        <v>38400000</v>
      </c>
    </row>
    <row r="69" spans="1:26" x14ac:dyDescent="0.3">
      <c r="A69" s="164">
        <v>66</v>
      </c>
      <c r="B69" s="235" t="s">
        <v>678</v>
      </c>
      <c r="C69" s="189">
        <v>6700000</v>
      </c>
      <c r="D69" s="189"/>
      <c r="E69" s="222" t="s">
        <v>17</v>
      </c>
      <c r="F69" s="233">
        <v>45379</v>
      </c>
      <c r="G69" s="233">
        <f t="shared" ref="G69:G70" si="31">EDATE(F69,6)</f>
        <v>45563</v>
      </c>
      <c r="H69" s="233">
        <f t="shared" si="22"/>
        <v>45744</v>
      </c>
      <c r="I69" s="233">
        <f t="shared" si="22"/>
        <v>45928</v>
      </c>
      <c r="J69" s="233">
        <f t="shared" si="22"/>
        <v>46109</v>
      </c>
      <c r="K69" s="233">
        <f t="shared" si="22"/>
        <v>46293</v>
      </c>
      <c r="L69" s="233">
        <f t="shared" si="22"/>
        <v>46474</v>
      </c>
      <c r="M69" s="233">
        <f t="shared" si="22"/>
        <v>46658</v>
      </c>
      <c r="N69" s="233">
        <f t="shared" si="22"/>
        <v>46840</v>
      </c>
      <c r="O69" s="233">
        <f t="shared" si="22"/>
        <v>47024</v>
      </c>
      <c r="P69" s="233">
        <f t="shared" si="22"/>
        <v>47205</v>
      </c>
      <c r="Q69" s="233">
        <f t="shared" si="22"/>
        <v>47389</v>
      </c>
      <c r="R69" s="233">
        <f t="shared" si="23"/>
        <v>47570</v>
      </c>
      <c r="S69" s="233">
        <f t="shared" si="24"/>
        <v>47754</v>
      </c>
      <c r="T69" s="233">
        <f t="shared" si="25"/>
        <v>47935</v>
      </c>
      <c r="U69" s="233">
        <f t="shared" si="26"/>
        <v>48119</v>
      </c>
      <c r="V69" s="233">
        <f t="shared" si="27"/>
        <v>48301</v>
      </c>
      <c r="W69" s="233">
        <f t="shared" si="28"/>
        <v>48485</v>
      </c>
      <c r="X69" s="233">
        <f t="shared" si="29"/>
        <v>48666</v>
      </c>
      <c r="Y69" s="233">
        <f t="shared" si="30"/>
        <v>48850</v>
      </c>
      <c r="Z69" s="203">
        <f t="shared" si="13"/>
        <v>40200000</v>
      </c>
    </row>
    <row r="70" spans="1:26" x14ac:dyDescent="0.3">
      <c r="A70" s="164">
        <v>67</v>
      </c>
      <c r="B70" s="235" t="s">
        <v>676</v>
      </c>
      <c r="C70" s="189">
        <v>6500000</v>
      </c>
      <c r="D70" s="189"/>
      <c r="E70" s="222" t="s">
        <v>17</v>
      </c>
      <c r="F70" s="233">
        <v>45379</v>
      </c>
      <c r="G70" s="233">
        <f t="shared" si="31"/>
        <v>45563</v>
      </c>
      <c r="H70" s="233">
        <f t="shared" si="22"/>
        <v>45744</v>
      </c>
      <c r="I70" s="233">
        <f t="shared" si="22"/>
        <v>45928</v>
      </c>
      <c r="J70" s="233">
        <f t="shared" si="22"/>
        <v>46109</v>
      </c>
      <c r="K70" s="233">
        <f t="shared" si="22"/>
        <v>46293</v>
      </c>
      <c r="L70" s="233">
        <f t="shared" si="22"/>
        <v>46474</v>
      </c>
      <c r="M70" s="233">
        <f t="shared" si="22"/>
        <v>46658</v>
      </c>
      <c r="N70" s="233">
        <f t="shared" si="22"/>
        <v>46840</v>
      </c>
      <c r="O70" s="233">
        <f t="shared" si="22"/>
        <v>47024</v>
      </c>
      <c r="P70" s="233">
        <f t="shared" si="22"/>
        <v>47205</v>
      </c>
      <c r="Q70" s="233">
        <f t="shared" si="22"/>
        <v>47389</v>
      </c>
      <c r="R70" s="233">
        <f t="shared" si="23"/>
        <v>47570</v>
      </c>
      <c r="S70" s="233">
        <f t="shared" si="24"/>
        <v>47754</v>
      </c>
      <c r="T70" s="233">
        <f t="shared" si="25"/>
        <v>47935</v>
      </c>
      <c r="U70" s="233">
        <f t="shared" si="26"/>
        <v>48119</v>
      </c>
      <c r="V70" s="233">
        <f t="shared" si="27"/>
        <v>48301</v>
      </c>
      <c r="W70" s="233">
        <f t="shared" si="28"/>
        <v>48485</v>
      </c>
      <c r="X70" s="233">
        <f t="shared" si="29"/>
        <v>48666</v>
      </c>
      <c r="Y70" s="233">
        <f t="shared" si="30"/>
        <v>48850</v>
      </c>
      <c r="Z70" s="203">
        <f t="shared" si="13"/>
        <v>39000000</v>
      </c>
    </row>
    <row r="71" spans="1:26" x14ac:dyDescent="0.3">
      <c r="A71" s="164">
        <v>68</v>
      </c>
      <c r="B71" s="165" t="s">
        <v>748</v>
      </c>
      <c r="C71" s="189">
        <v>9000000</v>
      </c>
      <c r="D71" s="189"/>
      <c r="E71" s="222"/>
      <c r="F71" s="233">
        <v>45606</v>
      </c>
      <c r="G71" s="233">
        <f>EDATE(F71,6)</f>
        <v>45787</v>
      </c>
      <c r="H71" s="233">
        <f>EDATE(G71,6)</f>
        <v>45971</v>
      </c>
      <c r="I71" s="233">
        <f t="shared" si="22"/>
        <v>46152</v>
      </c>
      <c r="J71" s="233">
        <f t="shared" si="22"/>
        <v>46336</v>
      </c>
      <c r="K71" s="233">
        <f t="shared" si="22"/>
        <v>46517</v>
      </c>
      <c r="L71" s="233">
        <f t="shared" si="22"/>
        <v>46701</v>
      </c>
      <c r="M71" s="233">
        <f t="shared" si="22"/>
        <v>46883</v>
      </c>
      <c r="N71" s="233">
        <f t="shared" si="22"/>
        <v>47067</v>
      </c>
      <c r="O71" s="233">
        <f t="shared" si="22"/>
        <v>47248</v>
      </c>
      <c r="P71" s="233">
        <f t="shared" si="22"/>
        <v>47432</v>
      </c>
      <c r="Q71" s="233">
        <f t="shared" si="22"/>
        <v>47613</v>
      </c>
      <c r="R71" s="233">
        <f t="shared" si="23"/>
        <v>47797</v>
      </c>
      <c r="S71" s="233">
        <f t="shared" si="24"/>
        <v>47978</v>
      </c>
      <c r="T71" s="233">
        <f t="shared" si="25"/>
        <v>48162</v>
      </c>
      <c r="U71" s="233">
        <f t="shared" si="26"/>
        <v>48344</v>
      </c>
      <c r="V71" s="233">
        <f t="shared" si="27"/>
        <v>48528</v>
      </c>
      <c r="W71" s="233">
        <f t="shared" si="28"/>
        <v>48709</v>
      </c>
      <c r="X71" s="233">
        <f t="shared" si="29"/>
        <v>48893</v>
      </c>
      <c r="Y71" s="233">
        <f t="shared" si="30"/>
        <v>49074</v>
      </c>
      <c r="Z71" s="203">
        <f>C71*6</f>
        <v>54000000</v>
      </c>
    </row>
    <row r="72" spans="1:26" x14ac:dyDescent="0.3">
      <c r="A72" s="164">
        <v>69</v>
      </c>
      <c r="B72" s="165" t="s">
        <v>750</v>
      </c>
      <c r="C72" s="189">
        <v>9400000</v>
      </c>
      <c r="D72" s="189"/>
      <c r="E72" s="222" t="s">
        <v>17</v>
      </c>
      <c r="F72" s="233">
        <v>45576</v>
      </c>
      <c r="G72" s="233">
        <f t="shared" ref="G72:H73" si="32">EDATE(F72,6)</f>
        <v>45758</v>
      </c>
      <c r="H72" s="233">
        <f t="shared" si="32"/>
        <v>45941</v>
      </c>
      <c r="I72" s="238">
        <f t="shared" si="22"/>
        <v>46123</v>
      </c>
      <c r="J72" s="233">
        <f t="shared" si="22"/>
        <v>46306</v>
      </c>
      <c r="K72" s="233">
        <f t="shared" si="22"/>
        <v>46488</v>
      </c>
      <c r="L72" s="233">
        <f t="shared" si="22"/>
        <v>46671</v>
      </c>
      <c r="M72" s="233">
        <f t="shared" si="22"/>
        <v>46854</v>
      </c>
      <c r="N72" s="233">
        <f t="shared" si="22"/>
        <v>47037</v>
      </c>
      <c r="O72" s="233">
        <f t="shared" si="22"/>
        <v>47219</v>
      </c>
      <c r="P72" s="233">
        <f t="shared" si="22"/>
        <v>47402</v>
      </c>
      <c r="Q72" s="233">
        <f t="shared" si="22"/>
        <v>47584</v>
      </c>
      <c r="R72" s="233">
        <f t="shared" si="23"/>
        <v>47767</v>
      </c>
      <c r="S72" s="233">
        <f t="shared" si="24"/>
        <v>47949</v>
      </c>
      <c r="T72" s="233">
        <f t="shared" si="25"/>
        <v>48132</v>
      </c>
      <c r="U72" s="233">
        <f t="shared" si="26"/>
        <v>48315</v>
      </c>
      <c r="V72" s="233">
        <f t="shared" si="27"/>
        <v>48498</v>
      </c>
      <c r="W72" s="233">
        <f t="shared" si="28"/>
        <v>48680</v>
      </c>
      <c r="X72" s="233">
        <f t="shared" si="29"/>
        <v>48863</v>
      </c>
      <c r="Y72" s="233">
        <f t="shared" si="30"/>
        <v>49045</v>
      </c>
      <c r="Z72" s="203">
        <f>C72*6</f>
        <v>56400000</v>
      </c>
    </row>
    <row r="73" spans="1:26" x14ac:dyDescent="0.3">
      <c r="A73" s="164">
        <v>70</v>
      </c>
      <c r="B73" s="235" t="s">
        <v>751</v>
      </c>
      <c r="C73" s="189">
        <v>9400000</v>
      </c>
      <c r="D73" s="189"/>
      <c r="E73" s="222" t="s">
        <v>17</v>
      </c>
      <c r="F73" s="233">
        <v>45565</v>
      </c>
      <c r="G73" s="233">
        <f t="shared" si="32"/>
        <v>45746</v>
      </c>
      <c r="H73" s="233">
        <f t="shared" si="32"/>
        <v>45930</v>
      </c>
      <c r="I73" s="233">
        <f t="shared" si="22"/>
        <v>46111</v>
      </c>
      <c r="J73" s="233">
        <f t="shared" si="22"/>
        <v>46295</v>
      </c>
      <c r="K73" s="233">
        <f t="shared" si="22"/>
        <v>46476</v>
      </c>
      <c r="L73" s="233">
        <f t="shared" si="22"/>
        <v>46660</v>
      </c>
      <c r="M73" s="233">
        <f t="shared" si="22"/>
        <v>46842</v>
      </c>
      <c r="N73" s="233">
        <f t="shared" si="22"/>
        <v>47026</v>
      </c>
      <c r="O73" s="233">
        <f t="shared" si="22"/>
        <v>47207</v>
      </c>
      <c r="P73" s="233">
        <f t="shared" si="22"/>
        <v>47391</v>
      </c>
      <c r="Q73" s="233">
        <f t="shared" si="22"/>
        <v>47572</v>
      </c>
      <c r="R73" s="233">
        <f t="shared" si="23"/>
        <v>47756</v>
      </c>
      <c r="S73" s="233">
        <f t="shared" si="24"/>
        <v>47937</v>
      </c>
      <c r="T73" s="233">
        <f t="shared" si="25"/>
        <v>48121</v>
      </c>
      <c r="U73" s="233">
        <f t="shared" si="26"/>
        <v>48303</v>
      </c>
      <c r="V73" s="233">
        <f t="shared" si="27"/>
        <v>48487</v>
      </c>
      <c r="W73" s="233">
        <f t="shared" si="28"/>
        <v>48668</v>
      </c>
      <c r="X73" s="233">
        <f t="shared" si="29"/>
        <v>48852</v>
      </c>
      <c r="Y73" s="233">
        <f t="shared" si="30"/>
        <v>49033</v>
      </c>
      <c r="Z73" s="203">
        <f>C73*6</f>
        <v>56400000</v>
      </c>
    </row>
    <row r="74" spans="1:26" x14ac:dyDescent="0.3">
      <c r="A74" s="164">
        <v>71</v>
      </c>
      <c r="B74" s="236" t="s">
        <v>780</v>
      </c>
      <c r="C74" s="189">
        <v>10500000</v>
      </c>
      <c r="D74" s="189"/>
      <c r="E74" s="222" t="s">
        <v>1020</v>
      </c>
      <c r="F74" s="233">
        <v>45633</v>
      </c>
      <c r="G74" s="233">
        <f>EDATE(F74,3)</f>
        <v>45723</v>
      </c>
      <c r="H74" s="233">
        <f>EDATE(G74,3)</f>
        <v>45815</v>
      </c>
      <c r="I74" s="238">
        <f>EDATE(H74,6)</f>
        <v>45998</v>
      </c>
      <c r="J74" s="233">
        <f t="shared" si="22"/>
        <v>46180</v>
      </c>
      <c r="K74" s="233">
        <f t="shared" si="22"/>
        <v>46363</v>
      </c>
      <c r="L74" s="233">
        <f t="shared" si="22"/>
        <v>46545</v>
      </c>
      <c r="M74" s="233">
        <f t="shared" si="22"/>
        <v>46728</v>
      </c>
      <c r="N74" s="233">
        <f t="shared" si="22"/>
        <v>46911</v>
      </c>
      <c r="O74" s="233">
        <f t="shared" si="22"/>
        <v>47094</v>
      </c>
      <c r="P74" s="233">
        <f t="shared" si="22"/>
        <v>47276</v>
      </c>
      <c r="Q74" s="233">
        <f t="shared" si="22"/>
        <v>47459</v>
      </c>
      <c r="R74" s="233">
        <f t="shared" si="23"/>
        <v>47641</v>
      </c>
      <c r="S74" s="233">
        <f t="shared" si="24"/>
        <v>47824</v>
      </c>
      <c r="T74" s="233">
        <f t="shared" si="25"/>
        <v>48006</v>
      </c>
      <c r="U74" s="233">
        <f t="shared" si="26"/>
        <v>48189</v>
      </c>
      <c r="V74" s="233">
        <f t="shared" si="27"/>
        <v>48372</v>
      </c>
      <c r="W74" s="233">
        <f t="shared" si="28"/>
        <v>48555</v>
      </c>
      <c r="X74" s="233">
        <f t="shared" si="29"/>
        <v>48737</v>
      </c>
      <c r="Y74" s="233">
        <f t="shared" si="30"/>
        <v>48920</v>
      </c>
      <c r="Z74" s="203">
        <f>C74*6</f>
        <v>63000000</v>
      </c>
    </row>
    <row r="75" spans="1:26" x14ac:dyDescent="0.3">
      <c r="A75" s="164">
        <v>72</v>
      </c>
      <c r="B75" s="165" t="s">
        <v>796</v>
      </c>
      <c r="C75" s="189">
        <v>11400000</v>
      </c>
      <c r="D75" s="189"/>
      <c r="E75" s="222"/>
      <c r="F75" s="233">
        <v>45685</v>
      </c>
      <c r="G75" s="233">
        <f>EDATE(F75,3)</f>
        <v>45775</v>
      </c>
      <c r="H75" s="233">
        <f>EDATE(G75,3)</f>
        <v>45866</v>
      </c>
      <c r="I75" s="233">
        <f>EDATE(H75,6)</f>
        <v>46050</v>
      </c>
      <c r="J75" s="233">
        <f t="shared" si="22"/>
        <v>46231</v>
      </c>
      <c r="K75" s="233">
        <f t="shared" si="22"/>
        <v>46415</v>
      </c>
      <c r="L75" s="233">
        <f t="shared" si="22"/>
        <v>46596</v>
      </c>
      <c r="M75" s="233">
        <f t="shared" si="22"/>
        <v>46780</v>
      </c>
      <c r="N75" s="233">
        <f t="shared" si="22"/>
        <v>46962</v>
      </c>
      <c r="O75" s="233">
        <f t="shared" si="22"/>
        <v>47146</v>
      </c>
      <c r="P75" s="233">
        <f t="shared" si="22"/>
        <v>47327</v>
      </c>
      <c r="Q75" s="233">
        <f t="shared" si="22"/>
        <v>47511</v>
      </c>
      <c r="R75" s="233">
        <f t="shared" si="23"/>
        <v>47692</v>
      </c>
      <c r="S75" s="233">
        <f t="shared" si="24"/>
        <v>47876</v>
      </c>
      <c r="T75" s="233">
        <f t="shared" si="25"/>
        <v>48057</v>
      </c>
      <c r="U75" s="233">
        <f t="shared" si="26"/>
        <v>48241</v>
      </c>
      <c r="V75" s="233">
        <f t="shared" si="27"/>
        <v>48423</v>
      </c>
      <c r="W75" s="233">
        <f t="shared" si="28"/>
        <v>48607</v>
      </c>
      <c r="X75" s="233">
        <f t="shared" si="29"/>
        <v>48788</v>
      </c>
      <c r="Y75" s="233">
        <f t="shared" si="30"/>
        <v>48972</v>
      </c>
      <c r="Z75" s="203">
        <f>C75*6</f>
        <v>68400000</v>
      </c>
    </row>
    <row r="76" spans="1:26" x14ac:dyDescent="0.3">
      <c r="A76" s="164">
        <v>73</v>
      </c>
      <c r="B76" s="165" t="s">
        <v>787</v>
      </c>
      <c r="C76" s="189">
        <v>6400000</v>
      </c>
      <c r="D76" s="189"/>
      <c r="E76" s="222"/>
      <c r="F76" s="233">
        <v>45657</v>
      </c>
      <c r="G76" s="233">
        <f>EDATE(F76,6)+1</f>
        <v>45839</v>
      </c>
      <c r="H76" s="238">
        <f t="shared" ref="H76:Q91" si="33">EDATE(G76,6)</f>
        <v>46023</v>
      </c>
      <c r="I76" s="233">
        <f t="shared" si="33"/>
        <v>46204</v>
      </c>
      <c r="J76" s="233">
        <f t="shared" si="22"/>
        <v>46388</v>
      </c>
      <c r="K76" s="233">
        <f t="shared" si="22"/>
        <v>46569</v>
      </c>
      <c r="L76" s="233">
        <f t="shared" si="22"/>
        <v>46753</v>
      </c>
      <c r="M76" s="233">
        <f t="shared" si="22"/>
        <v>46935</v>
      </c>
      <c r="N76" s="233">
        <f t="shared" si="22"/>
        <v>47119</v>
      </c>
      <c r="O76" s="233">
        <f t="shared" si="22"/>
        <v>47300</v>
      </c>
      <c r="P76" s="233">
        <f t="shared" si="22"/>
        <v>47484</v>
      </c>
      <c r="Q76" s="233">
        <f t="shared" si="22"/>
        <v>47665</v>
      </c>
      <c r="R76" s="233">
        <f t="shared" si="23"/>
        <v>47849</v>
      </c>
      <c r="S76" s="233">
        <f t="shared" si="24"/>
        <v>48030</v>
      </c>
      <c r="T76" s="233">
        <f t="shared" si="25"/>
        <v>48214</v>
      </c>
      <c r="U76" s="233">
        <f t="shared" si="26"/>
        <v>48396</v>
      </c>
      <c r="V76" s="233">
        <f t="shared" si="27"/>
        <v>48580</v>
      </c>
      <c r="W76" s="233">
        <f t="shared" si="28"/>
        <v>48761</v>
      </c>
      <c r="X76" s="233">
        <f t="shared" si="29"/>
        <v>48945</v>
      </c>
      <c r="Y76" s="233">
        <f t="shared" si="30"/>
        <v>49126</v>
      </c>
      <c r="Z76" s="203">
        <f t="shared" ref="Z76" si="34">C76*6</f>
        <v>38400000</v>
      </c>
    </row>
    <row r="77" spans="1:26" x14ac:dyDescent="0.3">
      <c r="A77" s="164">
        <v>74</v>
      </c>
      <c r="B77" s="165" t="s">
        <v>800</v>
      </c>
      <c r="C77" s="189">
        <v>6400000</v>
      </c>
      <c r="D77" s="189"/>
      <c r="E77" s="222"/>
      <c r="F77" s="233">
        <v>45700</v>
      </c>
      <c r="G77" s="233">
        <f t="shared" ref="G77" si="35">EDATE(F77,6)</f>
        <v>45881</v>
      </c>
      <c r="H77" s="233">
        <f t="shared" si="33"/>
        <v>46065</v>
      </c>
      <c r="I77" s="233">
        <f t="shared" si="33"/>
        <v>46246</v>
      </c>
      <c r="J77" s="233">
        <f t="shared" si="22"/>
        <v>46430</v>
      </c>
      <c r="K77" s="233">
        <f t="shared" si="22"/>
        <v>46611</v>
      </c>
      <c r="L77" s="233">
        <f t="shared" si="22"/>
        <v>46795</v>
      </c>
      <c r="M77" s="233">
        <f t="shared" si="22"/>
        <v>46977</v>
      </c>
      <c r="N77" s="233">
        <f t="shared" si="22"/>
        <v>47161</v>
      </c>
      <c r="O77" s="233">
        <f t="shared" si="22"/>
        <v>47342</v>
      </c>
      <c r="P77" s="233">
        <f t="shared" si="22"/>
        <v>47526</v>
      </c>
      <c r="Q77" s="233">
        <f t="shared" si="22"/>
        <v>47707</v>
      </c>
      <c r="R77" s="233">
        <f t="shared" si="23"/>
        <v>47891</v>
      </c>
      <c r="S77" s="233">
        <f t="shared" si="24"/>
        <v>48072</v>
      </c>
      <c r="T77" s="233">
        <f t="shared" si="25"/>
        <v>48256</v>
      </c>
      <c r="U77" s="233">
        <f t="shared" si="26"/>
        <v>48438</v>
      </c>
      <c r="V77" s="233">
        <f t="shared" si="27"/>
        <v>48622</v>
      </c>
      <c r="W77" s="233">
        <f t="shared" si="28"/>
        <v>48803</v>
      </c>
      <c r="X77" s="233">
        <f t="shared" si="29"/>
        <v>48987</v>
      </c>
      <c r="Y77" s="233">
        <f t="shared" si="30"/>
        <v>49168</v>
      </c>
      <c r="Z77" s="203">
        <f>C77*6</f>
        <v>38400000</v>
      </c>
    </row>
    <row r="78" spans="1:26" x14ac:dyDescent="0.3">
      <c r="A78" s="164">
        <v>75</v>
      </c>
      <c r="B78" s="165" t="s">
        <v>801</v>
      </c>
      <c r="C78" s="189">
        <v>6500000</v>
      </c>
      <c r="D78" s="189"/>
      <c r="E78" s="222"/>
      <c r="F78" s="233">
        <v>45704</v>
      </c>
      <c r="G78" s="233">
        <f>EDATE(F78,3)</f>
        <v>45793</v>
      </c>
      <c r="H78" s="233">
        <f t="shared" si="33"/>
        <v>45977</v>
      </c>
      <c r="I78" s="233">
        <f t="shared" si="33"/>
        <v>46158</v>
      </c>
      <c r="J78" s="233">
        <f t="shared" si="22"/>
        <v>46342</v>
      </c>
      <c r="K78" s="233">
        <f t="shared" si="22"/>
        <v>46523</v>
      </c>
      <c r="L78" s="233">
        <f t="shared" si="22"/>
        <v>46707</v>
      </c>
      <c r="M78" s="233">
        <f t="shared" si="22"/>
        <v>46889</v>
      </c>
      <c r="N78" s="233">
        <f t="shared" si="22"/>
        <v>47073</v>
      </c>
      <c r="O78" s="233">
        <f t="shared" si="22"/>
        <v>47254</v>
      </c>
      <c r="P78" s="233">
        <f t="shared" si="22"/>
        <v>47438</v>
      </c>
      <c r="Q78" s="233">
        <f t="shared" si="22"/>
        <v>47619</v>
      </c>
      <c r="R78" s="233">
        <f t="shared" si="23"/>
        <v>47803</v>
      </c>
      <c r="S78" s="233">
        <f t="shared" si="24"/>
        <v>47984</v>
      </c>
      <c r="T78" s="233">
        <f t="shared" si="25"/>
        <v>48168</v>
      </c>
      <c r="U78" s="233">
        <f t="shared" si="26"/>
        <v>48350</v>
      </c>
      <c r="V78" s="233">
        <f t="shared" si="27"/>
        <v>48534</v>
      </c>
      <c r="W78" s="233">
        <f t="shared" si="28"/>
        <v>48715</v>
      </c>
      <c r="X78" s="233">
        <f t="shared" si="29"/>
        <v>48899</v>
      </c>
      <c r="Y78" s="233">
        <f t="shared" si="30"/>
        <v>49080</v>
      </c>
      <c r="Z78" s="203">
        <f>C78*6</f>
        <v>39000000</v>
      </c>
    </row>
    <row r="79" spans="1:26" x14ac:dyDescent="0.3">
      <c r="A79" s="164">
        <v>76</v>
      </c>
      <c r="B79" s="248" t="s">
        <v>1052</v>
      </c>
      <c r="C79" s="189">
        <v>12000000</v>
      </c>
      <c r="D79" s="189"/>
      <c r="E79" s="222"/>
      <c r="F79" s="233">
        <v>45720</v>
      </c>
      <c r="G79" s="233">
        <v>45903</v>
      </c>
      <c r="H79" s="233">
        <f t="shared" si="33"/>
        <v>46084</v>
      </c>
      <c r="I79" s="233">
        <f t="shared" si="33"/>
        <v>46268</v>
      </c>
      <c r="J79" s="233">
        <f t="shared" si="22"/>
        <v>46449</v>
      </c>
      <c r="K79" s="233">
        <f t="shared" si="22"/>
        <v>46633</v>
      </c>
      <c r="L79" s="233">
        <f t="shared" si="22"/>
        <v>46815</v>
      </c>
      <c r="M79" s="233">
        <f t="shared" si="22"/>
        <v>46999</v>
      </c>
      <c r="N79" s="233">
        <f t="shared" si="22"/>
        <v>47180</v>
      </c>
      <c r="O79" s="233">
        <f t="shared" si="22"/>
        <v>47364</v>
      </c>
      <c r="P79" s="233">
        <f t="shared" si="22"/>
        <v>47545</v>
      </c>
      <c r="Q79" s="233">
        <f t="shared" si="22"/>
        <v>47729</v>
      </c>
      <c r="R79" s="233">
        <f t="shared" si="23"/>
        <v>47910</v>
      </c>
      <c r="S79" s="233">
        <f t="shared" si="24"/>
        <v>48094</v>
      </c>
      <c r="T79" s="233">
        <f t="shared" si="25"/>
        <v>48276</v>
      </c>
      <c r="U79" s="233">
        <f t="shared" si="26"/>
        <v>48460</v>
      </c>
      <c r="V79" s="233">
        <f t="shared" si="27"/>
        <v>48641</v>
      </c>
      <c r="W79" s="233">
        <f t="shared" si="28"/>
        <v>48825</v>
      </c>
      <c r="X79" s="233">
        <f t="shared" si="29"/>
        <v>49006</v>
      </c>
      <c r="Y79" s="233">
        <f t="shared" si="30"/>
        <v>49190</v>
      </c>
      <c r="Z79" s="203">
        <f>C79*6</f>
        <v>72000000</v>
      </c>
    </row>
    <row r="80" spans="1:26" x14ac:dyDescent="0.3">
      <c r="A80" s="164">
        <v>77</v>
      </c>
      <c r="B80" s="165" t="s">
        <v>812</v>
      </c>
      <c r="C80" s="189">
        <v>9300000</v>
      </c>
      <c r="D80" s="189"/>
      <c r="E80" s="222"/>
      <c r="F80" s="233">
        <v>45757</v>
      </c>
      <c r="G80" s="233">
        <f>EDATE(F80,3)</f>
        <v>45848</v>
      </c>
      <c r="H80" s="233">
        <f>EDATE(G80,3)</f>
        <v>45940</v>
      </c>
      <c r="I80" s="233">
        <f t="shared" si="33"/>
        <v>46122</v>
      </c>
      <c r="J80" s="233">
        <f t="shared" si="22"/>
        <v>46305</v>
      </c>
      <c r="K80" s="233">
        <f t="shared" si="22"/>
        <v>46487</v>
      </c>
      <c r="L80" s="233">
        <f t="shared" si="22"/>
        <v>46670</v>
      </c>
      <c r="M80" s="233">
        <f t="shared" si="22"/>
        <v>46853</v>
      </c>
      <c r="N80" s="233">
        <f t="shared" si="22"/>
        <v>47036</v>
      </c>
      <c r="O80" s="233">
        <f t="shared" si="22"/>
        <v>47218</v>
      </c>
      <c r="P80" s="233">
        <f t="shared" si="22"/>
        <v>47401</v>
      </c>
      <c r="Q80" s="233">
        <f t="shared" si="22"/>
        <v>47583</v>
      </c>
      <c r="R80" s="233">
        <f t="shared" si="23"/>
        <v>47766</v>
      </c>
      <c r="S80" s="233">
        <f t="shared" si="24"/>
        <v>47948</v>
      </c>
      <c r="T80" s="233">
        <f t="shared" si="25"/>
        <v>48131</v>
      </c>
      <c r="U80" s="233">
        <f t="shared" si="26"/>
        <v>48314</v>
      </c>
      <c r="V80" s="233">
        <f t="shared" si="27"/>
        <v>48497</v>
      </c>
      <c r="W80" s="233">
        <f t="shared" si="28"/>
        <v>48679</v>
      </c>
      <c r="X80" s="233">
        <f t="shared" si="29"/>
        <v>48862</v>
      </c>
      <c r="Y80" s="233">
        <f t="shared" si="30"/>
        <v>49044</v>
      </c>
      <c r="Z80" s="203">
        <f>C80*6</f>
        <v>55800000</v>
      </c>
    </row>
    <row r="81" spans="1:26" x14ac:dyDescent="0.3">
      <c r="A81" s="164">
        <v>78</v>
      </c>
      <c r="B81" s="165" t="s">
        <v>844</v>
      </c>
      <c r="C81" s="189">
        <v>6250000</v>
      </c>
      <c r="D81" s="189"/>
      <c r="E81" s="222"/>
      <c r="F81" s="233">
        <v>45855</v>
      </c>
      <c r="G81" s="233">
        <f>EDATE(F81,6)</f>
        <v>46039</v>
      </c>
      <c r="H81" s="233">
        <f t="shared" ref="H81:H91" si="36">EDATE(G81,6)</f>
        <v>46220</v>
      </c>
      <c r="I81" s="233">
        <f t="shared" si="33"/>
        <v>46404</v>
      </c>
      <c r="J81" s="233">
        <f t="shared" si="22"/>
        <v>46585</v>
      </c>
      <c r="K81" s="233">
        <f t="shared" si="22"/>
        <v>46769</v>
      </c>
      <c r="L81" s="233">
        <f t="shared" si="22"/>
        <v>46951</v>
      </c>
      <c r="M81" s="233">
        <f t="shared" si="22"/>
        <v>47135</v>
      </c>
      <c r="N81" s="233">
        <f t="shared" si="22"/>
        <v>47316</v>
      </c>
      <c r="O81" s="233">
        <f t="shared" si="22"/>
        <v>47500</v>
      </c>
      <c r="P81" s="233">
        <f t="shared" si="22"/>
        <v>47681</v>
      </c>
      <c r="Q81" s="233">
        <f t="shared" si="22"/>
        <v>47865</v>
      </c>
      <c r="R81" s="233">
        <f t="shared" si="23"/>
        <v>48046</v>
      </c>
      <c r="S81" s="233">
        <f t="shared" si="24"/>
        <v>48230</v>
      </c>
      <c r="T81" s="233">
        <f t="shared" si="25"/>
        <v>48412</v>
      </c>
      <c r="U81" s="233">
        <f t="shared" si="26"/>
        <v>48596</v>
      </c>
      <c r="V81" s="233">
        <f t="shared" si="27"/>
        <v>48777</v>
      </c>
      <c r="W81" s="233">
        <f t="shared" si="28"/>
        <v>48961</v>
      </c>
      <c r="X81" s="233">
        <f t="shared" si="29"/>
        <v>49142</v>
      </c>
      <c r="Y81" s="233">
        <f t="shared" si="30"/>
        <v>49326</v>
      </c>
      <c r="Z81" s="203">
        <f>C81*6</f>
        <v>37500000</v>
      </c>
    </row>
    <row r="82" spans="1:26" x14ac:dyDescent="0.3">
      <c r="A82" s="164">
        <v>79</v>
      </c>
      <c r="B82" s="165" t="s">
        <v>840</v>
      </c>
      <c r="C82" s="189">
        <v>9100000</v>
      </c>
      <c r="D82" s="189"/>
      <c r="E82" s="222" t="s">
        <v>17</v>
      </c>
      <c r="F82" s="233">
        <v>45887</v>
      </c>
      <c r="G82" s="233">
        <f>EDATE(F82,6)</f>
        <v>46071</v>
      </c>
      <c r="H82" s="233">
        <f t="shared" si="36"/>
        <v>46252</v>
      </c>
      <c r="I82" s="233">
        <f t="shared" si="33"/>
        <v>46436</v>
      </c>
      <c r="J82" s="233">
        <f t="shared" si="22"/>
        <v>46617</v>
      </c>
      <c r="K82" s="233">
        <f t="shared" si="22"/>
        <v>46801</v>
      </c>
      <c r="L82" s="233">
        <f t="shared" si="22"/>
        <v>46983</v>
      </c>
      <c r="M82" s="233">
        <f t="shared" si="22"/>
        <v>47167</v>
      </c>
      <c r="N82" s="233">
        <f t="shared" si="22"/>
        <v>47348</v>
      </c>
      <c r="O82" s="233">
        <f t="shared" si="22"/>
        <v>47532</v>
      </c>
      <c r="P82" s="233">
        <f t="shared" si="22"/>
        <v>47713</v>
      </c>
      <c r="Q82" s="233">
        <f t="shared" si="22"/>
        <v>47897</v>
      </c>
      <c r="R82" s="233">
        <f t="shared" si="23"/>
        <v>48078</v>
      </c>
      <c r="S82" s="233">
        <f t="shared" si="24"/>
        <v>48262</v>
      </c>
      <c r="T82" s="233">
        <f t="shared" si="25"/>
        <v>48444</v>
      </c>
      <c r="U82" s="233">
        <f t="shared" si="26"/>
        <v>48628</v>
      </c>
      <c r="V82" s="233">
        <f t="shared" si="27"/>
        <v>48809</v>
      </c>
      <c r="W82" s="233">
        <f t="shared" si="28"/>
        <v>48993</v>
      </c>
      <c r="X82" s="233">
        <f t="shared" si="29"/>
        <v>49174</v>
      </c>
      <c r="Y82" s="233">
        <f t="shared" si="30"/>
        <v>49358</v>
      </c>
      <c r="Z82" s="203">
        <f t="shared" ref="Z82:Z88" si="37">C82*6</f>
        <v>54600000</v>
      </c>
    </row>
    <row r="83" spans="1:26" x14ac:dyDescent="0.3">
      <c r="A83" s="164">
        <v>80</v>
      </c>
      <c r="B83" s="165" t="s">
        <v>842</v>
      </c>
      <c r="C83" s="189">
        <v>9300000</v>
      </c>
      <c r="D83" s="189"/>
      <c r="E83" s="222" t="s">
        <v>17</v>
      </c>
      <c r="F83" s="233">
        <v>45884</v>
      </c>
      <c r="G83" s="233">
        <f>EDATE(F83,6)</f>
        <v>46068</v>
      </c>
      <c r="H83" s="233">
        <f t="shared" si="36"/>
        <v>46249</v>
      </c>
      <c r="I83" s="233">
        <f t="shared" si="33"/>
        <v>46433</v>
      </c>
      <c r="J83" s="233">
        <f t="shared" si="33"/>
        <v>46614</v>
      </c>
      <c r="K83" s="233">
        <f t="shared" si="33"/>
        <v>46798</v>
      </c>
      <c r="L83" s="233">
        <f t="shared" si="33"/>
        <v>46980</v>
      </c>
      <c r="M83" s="233">
        <f t="shared" si="33"/>
        <v>47164</v>
      </c>
      <c r="N83" s="233">
        <f t="shared" si="33"/>
        <v>47345</v>
      </c>
      <c r="O83" s="233">
        <f t="shared" si="33"/>
        <v>47529</v>
      </c>
      <c r="P83" s="233">
        <f t="shared" si="33"/>
        <v>47710</v>
      </c>
      <c r="Q83" s="233">
        <f t="shared" si="33"/>
        <v>47894</v>
      </c>
      <c r="R83" s="233">
        <f t="shared" si="23"/>
        <v>48075</v>
      </c>
      <c r="S83" s="233">
        <f t="shared" si="24"/>
        <v>48259</v>
      </c>
      <c r="T83" s="233">
        <f t="shared" si="25"/>
        <v>48441</v>
      </c>
      <c r="U83" s="233">
        <f t="shared" si="26"/>
        <v>48625</v>
      </c>
      <c r="V83" s="233">
        <f t="shared" si="27"/>
        <v>48806</v>
      </c>
      <c r="W83" s="233">
        <f t="shared" si="28"/>
        <v>48990</v>
      </c>
      <c r="X83" s="233">
        <f t="shared" si="29"/>
        <v>49171</v>
      </c>
      <c r="Y83" s="233">
        <f t="shared" si="30"/>
        <v>49355</v>
      </c>
      <c r="Z83" s="203">
        <f t="shared" si="37"/>
        <v>55800000</v>
      </c>
    </row>
    <row r="84" spans="1:26" x14ac:dyDescent="0.3">
      <c r="A84" s="164">
        <v>81</v>
      </c>
      <c r="B84" s="165" t="s">
        <v>988</v>
      </c>
      <c r="C84" s="189">
        <v>6400000</v>
      </c>
      <c r="D84" s="189"/>
      <c r="E84" s="222" t="s">
        <v>1020</v>
      </c>
      <c r="F84" s="233">
        <v>45873</v>
      </c>
      <c r="G84" s="233">
        <f>EDATE(F84,3)</f>
        <v>45965</v>
      </c>
      <c r="H84" s="233">
        <f t="shared" si="36"/>
        <v>46146</v>
      </c>
      <c r="I84" s="233">
        <f t="shared" si="33"/>
        <v>46330</v>
      </c>
      <c r="J84" s="233">
        <f t="shared" si="33"/>
        <v>46511</v>
      </c>
      <c r="K84" s="233">
        <f t="shared" si="33"/>
        <v>46695</v>
      </c>
      <c r="L84" s="233">
        <f t="shared" si="33"/>
        <v>46877</v>
      </c>
      <c r="M84" s="233">
        <f t="shared" si="33"/>
        <v>47061</v>
      </c>
      <c r="N84" s="233">
        <f t="shared" si="33"/>
        <v>47242</v>
      </c>
      <c r="O84" s="233">
        <f t="shared" si="33"/>
        <v>47426</v>
      </c>
      <c r="P84" s="233">
        <f t="shared" si="33"/>
        <v>47607</v>
      </c>
      <c r="Q84" s="233">
        <f t="shared" si="33"/>
        <v>47791</v>
      </c>
      <c r="R84" s="233">
        <f t="shared" si="23"/>
        <v>47972</v>
      </c>
      <c r="S84" s="233">
        <f t="shared" si="24"/>
        <v>48156</v>
      </c>
      <c r="T84" s="233">
        <f t="shared" si="25"/>
        <v>48338</v>
      </c>
      <c r="U84" s="233">
        <f t="shared" si="26"/>
        <v>48522</v>
      </c>
      <c r="V84" s="233">
        <f t="shared" si="27"/>
        <v>48703</v>
      </c>
      <c r="W84" s="233">
        <f t="shared" si="28"/>
        <v>48887</v>
      </c>
      <c r="X84" s="233">
        <f t="shared" si="29"/>
        <v>49068</v>
      </c>
      <c r="Y84" s="233">
        <f t="shared" si="30"/>
        <v>49252</v>
      </c>
      <c r="Z84" s="203">
        <f t="shared" si="37"/>
        <v>38400000</v>
      </c>
    </row>
    <row r="85" spans="1:26" x14ac:dyDescent="0.3">
      <c r="A85" s="164">
        <v>82</v>
      </c>
      <c r="B85" s="165" t="s">
        <v>817</v>
      </c>
      <c r="C85" s="189">
        <v>13400000</v>
      </c>
      <c r="D85" s="189"/>
      <c r="E85" s="222" t="s">
        <v>17</v>
      </c>
      <c r="F85" s="233">
        <v>45884</v>
      </c>
      <c r="G85" s="233">
        <f t="shared" ref="G85:G90" si="38">EDATE(F85,6)</f>
        <v>46068</v>
      </c>
      <c r="H85" s="233">
        <f t="shared" si="36"/>
        <v>46249</v>
      </c>
      <c r="I85" s="233">
        <f t="shared" si="33"/>
        <v>46433</v>
      </c>
      <c r="J85" s="233">
        <f t="shared" si="33"/>
        <v>46614</v>
      </c>
      <c r="K85" s="233">
        <f t="shared" si="33"/>
        <v>46798</v>
      </c>
      <c r="L85" s="233">
        <f t="shared" si="33"/>
        <v>46980</v>
      </c>
      <c r="M85" s="233">
        <f t="shared" si="33"/>
        <v>47164</v>
      </c>
      <c r="N85" s="233">
        <f t="shared" si="33"/>
        <v>47345</v>
      </c>
      <c r="O85" s="233">
        <f t="shared" si="33"/>
        <v>47529</v>
      </c>
      <c r="P85" s="233">
        <f t="shared" si="33"/>
        <v>47710</v>
      </c>
      <c r="Q85" s="233">
        <f t="shared" si="33"/>
        <v>47894</v>
      </c>
      <c r="R85" s="233">
        <f t="shared" si="23"/>
        <v>48075</v>
      </c>
      <c r="S85" s="233">
        <f t="shared" si="24"/>
        <v>48259</v>
      </c>
      <c r="T85" s="233">
        <f t="shared" si="25"/>
        <v>48441</v>
      </c>
      <c r="U85" s="233">
        <f t="shared" si="26"/>
        <v>48625</v>
      </c>
      <c r="V85" s="233">
        <f t="shared" si="27"/>
        <v>48806</v>
      </c>
      <c r="W85" s="233">
        <f t="shared" si="28"/>
        <v>48990</v>
      </c>
      <c r="X85" s="233">
        <f t="shared" si="29"/>
        <v>49171</v>
      </c>
      <c r="Y85" s="233">
        <f t="shared" si="30"/>
        <v>49355</v>
      </c>
      <c r="Z85" s="203">
        <f t="shared" si="37"/>
        <v>80400000</v>
      </c>
    </row>
    <row r="86" spans="1:26" x14ac:dyDescent="0.3">
      <c r="A86" s="164">
        <v>83</v>
      </c>
      <c r="B86" s="165" t="s">
        <v>843</v>
      </c>
      <c r="C86" s="189">
        <v>6800000</v>
      </c>
      <c r="D86" s="189"/>
      <c r="E86" s="222" t="s">
        <v>17</v>
      </c>
      <c r="F86" s="233">
        <v>45891</v>
      </c>
      <c r="G86" s="233">
        <f t="shared" si="38"/>
        <v>46075</v>
      </c>
      <c r="H86" s="233">
        <f t="shared" si="36"/>
        <v>46256</v>
      </c>
      <c r="I86" s="233">
        <f t="shared" si="33"/>
        <v>46440</v>
      </c>
      <c r="J86" s="233">
        <f t="shared" si="33"/>
        <v>46621</v>
      </c>
      <c r="K86" s="233">
        <f t="shared" si="33"/>
        <v>46805</v>
      </c>
      <c r="L86" s="233">
        <f t="shared" si="33"/>
        <v>46987</v>
      </c>
      <c r="M86" s="233">
        <f t="shared" si="33"/>
        <v>47171</v>
      </c>
      <c r="N86" s="233">
        <f t="shared" si="33"/>
        <v>47352</v>
      </c>
      <c r="O86" s="233">
        <f t="shared" si="33"/>
        <v>47536</v>
      </c>
      <c r="P86" s="233">
        <f t="shared" si="33"/>
        <v>47717</v>
      </c>
      <c r="Q86" s="233">
        <f t="shared" si="33"/>
        <v>47901</v>
      </c>
      <c r="R86" s="233">
        <f t="shared" si="23"/>
        <v>48082</v>
      </c>
      <c r="S86" s="233">
        <f t="shared" si="24"/>
        <v>48266</v>
      </c>
      <c r="T86" s="233">
        <f t="shared" si="25"/>
        <v>48448</v>
      </c>
      <c r="U86" s="233">
        <f t="shared" si="26"/>
        <v>48632</v>
      </c>
      <c r="V86" s="233">
        <f t="shared" si="27"/>
        <v>48813</v>
      </c>
      <c r="W86" s="233">
        <f t="shared" si="28"/>
        <v>48997</v>
      </c>
      <c r="X86" s="233">
        <f t="shared" si="29"/>
        <v>49178</v>
      </c>
      <c r="Y86" s="233">
        <f t="shared" si="30"/>
        <v>49362</v>
      </c>
      <c r="Z86" s="203">
        <f t="shared" si="37"/>
        <v>40800000</v>
      </c>
    </row>
    <row r="87" spans="1:26" x14ac:dyDescent="0.3">
      <c r="A87" s="164">
        <v>84</v>
      </c>
      <c r="B87" s="165" t="s">
        <v>400</v>
      </c>
      <c r="C87" s="189">
        <v>12600000</v>
      </c>
      <c r="D87" s="189"/>
      <c r="E87" s="222" t="s">
        <v>17</v>
      </c>
      <c r="F87" s="233">
        <v>45884</v>
      </c>
      <c r="G87" s="233">
        <f t="shared" si="38"/>
        <v>46068</v>
      </c>
      <c r="H87" s="233">
        <f t="shared" si="36"/>
        <v>46249</v>
      </c>
      <c r="I87" s="233">
        <f t="shared" si="33"/>
        <v>46433</v>
      </c>
      <c r="J87" s="233">
        <f t="shared" si="33"/>
        <v>46614</v>
      </c>
      <c r="K87" s="233">
        <f t="shared" si="33"/>
        <v>46798</v>
      </c>
      <c r="L87" s="233">
        <f t="shared" si="33"/>
        <v>46980</v>
      </c>
      <c r="M87" s="233">
        <f t="shared" si="33"/>
        <v>47164</v>
      </c>
      <c r="N87" s="233">
        <f t="shared" si="33"/>
        <v>47345</v>
      </c>
      <c r="O87" s="233">
        <f t="shared" si="33"/>
        <v>47529</v>
      </c>
      <c r="P87" s="233">
        <f t="shared" si="33"/>
        <v>47710</v>
      </c>
      <c r="Q87" s="233">
        <f t="shared" si="33"/>
        <v>47894</v>
      </c>
      <c r="R87" s="233">
        <f t="shared" si="23"/>
        <v>48075</v>
      </c>
      <c r="S87" s="233">
        <f t="shared" si="24"/>
        <v>48259</v>
      </c>
      <c r="T87" s="233">
        <f t="shared" si="25"/>
        <v>48441</v>
      </c>
      <c r="U87" s="233">
        <f t="shared" si="26"/>
        <v>48625</v>
      </c>
      <c r="V87" s="233">
        <f t="shared" si="27"/>
        <v>48806</v>
      </c>
      <c r="W87" s="233">
        <f t="shared" si="28"/>
        <v>48990</v>
      </c>
      <c r="X87" s="233">
        <f t="shared" si="29"/>
        <v>49171</v>
      </c>
      <c r="Y87" s="233">
        <f t="shared" si="30"/>
        <v>49355</v>
      </c>
      <c r="Z87" s="203">
        <f t="shared" si="37"/>
        <v>75600000</v>
      </c>
    </row>
    <row r="88" spans="1:26" x14ac:dyDescent="0.3">
      <c r="A88" s="164">
        <v>85</v>
      </c>
      <c r="B88" s="165" t="s">
        <v>891</v>
      </c>
      <c r="C88" s="189">
        <v>6500000</v>
      </c>
      <c r="D88" s="189"/>
      <c r="E88" s="222" t="s">
        <v>17</v>
      </c>
      <c r="F88" s="233">
        <v>45905</v>
      </c>
      <c r="G88" s="233">
        <f t="shared" si="38"/>
        <v>46086</v>
      </c>
      <c r="H88" s="233">
        <f t="shared" si="36"/>
        <v>46270</v>
      </c>
      <c r="I88" s="233">
        <f t="shared" si="33"/>
        <v>46451</v>
      </c>
      <c r="J88" s="233">
        <f t="shared" si="33"/>
        <v>46635</v>
      </c>
      <c r="K88" s="233">
        <f t="shared" si="33"/>
        <v>46817</v>
      </c>
      <c r="L88" s="233">
        <f t="shared" si="33"/>
        <v>47001</v>
      </c>
      <c r="M88" s="233">
        <f t="shared" si="33"/>
        <v>47182</v>
      </c>
      <c r="N88" s="233">
        <f t="shared" si="33"/>
        <v>47366</v>
      </c>
      <c r="O88" s="233">
        <f t="shared" si="33"/>
        <v>47547</v>
      </c>
      <c r="P88" s="233">
        <f t="shared" si="33"/>
        <v>47731</v>
      </c>
      <c r="Q88" s="233">
        <f t="shared" si="33"/>
        <v>47912</v>
      </c>
      <c r="R88" s="233">
        <f t="shared" si="23"/>
        <v>48096</v>
      </c>
      <c r="S88" s="233">
        <f t="shared" si="24"/>
        <v>48278</v>
      </c>
      <c r="T88" s="233">
        <f t="shared" si="25"/>
        <v>48462</v>
      </c>
      <c r="U88" s="233">
        <f t="shared" si="26"/>
        <v>48643</v>
      </c>
      <c r="V88" s="233">
        <f t="shared" si="27"/>
        <v>48827</v>
      </c>
      <c r="W88" s="233">
        <f t="shared" si="28"/>
        <v>49008</v>
      </c>
      <c r="X88" s="233">
        <f t="shared" si="29"/>
        <v>49192</v>
      </c>
      <c r="Y88" s="233">
        <f t="shared" si="30"/>
        <v>49373</v>
      </c>
      <c r="Z88" s="203">
        <f t="shared" si="37"/>
        <v>39000000</v>
      </c>
    </row>
    <row r="89" spans="1:26" x14ac:dyDescent="0.3">
      <c r="A89" s="164">
        <v>86</v>
      </c>
      <c r="B89" s="236" t="s">
        <v>1053</v>
      </c>
      <c r="C89" s="189">
        <v>8800000</v>
      </c>
      <c r="D89" s="189"/>
      <c r="E89" s="222" t="s">
        <v>17</v>
      </c>
      <c r="F89" s="233">
        <v>45827</v>
      </c>
      <c r="G89" s="233">
        <f t="shared" si="38"/>
        <v>46010</v>
      </c>
      <c r="H89" s="233">
        <f t="shared" si="36"/>
        <v>46192</v>
      </c>
      <c r="I89" s="233">
        <f t="shared" si="33"/>
        <v>46375</v>
      </c>
      <c r="J89" s="233">
        <f t="shared" si="33"/>
        <v>46557</v>
      </c>
      <c r="K89" s="233">
        <f t="shared" si="33"/>
        <v>46740</v>
      </c>
      <c r="L89" s="233">
        <f t="shared" si="33"/>
        <v>46923</v>
      </c>
      <c r="M89" s="233">
        <f t="shared" si="33"/>
        <v>47106</v>
      </c>
      <c r="N89" s="233">
        <f t="shared" si="33"/>
        <v>47288</v>
      </c>
      <c r="O89" s="233">
        <f t="shared" si="33"/>
        <v>47471</v>
      </c>
      <c r="P89" s="233">
        <f t="shared" si="33"/>
        <v>47653</v>
      </c>
      <c r="Q89" s="233">
        <f t="shared" si="33"/>
        <v>47836</v>
      </c>
      <c r="R89" s="233">
        <f t="shared" si="23"/>
        <v>48018</v>
      </c>
      <c r="S89" s="233">
        <f t="shared" si="24"/>
        <v>48201</v>
      </c>
      <c r="T89" s="233">
        <f t="shared" si="25"/>
        <v>48384</v>
      </c>
      <c r="U89" s="233">
        <f t="shared" si="26"/>
        <v>48567</v>
      </c>
      <c r="V89" s="233">
        <f t="shared" si="27"/>
        <v>48749</v>
      </c>
      <c r="W89" s="233">
        <f t="shared" si="28"/>
        <v>48932</v>
      </c>
      <c r="X89" s="233">
        <f t="shared" si="29"/>
        <v>49114</v>
      </c>
      <c r="Y89" s="233">
        <f t="shared" si="30"/>
        <v>49297</v>
      </c>
      <c r="Z89" s="203">
        <f>C89*6</f>
        <v>52800000</v>
      </c>
    </row>
    <row r="90" spans="1:26" x14ac:dyDescent="0.3">
      <c r="A90" s="164">
        <v>87</v>
      </c>
      <c r="B90" s="236" t="s">
        <v>1145</v>
      </c>
      <c r="C90" s="189">
        <v>9000000</v>
      </c>
      <c r="D90" s="189"/>
      <c r="E90" s="222" t="s">
        <v>17</v>
      </c>
      <c r="F90" s="233">
        <v>45952</v>
      </c>
      <c r="G90" s="233">
        <f t="shared" si="38"/>
        <v>46134</v>
      </c>
      <c r="H90" s="233">
        <f t="shared" si="36"/>
        <v>46317</v>
      </c>
      <c r="I90" s="233">
        <f t="shared" si="33"/>
        <v>46499</v>
      </c>
      <c r="J90" s="233">
        <f t="shared" si="33"/>
        <v>46682</v>
      </c>
      <c r="K90" s="233">
        <f t="shared" si="33"/>
        <v>46865</v>
      </c>
      <c r="L90" s="233">
        <f t="shared" si="33"/>
        <v>47048</v>
      </c>
      <c r="M90" s="233">
        <f t="shared" si="33"/>
        <v>47230</v>
      </c>
      <c r="N90" s="233">
        <f t="shared" si="33"/>
        <v>47413</v>
      </c>
      <c r="O90" s="233">
        <f t="shared" si="33"/>
        <v>47595</v>
      </c>
      <c r="P90" s="233">
        <f t="shared" si="33"/>
        <v>47778</v>
      </c>
      <c r="Q90" s="233">
        <f t="shared" si="33"/>
        <v>47960</v>
      </c>
      <c r="R90" s="233">
        <f t="shared" si="23"/>
        <v>48143</v>
      </c>
      <c r="S90" s="233">
        <f t="shared" si="24"/>
        <v>48326</v>
      </c>
      <c r="T90" s="233">
        <f t="shared" si="25"/>
        <v>48509</v>
      </c>
      <c r="U90" s="233">
        <f t="shared" si="26"/>
        <v>48691</v>
      </c>
      <c r="V90" s="233">
        <f t="shared" si="27"/>
        <v>48874</v>
      </c>
      <c r="W90" s="233">
        <f t="shared" si="28"/>
        <v>49056</v>
      </c>
      <c r="X90" s="233">
        <f t="shared" si="29"/>
        <v>49239</v>
      </c>
      <c r="Y90" s="233">
        <f t="shared" si="30"/>
        <v>49421</v>
      </c>
      <c r="Z90" s="203">
        <f t="shared" ref="Z90:Z91" si="39">C90*6</f>
        <v>54000000</v>
      </c>
    </row>
    <row r="91" spans="1:26" x14ac:dyDescent="0.3">
      <c r="A91" s="164">
        <v>88</v>
      </c>
      <c r="B91" s="236" t="s">
        <v>898</v>
      </c>
      <c r="C91" s="189">
        <v>10600000</v>
      </c>
      <c r="D91" s="189"/>
      <c r="E91" s="222" t="s">
        <v>1020</v>
      </c>
      <c r="F91" s="233">
        <v>45977</v>
      </c>
      <c r="G91" s="233">
        <f>EDATE(F91,3)</f>
        <v>46069</v>
      </c>
      <c r="H91" s="233">
        <f t="shared" si="36"/>
        <v>46250</v>
      </c>
      <c r="I91" s="233">
        <f t="shared" si="33"/>
        <v>46434</v>
      </c>
      <c r="J91" s="233">
        <f t="shared" si="33"/>
        <v>46615</v>
      </c>
      <c r="K91" s="233">
        <f t="shared" si="33"/>
        <v>46799</v>
      </c>
      <c r="L91" s="233">
        <f t="shared" si="33"/>
        <v>46981</v>
      </c>
      <c r="M91" s="233">
        <f t="shared" si="33"/>
        <v>47165</v>
      </c>
      <c r="N91" s="233">
        <f t="shared" si="33"/>
        <v>47346</v>
      </c>
      <c r="O91" s="233">
        <f t="shared" si="33"/>
        <v>47530</v>
      </c>
      <c r="P91" s="233">
        <f t="shared" si="33"/>
        <v>47711</v>
      </c>
      <c r="Q91" s="233">
        <f t="shared" si="33"/>
        <v>47895</v>
      </c>
      <c r="R91" s="233">
        <f t="shared" si="23"/>
        <v>48076</v>
      </c>
      <c r="S91" s="233">
        <f t="shared" si="24"/>
        <v>48260</v>
      </c>
      <c r="T91" s="233">
        <f t="shared" si="25"/>
        <v>48442</v>
      </c>
      <c r="U91" s="233">
        <f t="shared" si="26"/>
        <v>48626</v>
      </c>
      <c r="V91" s="233">
        <f t="shared" si="27"/>
        <v>48807</v>
      </c>
      <c r="W91" s="233">
        <f t="shared" si="28"/>
        <v>48991</v>
      </c>
      <c r="X91" s="233">
        <f t="shared" si="29"/>
        <v>49172</v>
      </c>
      <c r="Y91" s="233">
        <f t="shared" si="30"/>
        <v>49356</v>
      </c>
      <c r="Z91" s="203">
        <f t="shared" si="39"/>
        <v>63600000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F12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18" sqref="J18"/>
    </sheetView>
  </sheetViews>
  <sheetFormatPr defaultRowHeight="14.4" x14ac:dyDescent="0.3"/>
  <cols>
    <col min="1" max="1" width="3.44140625" bestFit="1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2" ht="41.4" x14ac:dyDescent="0.3">
      <c r="A1" s="225" t="s">
        <v>24</v>
      </c>
      <c r="B1" s="225" t="s">
        <v>366</v>
      </c>
      <c r="C1" s="225" t="s">
        <v>1064</v>
      </c>
      <c r="D1" s="225" t="s">
        <v>1065</v>
      </c>
      <c r="E1" s="225" t="s">
        <v>1066</v>
      </c>
      <c r="F1" s="225" t="s">
        <v>1097</v>
      </c>
      <c r="G1" s="225" t="s">
        <v>1096</v>
      </c>
      <c r="H1" s="225" t="s">
        <v>1098</v>
      </c>
      <c r="I1" s="225" t="s">
        <v>997</v>
      </c>
      <c r="J1" s="225" t="s">
        <v>998</v>
      </c>
      <c r="K1" s="225" t="s">
        <v>999</v>
      </c>
      <c r="L1" s="225" t="s">
        <v>1000</v>
      </c>
      <c r="M1" s="225" t="s">
        <v>1001</v>
      </c>
      <c r="N1" s="225" t="s">
        <v>1002</v>
      </c>
      <c r="O1" s="225" t="s">
        <v>1003</v>
      </c>
      <c r="P1" s="225" t="s">
        <v>1004</v>
      </c>
      <c r="Q1" s="225" t="s">
        <v>1005</v>
      </c>
      <c r="R1" s="225" t="s">
        <v>1054</v>
      </c>
      <c r="S1" s="225" t="s">
        <v>1055</v>
      </c>
      <c r="T1" s="225" t="s">
        <v>1056</v>
      </c>
      <c r="U1" s="225" t="s">
        <v>1057</v>
      </c>
      <c r="V1" s="225" t="s">
        <v>1058</v>
      </c>
      <c r="W1" s="225" t="s">
        <v>1058</v>
      </c>
      <c r="X1" s="225" t="s">
        <v>1059</v>
      </c>
      <c r="Y1" s="225" t="s">
        <v>1060</v>
      </c>
      <c r="Z1" s="225" t="s">
        <v>1061</v>
      </c>
      <c r="AA1" s="225" t="s">
        <v>1100</v>
      </c>
      <c r="AB1" s="225" t="s">
        <v>1101</v>
      </c>
      <c r="AC1" s="225" t="s">
        <v>1102</v>
      </c>
      <c r="AD1" s="225" t="s">
        <v>1103</v>
      </c>
      <c r="AE1" s="225" t="s">
        <v>1104</v>
      </c>
      <c r="AF1" s="249" t="s">
        <v>1099</v>
      </c>
    </row>
    <row r="2" spans="1:32" x14ac:dyDescent="0.3">
      <c r="A2" s="225"/>
      <c r="B2" s="225">
        <f>SUBTOTAL(3,B4:B50)</f>
        <v>9</v>
      </c>
      <c r="C2" s="225">
        <f>SUBTOTAL(3,C4:C50)</f>
        <v>9</v>
      </c>
      <c r="D2" s="225"/>
      <c r="E2" s="225"/>
      <c r="F2" s="225">
        <f t="shared" ref="F2:X2" si="0">SUBTOTAL(3,F4:F50)</f>
        <v>9</v>
      </c>
      <c r="G2" s="225">
        <f t="shared" ref="G2" si="1">SUBTOTAL(3,G4:G50)</f>
        <v>9</v>
      </c>
      <c r="H2" s="225">
        <f t="shared" si="0"/>
        <v>9</v>
      </c>
      <c r="I2" s="225">
        <f t="shared" si="0"/>
        <v>9</v>
      </c>
      <c r="J2" s="225">
        <f t="shared" si="0"/>
        <v>9</v>
      </c>
      <c r="K2" s="225">
        <f t="shared" si="0"/>
        <v>9</v>
      </c>
      <c r="L2" s="225">
        <f t="shared" si="0"/>
        <v>9</v>
      </c>
      <c r="M2" s="225">
        <f t="shared" si="0"/>
        <v>9</v>
      </c>
      <c r="N2" s="225">
        <f t="shared" si="0"/>
        <v>9</v>
      </c>
      <c r="O2" s="225">
        <f t="shared" si="0"/>
        <v>9</v>
      </c>
      <c r="P2" s="225">
        <f t="shared" si="0"/>
        <v>9</v>
      </c>
      <c r="Q2" s="225">
        <f t="shared" si="0"/>
        <v>9</v>
      </c>
      <c r="R2" s="225">
        <f t="shared" si="0"/>
        <v>9</v>
      </c>
      <c r="S2" s="225">
        <f t="shared" si="0"/>
        <v>9</v>
      </c>
      <c r="T2" s="225">
        <f t="shared" si="0"/>
        <v>9</v>
      </c>
      <c r="U2" s="225">
        <f t="shared" si="0"/>
        <v>9</v>
      </c>
      <c r="V2" s="225">
        <f t="shared" si="0"/>
        <v>9</v>
      </c>
      <c r="W2" s="225">
        <f t="shared" si="0"/>
        <v>9</v>
      </c>
      <c r="X2" s="225">
        <f t="shared" si="0"/>
        <v>9</v>
      </c>
      <c r="Y2" s="225">
        <f t="shared" ref="Y2:AB2" si="2">SUBTOTAL(3,Y4:Y50)</f>
        <v>9</v>
      </c>
      <c r="Z2" s="225">
        <f t="shared" si="2"/>
        <v>9</v>
      </c>
      <c r="AA2" s="225">
        <f t="shared" si="2"/>
        <v>9</v>
      </c>
      <c r="AB2" s="225">
        <f t="shared" si="2"/>
        <v>9</v>
      </c>
      <c r="AC2" s="225">
        <f t="shared" ref="AC2:AE2" si="3">SUBTOTAL(3,AC4:AC50)</f>
        <v>9</v>
      </c>
      <c r="AD2" s="225">
        <f t="shared" si="3"/>
        <v>9</v>
      </c>
      <c r="AE2" s="225">
        <f t="shared" si="3"/>
        <v>9</v>
      </c>
      <c r="AF2" s="249">
        <f>SUBTOTAL(9,AF4:AF50)</f>
        <v>233673000</v>
      </c>
    </row>
    <row r="3" spans="1:32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</row>
    <row r="4" spans="1:32" x14ac:dyDescent="0.3">
      <c r="A4" s="226">
        <v>1</v>
      </c>
      <c r="B4" s="226" t="s">
        <v>1067</v>
      </c>
      <c r="C4" s="226" t="s">
        <v>1068</v>
      </c>
      <c r="D4" s="226" t="s">
        <v>1069</v>
      </c>
      <c r="E4" s="250" t="s">
        <v>1070</v>
      </c>
      <c r="F4" s="227">
        <v>6820000</v>
      </c>
      <c r="G4" s="226" t="s">
        <v>77</v>
      </c>
      <c r="H4" s="251">
        <v>44701</v>
      </c>
      <c r="I4" s="251">
        <v>44774</v>
      </c>
      <c r="J4" s="251">
        <f t="shared" ref="J4:X12" si="4">EDATE(I4,3)</f>
        <v>44866</v>
      </c>
      <c r="K4" s="251">
        <f t="shared" si="4"/>
        <v>44958</v>
      </c>
      <c r="L4" s="251">
        <f t="shared" si="4"/>
        <v>45047</v>
      </c>
      <c r="M4" s="251">
        <f t="shared" si="4"/>
        <v>45139</v>
      </c>
      <c r="N4" s="251">
        <f t="shared" si="4"/>
        <v>45231</v>
      </c>
      <c r="O4" s="251">
        <f t="shared" si="4"/>
        <v>45323</v>
      </c>
      <c r="P4" s="251">
        <f t="shared" si="4"/>
        <v>45413</v>
      </c>
      <c r="Q4" s="251">
        <f t="shared" si="4"/>
        <v>45505</v>
      </c>
      <c r="R4" s="251">
        <f t="shared" si="4"/>
        <v>45597</v>
      </c>
      <c r="S4" s="251">
        <f t="shared" ref="S4:X4" si="5">EDATE(R4,3)</f>
        <v>45689</v>
      </c>
      <c r="T4" s="251">
        <f t="shared" si="5"/>
        <v>45778</v>
      </c>
      <c r="U4" s="251">
        <f t="shared" si="5"/>
        <v>45870</v>
      </c>
      <c r="V4" s="251">
        <f t="shared" si="5"/>
        <v>45962</v>
      </c>
      <c r="W4" s="251">
        <f t="shared" si="5"/>
        <v>46054</v>
      </c>
      <c r="X4" s="251">
        <f t="shared" si="5"/>
        <v>46143</v>
      </c>
      <c r="Y4" s="251">
        <f t="shared" ref="Y4:AB9" si="6">EDATE(X4,3)</f>
        <v>46235</v>
      </c>
      <c r="Z4" s="251">
        <f t="shared" si="6"/>
        <v>46327</v>
      </c>
      <c r="AA4" s="251">
        <f t="shared" si="6"/>
        <v>46419</v>
      </c>
      <c r="AB4" s="251">
        <f t="shared" si="6"/>
        <v>46508</v>
      </c>
      <c r="AC4" s="251">
        <f t="shared" ref="AC4:AE4" si="7">EDATE(AB4,3)</f>
        <v>46600</v>
      </c>
      <c r="AD4" s="251">
        <f t="shared" si="7"/>
        <v>46692</v>
      </c>
      <c r="AE4" s="251">
        <f t="shared" si="7"/>
        <v>46784</v>
      </c>
      <c r="AF4" s="229">
        <f t="shared" ref="AF4:AF10" si="8">F4*3</f>
        <v>20460000</v>
      </c>
    </row>
    <row r="5" spans="1:32" x14ac:dyDescent="0.3">
      <c r="A5" s="226">
        <v>2</v>
      </c>
      <c r="B5" s="226" t="s">
        <v>190</v>
      </c>
      <c r="C5" s="226" t="s">
        <v>1071</v>
      </c>
      <c r="D5" s="226" t="s">
        <v>1072</v>
      </c>
      <c r="E5" s="250" t="s">
        <v>1073</v>
      </c>
      <c r="F5" s="227">
        <v>6985000</v>
      </c>
      <c r="G5" s="226" t="s">
        <v>77</v>
      </c>
      <c r="H5" s="251">
        <v>44713</v>
      </c>
      <c r="I5" s="251">
        <f>H5+3*30+2</f>
        <v>44805</v>
      </c>
      <c r="J5" s="251">
        <f>I5+3*30+1</f>
        <v>44896</v>
      </c>
      <c r="K5" s="251">
        <f t="shared" si="4"/>
        <v>44986</v>
      </c>
      <c r="L5" s="251">
        <f t="shared" si="4"/>
        <v>45078</v>
      </c>
      <c r="M5" s="251">
        <f t="shared" si="4"/>
        <v>45170</v>
      </c>
      <c r="N5" s="251">
        <f t="shared" si="4"/>
        <v>45261</v>
      </c>
      <c r="O5" s="251">
        <f t="shared" si="4"/>
        <v>45352</v>
      </c>
      <c r="P5" s="251">
        <f>EDATE(O5,3)</f>
        <v>45444</v>
      </c>
      <c r="Q5" s="251">
        <f t="shared" si="4"/>
        <v>45536</v>
      </c>
      <c r="R5" s="251">
        <f t="shared" si="4"/>
        <v>45627</v>
      </c>
      <c r="S5" s="251">
        <f t="shared" si="4"/>
        <v>45717</v>
      </c>
      <c r="T5" s="251">
        <f t="shared" si="4"/>
        <v>45809</v>
      </c>
      <c r="U5" s="251">
        <f t="shared" si="4"/>
        <v>45901</v>
      </c>
      <c r="V5" s="251">
        <f t="shared" si="4"/>
        <v>45992</v>
      </c>
      <c r="W5" s="251">
        <f t="shared" si="4"/>
        <v>46082</v>
      </c>
      <c r="X5" s="251">
        <f t="shared" si="4"/>
        <v>46174</v>
      </c>
      <c r="Y5" s="251">
        <f t="shared" si="6"/>
        <v>46266</v>
      </c>
      <c r="Z5" s="251">
        <f t="shared" si="6"/>
        <v>46357</v>
      </c>
      <c r="AA5" s="251">
        <f t="shared" si="6"/>
        <v>46447</v>
      </c>
      <c r="AB5" s="251">
        <f t="shared" si="6"/>
        <v>46539</v>
      </c>
      <c r="AC5" s="251">
        <f t="shared" ref="AC5:AE5" si="9">EDATE(AB5,3)</f>
        <v>46631</v>
      </c>
      <c r="AD5" s="251">
        <f t="shared" si="9"/>
        <v>46722</v>
      </c>
      <c r="AE5" s="251">
        <f t="shared" si="9"/>
        <v>46813</v>
      </c>
      <c r="AF5" s="229">
        <f t="shared" si="8"/>
        <v>20955000</v>
      </c>
    </row>
    <row r="6" spans="1:32" x14ac:dyDescent="0.3">
      <c r="A6" s="226">
        <v>3</v>
      </c>
      <c r="B6" s="226" t="s">
        <v>260</v>
      </c>
      <c r="C6" s="226" t="s">
        <v>1074</v>
      </c>
      <c r="D6" s="226" t="s">
        <v>1075</v>
      </c>
      <c r="E6" s="250" t="s">
        <v>1076</v>
      </c>
      <c r="F6" s="227">
        <v>10736000</v>
      </c>
      <c r="G6" s="226" t="s">
        <v>77</v>
      </c>
      <c r="H6" s="250" t="s">
        <v>398</v>
      </c>
      <c r="I6" s="251">
        <v>44743</v>
      </c>
      <c r="J6" s="251">
        <v>44835</v>
      </c>
      <c r="K6" s="251">
        <f t="shared" si="4"/>
        <v>44927</v>
      </c>
      <c r="L6" s="251">
        <f t="shared" si="4"/>
        <v>45017</v>
      </c>
      <c r="M6" s="251">
        <f t="shared" si="4"/>
        <v>45108</v>
      </c>
      <c r="N6" s="251">
        <f t="shared" si="4"/>
        <v>45200</v>
      </c>
      <c r="O6" s="251">
        <f t="shared" si="4"/>
        <v>45292</v>
      </c>
      <c r="P6" s="251">
        <f t="shared" si="4"/>
        <v>45383</v>
      </c>
      <c r="Q6" s="251">
        <f t="shared" si="4"/>
        <v>45474</v>
      </c>
      <c r="R6" s="251">
        <f t="shared" si="4"/>
        <v>45566</v>
      </c>
      <c r="S6" s="251">
        <f t="shared" si="4"/>
        <v>45658</v>
      </c>
      <c r="T6" s="251">
        <f t="shared" si="4"/>
        <v>45748</v>
      </c>
      <c r="U6" s="251">
        <f t="shared" si="4"/>
        <v>45839</v>
      </c>
      <c r="V6" s="251">
        <f t="shared" si="4"/>
        <v>45931</v>
      </c>
      <c r="W6" s="251">
        <f t="shared" si="4"/>
        <v>46023</v>
      </c>
      <c r="X6" s="252">
        <f t="shared" si="4"/>
        <v>46113</v>
      </c>
      <c r="Y6" s="251">
        <f t="shared" si="6"/>
        <v>46204</v>
      </c>
      <c r="Z6" s="251">
        <f t="shared" si="6"/>
        <v>46296</v>
      </c>
      <c r="AA6" s="251">
        <f t="shared" si="6"/>
        <v>46388</v>
      </c>
      <c r="AB6" s="251">
        <f t="shared" si="6"/>
        <v>46478</v>
      </c>
      <c r="AC6" s="251">
        <f t="shared" ref="AC6:AE6" si="10">EDATE(AB6,3)</f>
        <v>46569</v>
      </c>
      <c r="AD6" s="251">
        <f t="shared" si="10"/>
        <v>46661</v>
      </c>
      <c r="AE6" s="251">
        <f t="shared" si="10"/>
        <v>46753</v>
      </c>
      <c r="AF6" s="229">
        <f t="shared" si="8"/>
        <v>32208000</v>
      </c>
    </row>
    <row r="7" spans="1:32" x14ac:dyDescent="0.3">
      <c r="A7" s="226">
        <v>4</v>
      </c>
      <c r="B7" s="226" t="s">
        <v>1077</v>
      </c>
      <c r="C7" s="226" t="s">
        <v>1078</v>
      </c>
      <c r="D7" s="226" t="s">
        <v>1079</v>
      </c>
      <c r="E7" s="250" t="s">
        <v>1080</v>
      </c>
      <c r="F7" s="227">
        <v>11000000</v>
      </c>
      <c r="G7" s="226" t="s">
        <v>77</v>
      </c>
      <c r="H7" s="251">
        <v>44828</v>
      </c>
      <c r="I7" s="251">
        <v>44896</v>
      </c>
      <c r="J7" s="251">
        <f t="shared" ref="J7:K12" si="11">EDATE(I7,3)</f>
        <v>44986</v>
      </c>
      <c r="K7" s="251">
        <f t="shared" si="11"/>
        <v>45078</v>
      </c>
      <c r="L7" s="251">
        <f t="shared" si="4"/>
        <v>45170</v>
      </c>
      <c r="M7" s="251">
        <f t="shared" si="4"/>
        <v>45261</v>
      </c>
      <c r="N7" s="251">
        <f t="shared" si="4"/>
        <v>45352</v>
      </c>
      <c r="O7" s="251">
        <f t="shared" si="4"/>
        <v>45444</v>
      </c>
      <c r="P7" s="251">
        <f t="shared" si="4"/>
        <v>45536</v>
      </c>
      <c r="Q7" s="251">
        <f t="shared" si="4"/>
        <v>45627</v>
      </c>
      <c r="R7" s="251">
        <f t="shared" si="4"/>
        <v>45717</v>
      </c>
      <c r="S7" s="251">
        <f t="shared" si="4"/>
        <v>45809</v>
      </c>
      <c r="T7" s="251">
        <f t="shared" si="4"/>
        <v>45901</v>
      </c>
      <c r="U7" s="251">
        <f t="shared" si="4"/>
        <v>45992</v>
      </c>
      <c r="V7" s="251">
        <f t="shared" si="4"/>
        <v>46082</v>
      </c>
      <c r="W7" s="251">
        <f t="shared" si="4"/>
        <v>46174</v>
      </c>
      <c r="X7" s="251">
        <f t="shared" si="4"/>
        <v>46266</v>
      </c>
      <c r="Y7" s="251">
        <f t="shared" si="6"/>
        <v>46357</v>
      </c>
      <c r="Z7" s="251">
        <f t="shared" si="6"/>
        <v>46447</v>
      </c>
      <c r="AA7" s="251">
        <f t="shared" si="6"/>
        <v>46539</v>
      </c>
      <c r="AB7" s="251">
        <f t="shared" si="6"/>
        <v>46631</v>
      </c>
      <c r="AC7" s="251">
        <f t="shared" ref="AC7:AE7" si="12">EDATE(AB7,3)</f>
        <v>46722</v>
      </c>
      <c r="AD7" s="251">
        <f t="shared" si="12"/>
        <v>46813</v>
      </c>
      <c r="AE7" s="251">
        <f t="shared" si="12"/>
        <v>46905</v>
      </c>
      <c r="AF7" s="229">
        <f t="shared" si="8"/>
        <v>33000000</v>
      </c>
    </row>
    <row r="8" spans="1:32" x14ac:dyDescent="0.3">
      <c r="A8" s="226">
        <v>5</v>
      </c>
      <c r="B8" s="226" t="s">
        <v>1081</v>
      </c>
      <c r="C8" s="226" t="s">
        <v>385</v>
      </c>
      <c r="D8" s="226" t="s">
        <v>1082</v>
      </c>
      <c r="E8" s="250" t="s">
        <v>1083</v>
      </c>
      <c r="F8" s="227">
        <v>11550000</v>
      </c>
      <c r="G8" s="226" t="s">
        <v>77</v>
      </c>
      <c r="H8" s="251">
        <v>44824</v>
      </c>
      <c r="I8" s="251">
        <v>44896</v>
      </c>
      <c r="J8" s="251">
        <f t="shared" si="11"/>
        <v>44986</v>
      </c>
      <c r="K8" s="251">
        <f t="shared" si="11"/>
        <v>45078</v>
      </c>
      <c r="L8" s="251">
        <f t="shared" si="4"/>
        <v>45170</v>
      </c>
      <c r="M8" s="251">
        <f t="shared" si="4"/>
        <v>45261</v>
      </c>
      <c r="N8" s="251">
        <f t="shared" si="4"/>
        <v>45352</v>
      </c>
      <c r="O8" s="251">
        <f t="shared" si="4"/>
        <v>45444</v>
      </c>
      <c r="P8" s="251">
        <f t="shared" si="4"/>
        <v>45536</v>
      </c>
      <c r="Q8" s="251">
        <f t="shared" si="4"/>
        <v>45627</v>
      </c>
      <c r="R8" s="251">
        <f t="shared" si="4"/>
        <v>45717</v>
      </c>
      <c r="S8" s="251">
        <f t="shared" si="4"/>
        <v>45809</v>
      </c>
      <c r="T8" s="251">
        <f t="shared" si="4"/>
        <v>45901</v>
      </c>
      <c r="U8" s="251">
        <f t="shared" si="4"/>
        <v>45992</v>
      </c>
      <c r="V8" s="251">
        <f t="shared" si="4"/>
        <v>46082</v>
      </c>
      <c r="W8" s="251">
        <f t="shared" si="4"/>
        <v>46174</v>
      </c>
      <c r="X8" s="251">
        <f t="shared" si="4"/>
        <v>46266</v>
      </c>
      <c r="Y8" s="251">
        <f t="shared" si="6"/>
        <v>46357</v>
      </c>
      <c r="Z8" s="251">
        <f t="shared" si="6"/>
        <v>46447</v>
      </c>
      <c r="AA8" s="251">
        <f t="shared" si="6"/>
        <v>46539</v>
      </c>
      <c r="AB8" s="251">
        <f t="shared" si="6"/>
        <v>46631</v>
      </c>
      <c r="AC8" s="251">
        <f t="shared" ref="AC8:AE8" si="13">EDATE(AB8,3)</f>
        <v>46722</v>
      </c>
      <c r="AD8" s="251">
        <f t="shared" si="13"/>
        <v>46813</v>
      </c>
      <c r="AE8" s="251">
        <f t="shared" si="13"/>
        <v>46905</v>
      </c>
      <c r="AF8" s="229">
        <f t="shared" si="8"/>
        <v>34650000</v>
      </c>
    </row>
    <row r="9" spans="1:32" x14ac:dyDescent="0.3">
      <c r="A9" s="226">
        <v>6</v>
      </c>
      <c r="B9" s="226" t="s">
        <v>1084</v>
      </c>
      <c r="C9" s="226" t="s">
        <v>386</v>
      </c>
      <c r="D9" s="226" t="s">
        <v>1085</v>
      </c>
      <c r="E9" s="250" t="s">
        <v>1083</v>
      </c>
      <c r="F9" s="227">
        <v>11330000</v>
      </c>
      <c r="G9" s="226" t="s">
        <v>77</v>
      </c>
      <c r="H9" s="250" t="s">
        <v>1086</v>
      </c>
      <c r="I9" s="251">
        <v>44835</v>
      </c>
      <c r="J9" s="251">
        <f t="shared" si="11"/>
        <v>44927</v>
      </c>
      <c r="K9" s="251">
        <f t="shared" si="11"/>
        <v>45017</v>
      </c>
      <c r="L9" s="251">
        <f t="shared" si="4"/>
        <v>45108</v>
      </c>
      <c r="M9" s="251">
        <f t="shared" si="4"/>
        <v>45200</v>
      </c>
      <c r="N9" s="251">
        <f t="shared" si="4"/>
        <v>45292</v>
      </c>
      <c r="O9" s="251">
        <f t="shared" si="4"/>
        <v>45383</v>
      </c>
      <c r="P9" s="251">
        <f t="shared" si="4"/>
        <v>45474</v>
      </c>
      <c r="Q9" s="251">
        <f t="shared" si="4"/>
        <v>45566</v>
      </c>
      <c r="R9" s="251">
        <f t="shared" si="4"/>
        <v>45658</v>
      </c>
      <c r="S9" s="251">
        <f t="shared" si="4"/>
        <v>45748</v>
      </c>
      <c r="T9" s="251">
        <f t="shared" si="4"/>
        <v>45839</v>
      </c>
      <c r="U9" s="251">
        <f t="shared" si="4"/>
        <v>45931</v>
      </c>
      <c r="V9" s="251">
        <f t="shared" si="4"/>
        <v>46023</v>
      </c>
      <c r="W9" s="252">
        <f t="shared" si="4"/>
        <v>46113</v>
      </c>
      <c r="X9" s="251">
        <f t="shared" si="4"/>
        <v>46204</v>
      </c>
      <c r="Y9" s="251">
        <f t="shared" si="6"/>
        <v>46296</v>
      </c>
      <c r="Z9" s="251">
        <f t="shared" si="6"/>
        <v>46388</v>
      </c>
      <c r="AA9" s="251">
        <f t="shared" si="6"/>
        <v>46478</v>
      </c>
      <c r="AB9" s="251">
        <f t="shared" si="6"/>
        <v>46569</v>
      </c>
      <c r="AC9" s="251">
        <f t="shared" ref="AC9:AE9" si="14">EDATE(AB9,3)</f>
        <v>46661</v>
      </c>
      <c r="AD9" s="251">
        <f t="shared" si="14"/>
        <v>46753</v>
      </c>
      <c r="AE9" s="251">
        <f t="shared" si="14"/>
        <v>46844</v>
      </c>
      <c r="AF9" s="229">
        <f t="shared" si="8"/>
        <v>33990000</v>
      </c>
    </row>
    <row r="10" spans="1:32" x14ac:dyDescent="0.3">
      <c r="A10" s="226">
        <v>7</v>
      </c>
      <c r="B10" s="226" t="s">
        <v>1087</v>
      </c>
      <c r="C10" s="226" t="s">
        <v>427</v>
      </c>
      <c r="D10" s="226" t="s">
        <v>1088</v>
      </c>
      <c r="E10" s="250" t="s">
        <v>1089</v>
      </c>
      <c r="F10" s="227">
        <v>7920000.0000000009</v>
      </c>
      <c r="G10" s="226" t="s">
        <v>77</v>
      </c>
      <c r="H10" s="253">
        <v>44797</v>
      </c>
      <c r="I10" s="251">
        <v>44866</v>
      </c>
      <c r="J10" s="251">
        <f t="shared" si="11"/>
        <v>44958</v>
      </c>
      <c r="K10" s="251">
        <f t="shared" si="11"/>
        <v>45047</v>
      </c>
      <c r="L10" s="251">
        <f t="shared" si="4"/>
        <v>45139</v>
      </c>
      <c r="M10" s="251">
        <f t="shared" si="4"/>
        <v>45231</v>
      </c>
      <c r="N10" s="251">
        <f t="shared" si="4"/>
        <v>45323</v>
      </c>
      <c r="O10" s="251">
        <f>EDATE(N10,3)</f>
        <v>45413</v>
      </c>
      <c r="P10" s="251">
        <f>EDATE(O10,3)</f>
        <v>45505</v>
      </c>
      <c r="Q10" s="251">
        <f>EDATE(P10,3)</f>
        <v>45597</v>
      </c>
      <c r="R10" s="251">
        <f t="shared" si="4"/>
        <v>45689</v>
      </c>
      <c r="S10" s="228">
        <f t="shared" si="4"/>
        <v>45778</v>
      </c>
      <c r="T10" s="251">
        <f>EDATE(S10,3)</f>
        <v>45870</v>
      </c>
      <c r="U10" s="251">
        <f>EDATE(T10,3)</f>
        <v>45962</v>
      </c>
      <c r="V10" s="251">
        <f>EDATE(U10,3)</f>
        <v>46054</v>
      </c>
      <c r="W10" s="251">
        <f>EDATE(V10,3)</f>
        <v>46143</v>
      </c>
      <c r="X10" s="251">
        <f>EDATE(W10,3)</f>
        <v>46235</v>
      </c>
      <c r="Y10" s="251">
        <f t="shared" ref="Y10:AB12" si="15">EDATE(X10,3)</f>
        <v>46327</v>
      </c>
      <c r="Z10" s="251">
        <f t="shared" si="15"/>
        <v>46419</v>
      </c>
      <c r="AA10" s="251">
        <f t="shared" si="15"/>
        <v>46508</v>
      </c>
      <c r="AB10" s="251">
        <f t="shared" si="15"/>
        <v>46600</v>
      </c>
      <c r="AC10" s="251">
        <f t="shared" ref="AC10:AE10" si="16">EDATE(AB10,3)</f>
        <v>46692</v>
      </c>
      <c r="AD10" s="251">
        <f t="shared" si="16"/>
        <v>46784</v>
      </c>
      <c r="AE10" s="251">
        <f t="shared" si="16"/>
        <v>46874</v>
      </c>
      <c r="AF10" s="229">
        <f t="shared" si="8"/>
        <v>23760000.000000004</v>
      </c>
    </row>
    <row r="11" spans="1:32" x14ac:dyDescent="0.3">
      <c r="A11" s="226">
        <v>8</v>
      </c>
      <c r="B11" s="226" t="s">
        <v>316</v>
      </c>
      <c r="C11" s="226" t="s">
        <v>1090</v>
      </c>
      <c r="D11" s="226" t="s">
        <v>1091</v>
      </c>
      <c r="E11" s="250" t="s">
        <v>1092</v>
      </c>
      <c r="F11" s="227">
        <v>6050000</v>
      </c>
      <c r="G11" s="226" t="s">
        <v>77</v>
      </c>
      <c r="H11" s="253">
        <v>45488</v>
      </c>
      <c r="I11" s="251">
        <v>45566</v>
      </c>
      <c r="J11" s="251">
        <f t="shared" si="11"/>
        <v>45658</v>
      </c>
      <c r="K11" s="251">
        <f t="shared" si="11"/>
        <v>45748</v>
      </c>
      <c r="L11" s="251">
        <f t="shared" si="4"/>
        <v>45839</v>
      </c>
      <c r="M11" s="251">
        <f t="shared" si="4"/>
        <v>45931</v>
      </c>
      <c r="N11" s="251">
        <f t="shared" si="4"/>
        <v>46023</v>
      </c>
      <c r="O11" s="252">
        <f t="shared" si="4"/>
        <v>46113</v>
      </c>
      <c r="P11" s="251">
        <f t="shared" si="4"/>
        <v>46204</v>
      </c>
      <c r="Q11" s="251">
        <f t="shared" si="4"/>
        <v>46296</v>
      </c>
      <c r="R11" s="251">
        <f t="shared" si="4"/>
        <v>46388</v>
      </c>
      <c r="S11" s="251">
        <f t="shared" si="4"/>
        <v>46478</v>
      </c>
      <c r="T11" s="251">
        <f t="shared" si="4"/>
        <v>46569</v>
      </c>
      <c r="U11" s="251">
        <f t="shared" si="4"/>
        <v>46661</v>
      </c>
      <c r="V11" s="251">
        <f t="shared" si="4"/>
        <v>46753</v>
      </c>
      <c r="W11" s="251">
        <f t="shared" si="4"/>
        <v>46844</v>
      </c>
      <c r="X11" s="251">
        <f t="shared" si="4"/>
        <v>46935</v>
      </c>
      <c r="Y11" s="251">
        <f t="shared" si="15"/>
        <v>47027</v>
      </c>
      <c r="Z11" s="251">
        <f t="shared" si="15"/>
        <v>47119</v>
      </c>
      <c r="AA11" s="251">
        <f t="shared" si="15"/>
        <v>47209</v>
      </c>
      <c r="AB11" s="251">
        <f t="shared" si="15"/>
        <v>47300</v>
      </c>
      <c r="AC11" s="251">
        <f t="shared" ref="AC11:AE11" si="17">EDATE(AB11,3)</f>
        <v>47392</v>
      </c>
      <c r="AD11" s="251">
        <f t="shared" si="17"/>
        <v>47484</v>
      </c>
      <c r="AE11" s="251">
        <f t="shared" si="17"/>
        <v>47574</v>
      </c>
      <c r="AF11" s="229">
        <f t="shared" ref="AF11:AF12" si="18">F11*3</f>
        <v>18150000</v>
      </c>
    </row>
    <row r="12" spans="1:32" x14ac:dyDescent="0.3">
      <c r="A12" s="226">
        <v>9</v>
      </c>
      <c r="B12" s="226" t="s">
        <v>14</v>
      </c>
      <c r="C12" s="226" t="s">
        <v>1093</v>
      </c>
      <c r="D12" s="226" t="s">
        <v>1094</v>
      </c>
      <c r="E12" s="250" t="s">
        <v>1095</v>
      </c>
      <c r="F12" s="227">
        <v>5500000</v>
      </c>
      <c r="G12" s="226" t="s">
        <v>77</v>
      </c>
      <c r="H12" s="253">
        <v>45488</v>
      </c>
      <c r="I12" s="251">
        <v>45566</v>
      </c>
      <c r="J12" s="251">
        <f t="shared" si="11"/>
        <v>45658</v>
      </c>
      <c r="K12" s="251">
        <f t="shared" si="11"/>
        <v>45748</v>
      </c>
      <c r="L12" s="251">
        <f t="shared" si="4"/>
        <v>45839</v>
      </c>
      <c r="M12" s="251">
        <f t="shared" si="4"/>
        <v>45931</v>
      </c>
      <c r="N12" s="251">
        <f t="shared" si="4"/>
        <v>46023</v>
      </c>
      <c r="O12" s="252">
        <f t="shared" si="4"/>
        <v>46113</v>
      </c>
      <c r="P12" s="251">
        <f t="shared" si="4"/>
        <v>46204</v>
      </c>
      <c r="Q12" s="251">
        <f t="shared" si="4"/>
        <v>46296</v>
      </c>
      <c r="R12" s="251">
        <f t="shared" si="4"/>
        <v>46388</v>
      </c>
      <c r="S12" s="251">
        <f t="shared" si="4"/>
        <v>46478</v>
      </c>
      <c r="T12" s="251">
        <f t="shared" si="4"/>
        <v>46569</v>
      </c>
      <c r="U12" s="251">
        <f t="shared" si="4"/>
        <v>46661</v>
      </c>
      <c r="V12" s="251">
        <f t="shared" si="4"/>
        <v>46753</v>
      </c>
      <c r="W12" s="251">
        <f t="shared" si="4"/>
        <v>46844</v>
      </c>
      <c r="X12" s="251">
        <f t="shared" si="4"/>
        <v>46935</v>
      </c>
      <c r="Y12" s="251">
        <f t="shared" si="15"/>
        <v>47027</v>
      </c>
      <c r="Z12" s="251">
        <f t="shared" si="15"/>
        <v>47119</v>
      </c>
      <c r="AA12" s="251">
        <f t="shared" si="15"/>
        <v>47209</v>
      </c>
      <c r="AB12" s="251">
        <f t="shared" si="15"/>
        <v>47300</v>
      </c>
      <c r="AC12" s="251">
        <f t="shared" ref="AC12:AE12" si="19">EDATE(AB12,3)</f>
        <v>47392</v>
      </c>
      <c r="AD12" s="251">
        <f t="shared" si="19"/>
        <v>47484</v>
      </c>
      <c r="AE12" s="251">
        <f t="shared" si="19"/>
        <v>47574</v>
      </c>
      <c r="AF12" s="229">
        <f t="shared" si="18"/>
        <v>16500000</v>
      </c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1" sqref="I21"/>
    </sheetView>
  </sheetViews>
  <sheetFormatPr defaultRowHeight="14.4" x14ac:dyDescent="0.3"/>
  <cols>
    <col min="1" max="1" width="3.44140625" bestFit="1" customWidth="1"/>
    <col min="2" max="2" width="15.77734375" customWidth="1"/>
    <col min="3" max="3" width="14.8867187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25" t="s">
        <v>24</v>
      </c>
      <c r="B1" s="225" t="s">
        <v>366</v>
      </c>
      <c r="C1" s="225" t="s">
        <v>1105</v>
      </c>
      <c r="D1" s="225" t="s">
        <v>1106</v>
      </c>
      <c r="E1" s="225" t="s">
        <v>1066</v>
      </c>
      <c r="F1" s="225" t="s">
        <v>366</v>
      </c>
      <c r="G1" s="225" t="s">
        <v>1107</v>
      </c>
      <c r="H1" s="225" t="s">
        <v>1140</v>
      </c>
      <c r="I1" s="225" t="s">
        <v>1108</v>
      </c>
      <c r="J1" s="225" t="s">
        <v>1109</v>
      </c>
      <c r="K1" s="225" t="s">
        <v>997</v>
      </c>
      <c r="L1" s="225" t="s">
        <v>998</v>
      </c>
      <c r="M1" s="225" t="s">
        <v>999</v>
      </c>
      <c r="N1" s="225" t="s">
        <v>1000</v>
      </c>
      <c r="O1" s="225" t="s">
        <v>1001</v>
      </c>
      <c r="P1" s="225" t="s">
        <v>1002</v>
      </c>
      <c r="Q1" s="225" t="s">
        <v>1002</v>
      </c>
      <c r="R1" s="225" t="s">
        <v>1002</v>
      </c>
      <c r="S1" s="225" t="s">
        <v>1003</v>
      </c>
      <c r="T1" s="225" t="s">
        <v>1003</v>
      </c>
      <c r="U1" s="225" t="s">
        <v>1004</v>
      </c>
      <c r="V1" s="225" t="s">
        <v>1005</v>
      </c>
      <c r="W1" s="225" t="s">
        <v>1054</v>
      </c>
      <c r="X1" s="225" t="s">
        <v>1055</v>
      </c>
      <c r="Y1" s="254" t="s">
        <v>1110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49">
        <f>SUBTOTAL(9,Y4:Y49)</f>
        <v>347220000</v>
      </c>
    </row>
    <row r="3" spans="1:25" x14ac:dyDescent="0.3">
      <c r="A3" s="226"/>
      <c r="B3" s="41" t="s">
        <v>0</v>
      </c>
      <c r="C3" s="226" t="s">
        <v>0</v>
      </c>
      <c r="D3" s="41" t="s">
        <v>0</v>
      </c>
      <c r="E3" s="41" t="s">
        <v>0</v>
      </c>
      <c r="F3" s="226" t="s">
        <v>0</v>
      </c>
      <c r="G3" s="41"/>
      <c r="H3" s="226" t="s">
        <v>0</v>
      </c>
      <c r="I3" s="226" t="s">
        <v>0</v>
      </c>
      <c r="J3" s="226" t="s">
        <v>0</v>
      </c>
      <c r="K3" s="226" t="s">
        <v>0</v>
      </c>
      <c r="L3" s="226" t="s">
        <v>0</v>
      </c>
      <c r="M3" s="226" t="s">
        <v>0</v>
      </c>
      <c r="N3" s="226" t="s">
        <v>0</v>
      </c>
      <c r="O3" s="226" t="s">
        <v>0</v>
      </c>
      <c r="P3" s="226" t="s">
        <v>0</v>
      </c>
      <c r="Q3" s="226" t="s">
        <v>0</v>
      </c>
      <c r="R3" s="226" t="s">
        <v>0</v>
      </c>
      <c r="S3" s="226" t="s">
        <v>0</v>
      </c>
      <c r="T3" s="226" t="s">
        <v>0</v>
      </c>
      <c r="U3" s="226" t="s">
        <v>0</v>
      </c>
      <c r="V3" s="226" t="s">
        <v>0</v>
      </c>
      <c r="W3" s="226" t="s">
        <v>0</v>
      </c>
      <c r="X3" s="226" t="s">
        <v>0</v>
      </c>
      <c r="Y3" s="226" t="s">
        <v>0</v>
      </c>
    </row>
    <row r="4" spans="1:25" x14ac:dyDescent="0.3">
      <c r="A4" s="226">
        <v>1</v>
      </c>
      <c r="B4" s="41" t="s">
        <v>257</v>
      </c>
      <c r="C4" s="226" t="s">
        <v>1111</v>
      </c>
      <c r="D4" s="41" t="s">
        <v>1112</v>
      </c>
      <c r="E4" s="255" t="s">
        <v>1113</v>
      </c>
      <c r="F4" s="226" t="s">
        <v>1111</v>
      </c>
      <c r="G4" s="41"/>
      <c r="H4" s="256">
        <v>6500000</v>
      </c>
      <c r="I4" s="226">
        <v>6</v>
      </c>
      <c r="J4" s="251">
        <v>44666</v>
      </c>
      <c r="K4" s="251">
        <f>EDATE(J4,6)</f>
        <v>44849</v>
      </c>
      <c r="L4" s="251">
        <f t="shared" ref="L4:T6" si="2">EDATE(K4,6)</f>
        <v>45031</v>
      </c>
      <c r="M4" s="251">
        <f t="shared" si="2"/>
        <v>45214</v>
      </c>
      <c r="N4" s="251">
        <f t="shared" si="2"/>
        <v>45397</v>
      </c>
      <c r="O4" s="251">
        <f t="shared" si="2"/>
        <v>45580</v>
      </c>
      <c r="P4" s="251">
        <f t="shared" si="2"/>
        <v>45762</v>
      </c>
      <c r="Q4" s="251">
        <f t="shared" si="2"/>
        <v>45945</v>
      </c>
      <c r="R4" s="252">
        <f t="shared" si="2"/>
        <v>46127</v>
      </c>
      <c r="S4" s="251">
        <f t="shared" si="2"/>
        <v>46310</v>
      </c>
      <c r="T4" s="251">
        <f t="shared" si="2"/>
        <v>46492</v>
      </c>
      <c r="U4" s="251">
        <f t="shared" ref="U4:U6" si="3">EDATE(T4,6)</f>
        <v>46675</v>
      </c>
      <c r="V4" s="251">
        <f t="shared" ref="V4:V6" si="4">EDATE(U4,6)</f>
        <v>46858</v>
      </c>
      <c r="W4" s="251">
        <f t="shared" ref="W4:W6" si="5">EDATE(V4,6)</f>
        <v>47041</v>
      </c>
      <c r="X4" s="251">
        <f t="shared" ref="X4:X6" si="6">EDATE(W4,6)</f>
        <v>47223</v>
      </c>
      <c r="Y4" s="229">
        <f>I4*H4</f>
        <v>39000000</v>
      </c>
    </row>
    <row r="5" spans="1:25" ht="27.6" x14ac:dyDescent="0.3">
      <c r="A5" s="226">
        <v>2</v>
      </c>
      <c r="B5" s="41" t="s">
        <v>14</v>
      </c>
      <c r="C5" s="226" t="s">
        <v>18</v>
      </c>
      <c r="D5" s="41" t="s">
        <v>1114</v>
      </c>
      <c r="E5" s="255" t="s">
        <v>1115</v>
      </c>
      <c r="F5" s="226" t="s">
        <v>18</v>
      </c>
      <c r="G5" s="41"/>
      <c r="H5" s="256">
        <v>5500000</v>
      </c>
      <c r="I5" s="226">
        <v>6</v>
      </c>
      <c r="J5" s="251">
        <v>44743</v>
      </c>
      <c r="K5" s="251">
        <f>EDATE(J5,6)</f>
        <v>44927</v>
      </c>
      <c r="L5" s="251">
        <f t="shared" si="2"/>
        <v>45108</v>
      </c>
      <c r="M5" s="251">
        <f t="shared" si="2"/>
        <v>45292</v>
      </c>
      <c r="N5" s="251">
        <f t="shared" si="2"/>
        <v>45474</v>
      </c>
      <c r="O5" s="251">
        <f t="shared" si="2"/>
        <v>45658</v>
      </c>
      <c r="P5" s="251">
        <f t="shared" si="2"/>
        <v>45839</v>
      </c>
      <c r="Q5" s="251">
        <f t="shared" si="2"/>
        <v>46023</v>
      </c>
      <c r="R5" s="251">
        <f t="shared" si="2"/>
        <v>46204</v>
      </c>
      <c r="S5" s="251">
        <f t="shared" si="2"/>
        <v>46388</v>
      </c>
      <c r="T5" s="251">
        <f t="shared" si="2"/>
        <v>46569</v>
      </c>
      <c r="U5" s="251">
        <f t="shared" si="3"/>
        <v>46753</v>
      </c>
      <c r="V5" s="251">
        <f t="shared" si="4"/>
        <v>46935</v>
      </c>
      <c r="W5" s="251">
        <f t="shared" si="5"/>
        <v>47119</v>
      </c>
      <c r="X5" s="251">
        <f t="shared" si="6"/>
        <v>47300</v>
      </c>
      <c r="Y5" s="229">
        <f t="shared" ref="Y5:Y6" si="7">I5*H5</f>
        <v>33000000</v>
      </c>
    </row>
    <row r="6" spans="1:25" ht="41.4" x14ac:dyDescent="0.3">
      <c r="A6" s="226">
        <v>3</v>
      </c>
      <c r="B6" s="41" t="s">
        <v>436</v>
      </c>
      <c r="C6" s="226" t="s">
        <v>1116</v>
      </c>
      <c r="D6" s="41" t="s">
        <v>1117</v>
      </c>
      <c r="E6" s="41" t="s">
        <v>1118</v>
      </c>
      <c r="F6" s="226" t="s">
        <v>1119</v>
      </c>
      <c r="G6" s="41" t="s">
        <v>1116</v>
      </c>
      <c r="H6" s="256">
        <v>7000000</v>
      </c>
      <c r="I6" s="226">
        <v>6</v>
      </c>
      <c r="J6" s="251">
        <v>44835</v>
      </c>
      <c r="K6" s="251">
        <v>44927</v>
      </c>
      <c r="L6" s="228">
        <f t="shared" si="2"/>
        <v>45108</v>
      </c>
      <c r="M6" s="228">
        <f t="shared" si="2"/>
        <v>45292</v>
      </c>
      <c r="N6" s="228">
        <f t="shared" si="2"/>
        <v>45474</v>
      </c>
      <c r="O6" s="251">
        <f t="shared" si="2"/>
        <v>45658</v>
      </c>
      <c r="P6" s="251">
        <f t="shared" si="2"/>
        <v>45839</v>
      </c>
      <c r="Q6" s="251">
        <f t="shared" si="2"/>
        <v>46023</v>
      </c>
      <c r="R6" s="251">
        <f t="shared" si="2"/>
        <v>46204</v>
      </c>
      <c r="S6" s="251">
        <f t="shared" si="2"/>
        <v>46388</v>
      </c>
      <c r="T6" s="251">
        <f t="shared" si="2"/>
        <v>46569</v>
      </c>
      <c r="U6" s="251">
        <f t="shared" si="3"/>
        <v>46753</v>
      </c>
      <c r="V6" s="251">
        <f t="shared" si="4"/>
        <v>46935</v>
      </c>
      <c r="W6" s="251">
        <f t="shared" si="5"/>
        <v>47119</v>
      </c>
      <c r="X6" s="251">
        <f t="shared" si="6"/>
        <v>47300</v>
      </c>
      <c r="Y6" s="229">
        <f t="shared" si="7"/>
        <v>42000000</v>
      </c>
    </row>
    <row r="7" spans="1:25" ht="27.6" x14ac:dyDescent="0.3">
      <c r="A7" s="226">
        <v>4</v>
      </c>
      <c r="B7" s="41" t="s">
        <v>492</v>
      </c>
      <c r="C7" s="226" t="s">
        <v>1120</v>
      </c>
      <c r="D7" s="41" t="s">
        <v>1121</v>
      </c>
      <c r="E7" s="255" t="s">
        <v>1122</v>
      </c>
      <c r="F7" s="226" t="s">
        <v>1123</v>
      </c>
      <c r="G7" s="41" t="s">
        <v>1120</v>
      </c>
      <c r="H7" s="256">
        <v>6500000</v>
      </c>
      <c r="I7" s="226">
        <v>3</v>
      </c>
      <c r="J7" s="251">
        <v>45474</v>
      </c>
      <c r="K7" s="251">
        <f>EDATE(J7,3)</f>
        <v>45566</v>
      </c>
      <c r="L7" s="251">
        <f>EDATE(K7,3)</f>
        <v>45658</v>
      </c>
      <c r="M7" s="251">
        <f t="shared" ref="M7:T7" si="8">EDATE(L7,3)</f>
        <v>45748</v>
      </c>
      <c r="N7" s="251">
        <f t="shared" si="8"/>
        <v>45839</v>
      </c>
      <c r="O7" s="251">
        <f t="shared" si="8"/>
        <v>45931</v>
      </c>
      <c r="P7" s="251">
        <f t="shared" si="8"/>
        <v>46023</v>
      </c>
      <c r="Q7" s="252">
        <f t="shared" si="8"/>
        <v>46113</v>
      </c>
      <c r="R7" s="251">
        <f t="shared" si="8"/>
        <v>46204</v>
      </c>
      <c r="S7" s="251">
        <f t="shared" si="8"/>
        <v>46296</v>
      </c>
      <c r="T7" s="251">
        <f t="shared" si="8"/>
        <v>46388</v>
      </c>
      <c r="U7" s="251">
        <f t="shared" ref="U7" si="9">EDATE(T7,3)</f>
        <v>46478</v>
      </c>
      <c r="V7" s="251">
        <f t="shared" ref="V7" si="10">EDATE(U7,3)</f>
        <v>46569</v>
      </c>
      <c r="W7" s="251">
        <f t="shared" ref="W7" si="11">EDATE(V7,3)</f>
        <v>46661</v>
      </c>
      <c r="X7" s="251">
        <f t="shared" ref="X7" si="12">EDATE(W7,3)</f>
        <v>46753</v>
      </c>
      <c r="Y7" s="229">
        <f>I7*H7</f>
        <v>19500000</v>
      </c>
    </row>
    <row r="8" spans="1:25" ht="27.6" x14ac:dyDescent="0.3">
      <c r="A8" s="226">
        <v>5</v>
      </c>
      <c r="B8" s="41" t="s">
        <v>1124</v>
      </c>
      <c r="C8" s="226" t="s">
        <v>1125</v>
      </c>
      <c r="D8" s="41" t="s">
        <v>1126</v>
      </c>
      <c r="E8" s="255" t="s">
        <v>1127</v>
      </c>
      <c r="F8" s="226" t="s">
        <v>1125</v>
      </c>
      <c r="G8" s="41"/>
      <c r="H8" s="256">
        <v>6820000.0000000009</v>
      </c>
      <c r="I8" s="226">
        <v>6</v>
      </c>
      <c r="J8" s="251">
        <v>45627</v>
      </c>
      <c r="K8" s="251">
        <f>EDATE(J8,6)</f>
        <v>45809</v>
      </c>
      <c r="L8" s="251">
        <f t="shared" ref="L8:T12" si="13">EDATE(K8,6)</f>
        <v>45992</v>
      </c>
      <c r="M8" s="251">
        <f t="shared" si="13"/>
        <v>46174</v>
      </c>
      <c r="N8" s="251">
        <f t="shared" si="13"/>
        <v>46357</v>
      </c>
      <c r="O8" s="251">
        <f t="shared" si="13"/>
        <v>46539</v>
      </c>
      <c r="P8" s="251">
        <f t="shared" si="13"/>
        <v>46722</v>
      </c>
      <c r="Q8" s="251">
        <f t="shared" si="13"/>
        <v>46905</v>
      </c>
      <c r="R8" s="251">
        <f t="shared" si="13"/>
        <v>47088</v>
      </c>
      <c r="S8" s="251">
        <f t="shared" si="13"/>
        <v>47270</v>
      </c>
      <c r="T8" s="251">
        <f t="shared" si="13"/>
        <v>47453</v>
      </c>
      <c r="U8" s="251">
        <f t="shared" ref="U8:U12" si="14">EDATE(T8,6)</f>
        <v>47635</v>
      </c>
      <c r="V8" s="251">
        <f t="shared" ref="V8:V12" si="15">EDATE(U8,6)</f>
        <v>47818</v>
      </c>
      <c r="W8" s="251">
        <f t="shared" ref="W8:W12" si="16">EDATE(V8,6)</f>
        <v>48000</v>
      </c>
      <c r="X8" s="251">
        <f t="shared" ref="X8:X12" si="17">EDATE(W8,6)</f>
        <v>48183</v>
      </c>
      <c r="Y8" s="229">
        <f>H8*6</f>
        <v>40920000.000000007</v>
      </c>
    </row>
    <row r="9" spans="1:25" ht="27.6" x14ac:dyDescent="0.3">
      <c r="A9" s="226">
        <v>6</v>
      </c>
      <c r="B9" s="41" t="s">
        <v>254</v>
      </c>
      <c r="C9" s="226" t="s">
        <v>1128</v>
      </c>
      <c r="D9" s="41" t="s">
        <v>1129</v>
      </c>
      <c r="E9" s="255" t="s">
        <v>1130</v>
      </c>
      <c r="F9" s="226" t="s">
        <v>1131</v>
      </c>
      <c r="G9" s="41" t="s">
        <v>1128</v>
      </c>
      <c r="H9" s="256">
        <v>7000000</v>
      </c>
      <c r="I9" s="226">
        <v>6</v>
      </c>
      <c r="J9" s="251">
        <v>45915</v>
      </c>
      <c r="K9" s="252">
        <v>46113</v>
      </c>
      <c r="L9" s="228">
        <f t="shared" si="13"/>
        <v>46296</v>
      </c>
      <c r="M9" s="228">
        <f t="shared" si="13"/>
        <v>46478</v>
      </c>
      <c r="N9" s="228">
        <f t="shared" si="13"/>
        <v>46661</v>
      </c>
      <c r="O9" s="228">
        <f t="shared" si="13"/>
        <v>46844</v>
      </c>
      <c r="P9" s="228">
        <f t="shared" si="13"/>
        <v>47027</v>
      </c>
      <c r="Q9" s="228">
        <f t="shared" si="13"/>
        <v>47209</v>
      </c>
      <c r="R9" s="228">
        <f t="shared" si="13"/>
        <v>47392</v>
      </c>
      <c r="S9" s="228">
        <f t="shared" si="13"/>
        <v>47574</v>
      </c>
      <c r="T9" s="228">
        <f t="shared" si="13"/>
        <v>47757</v>
      </c>
      <c r="U9" s="228">
        <f t="shared" si="14"/>
        <v>47939</v>
      </c>
      <c r="V9" s="228">
        <f t="shared" si="15"/>
        <v>48122</v>
      </c>
      <c r="W9" s="228">
        <f t="shared" si="16"/>
        <v>48305</v>
      </c>
      <c r="X9" s="228">
        <f t="shared" si="17"/>
        <v>48488</v>
      </c>
      <c r="Y9" s="229">
        <f t="shared" ref="Y9:Y12" si="18">H9*6</f>
        <v>42000000</v>
      </c>
    </row>
    <row r="10" spans="1:25" ht="27.6" x14ac:dyDescent="0.3">
      <c r="A10" s="226">
        <v>7</v>
      </c>
      <c r="B10" s="41" t="s">
        <v>713</v>
      </c>
      <c r="C10" s="226" t="s">
        <v>1132</v>
      </c>
      <c r="D10" s="41" t="s">
        <v>1133</v>
      </c>
      <c r="E10" s="255" t="s">
        <v>1134</v>
      </c>
      <c r="F10" s="226"/>
      <c r="G10" s="41" t="s">
        <v>1132</v>
      </c>
      <c r="H10" s="256">
        <v>8000000</v>
      </c>
      <c r="I10" s="226">
        <v>6</v>
      </c>
      <c r="J10" s="251"/>
      <c r="K10" s="251">
        <v>46023</v>
      </c>
      <c r="L10" s="228">
        <f t="shared" si="13"/>
        <v>46204</v>
      </c>
      <c r="M10" s="228">
        <f t="shared" si="13"/>
        <v>46388</v>
      </c>
      <c r="N10" s="228">
        <f t="shared" si="13"/>
        <v>46569</v>
      </c>
      <c r="O10" s="228">
        <f t="shared" si="13"/>
        <v>46753</v>
      </c>
      <c r="P10" s="228">
        <f t="shared" si="13"/>
        <v>46935</v>
      </c>
      <c r="Q10" s="228">
        <f t="shared" si="13"/>
        <v>47119</v>
      </c>
      <c r="R10" s="228">
        <f t="shared" si="13"/>
        <v>47300</v>
      </c>
      <c r="S10" s="228">
        <f t="shared" si="13"/>
        <v>47484</v>
      </c>
      <c r="T10" s="228">
        <f t="shared" si="13"/>
        <v>47665</v>
      </c>
      <c r="U10" s="228">
        <f t="shared" si="14"/>
        <v>47849</v>
      </c>
      <c r="V10" s="228">
        <f t="shared" si="15"/>
        <v>48030</v>
      </c>
      <c r="W10" s="228">
        <f t="shared" si="16"/>
        <v>48214</v>
      </c>
      <c r="X10" s="228">
        <f t="shared" si="17"/>
        <v>48396</v>
      </c>
      <c r="Y10" s="229">
        <f t="shared" si="18"/>
        <v>48000000</v>
      </c>
    </row>
    <row r="11" spans="1:25" ht="27.6" x14ac:dyDescent="0.3">
      <c r="A11" s="226">
        <v>8</v>
      </c>
      <c r="B11" s="41" t="s">
        <v>1135</v>
      </c>
      <c r="C11" s="226" t="s">
        <v>1136</v>
      </c>
      <c r="D11" s="41" t="s">
        <v>1137</v>
      </c>
      <c r="E11" s="255" t="s">
        <v>1134</v>
      </c>
      <c r="F11" s="226"/>
      <c r="G11" s="41" t="s">
        <v>1136</v>
      </c>
      <c r="H11" s="256">
        <v>7400000</v>
      </c>
      <c r="I11" s="226">
        <v>6</v>
      </c>
      <c r="J11" s="251"/>
      <c r="K11" s="251">
        <v>46023</v>
      </c>
      <c r="L11" s="228">
        <f t="shared" si="13"/>
        <v>46204</v>
      </c>
      <c r="M11" s="228">
        <f t="shared" si="13"/>
        <v>46388</v>
      </c>
      <c r="N11" s="228">
        <f t="shared" si="13"/>
        <v>46569</v>
      </c>
      <c r="O11" s="228">
        <f t="shared" si="13"/>
        <v>46753</v>
      </c>
      <c r="P11" s="228">
        <f t="shared" si="13"/>
        <v>46935</v>
      </c>
      <c r="Q11" s="228">
        <f t="shared" si="13"/>
        <v>47119</v>
      </c>
      <c r="R11" s="228">
        <f t="shared" si="13"/>
        <v>47300</v>
      </c>
      <c r="S11" s="228">
        <f t="shared" si="13"/>
        <v>47484</v>
      </c>
      <c r="T11" s="228">
        <f t="shared" si="13"/>
        <v>47665</v>
      </c>
      <c r="U11" s="228">
        <f t="shared" si="14"/>
        <v>47849</v>
      </c>
      <c r="V11" s="228">
        <f t="shared" si="15"/>
        <v>48030</v>
      </c>
      <c r="W11" s="228">
        <f t="shared" si="16"/>
        <v>48214</v>
      </c>
      <c r="X11" s="228">
        <f t="shared" si="17"/>
        <v>48396</v>
      </c>
      <c r="Y11" s="229">
        <f t="shared" si="18"/>
        <v>44400000</v>
      </c>
    </row>
    <row r="12" spans="1:25" ht="27.6" x14ac:dyDescent="0.3">
      <c r="A12" s="226">
        <v>9</v>
      </c>
      <c r="B12" s="41" t="s">
        <v>423</v>
      </c>
      <c r="C12" s="226" t="s">
        <v>1138</v>
      </c>
      <c r="D12" s="41" t="s">
        <v>1139</v>
      </c>
      <c r="E12" s="255" t="s">
        <v>1134</v>
      </c>
      <c r="F12" s="226"/>
      <c r="G12" s="41" t="s">
        <v>1138</v>
      </c>
      <c r="H12" s="256">
        <v>6400000</v>
      </c>
      <c r="I12" s="226">
        <v>6</v>
      </c>
      <c r="J12" s="251"/>
      <c r="K12" s="251">
        <v>46023</v>
      </c>
      <c r="L12" s="228">
        <f t="shared" si="13"/>
        <v>46204</v>
      </c>
      <c r="M12" s="228">
        <f t="shared" si="13"/>
        <v>46388</v>
      </c>
      <c r="N12" s="228">
        <f t="shared" si="13"/>
        <v>46569</v>
      </c>
      <c r="O12" s="228">
        <f t="shared" si="13"/>
        <v>46753</v>
      </c>
      <c r="P12" s="228">
        <f t="shared" si="13"/>
        <v>46935</v>
      </c>
      <c r="Q12" s="228">
        <f t="shared" si="13"/>
        <v>47119</v>
      </c>
      <c r="R12" s="228">
        <f t="shared" si="13"/>
        <v>47300</v>
      </c>
      <c r="S12" s="228">
        <f t="shared" si="13"/>
        <v>47484</v>
      </c>
      <c r="T12" s="228">
        <f t="shared" si="13"/>
        <v>47665</v>
      </c>
      <c r="U12" s="228">
        <f t="shared" si="14"/>
        <v>47849</v>
      </c>
      <c r="V12" s="228">
        <f t="shared" si="15"/>
        <v>48030</v>
      </c>
      <c r="W12" s="228">
        <f t="shared" si="16"/>
        <v>48214</v>
      </c>
      <c r="X12" s="228">
        <f t="shared" si="17"/>
        <v>48396</v>
      </c>
      <c r="Y12" s="229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527</v>
      </c>
      <c r="F1" s="132" t="s">
        <v>525</v>
      </c>
    </row>
    <row r="2" spans="1:6" ht="15.6" x14ac:dyDescent="0.3">
      <c r="A2" s="128">
        <v>1</v>
      </c>
      <c r="B2" s="130" t="s">
        <v>530</v>
      </c>
      <c r="C2" s="129">
        <v>476400000</v>
      </c>
      <c r="D2" s="129"/>
      <c r="E2" s="128"/>
      <c r="F2" s="127"/>
    </row>
    <row r="3" spans="1:6" ht="15.6" x14ac:dyDescent="0.3">
      <c r="A3" s="128">
        <v>2</v>
      </c>
      <c r="B3" s="130" t="s">
        <v>529</v>
      </c>
      <c r="C3" s="129">
        <v>86066062</v>
      </c>
      <c r="D3" s="129"/>
      <c r="E3" s="128"/>
      <c r="F3" s="127"/>
    </row>
    <row r="4" spans="1:6" ht="15.6" x14ac:dyDescent="0.3">
      <c r="A4" s="128">
        <v>3</v>
      </c>
      <c r="B4" s="130" t="s">
        <v>528</v>
      </c>
      <c r="C4" s="129"/>
      <c r="D4" s="129">
        <v>209450000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532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524</v>
      </c>
      <c r="C7" s="129"/>
      <c r="D7" s="129">
        <v>17500000</v>
      </c>
      <c r="E7" s="128"/>
      <c r="F7" s="127"/>
    </row>
    <row r="8" spans="1:6" ht="15.6" x14ac:dyDescent="0.3">
      <c r="A8" s="128">
        <v>7</v>
      </c>
      <c r="B8" s="130" t="s">
        <v>533</v>
      </c>
      <c r="C8" s="129"/>
      <c r="D8" s="129">
        <v>700000000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663116062</v>
      </c>
      <c r="D11" s="129">
        <f>SUBTOTAL(9,D2:D10)</f>
        <v>947950000</v>
      </c>
      <c r="E11" s="131">
        <f>C11-D11</f>
        <v>-284833938</v>
      </c>
      <c r="F11" s="133">
        <f>E11/3</f>
        <v>-94944646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542</v>
      </c>
      <c r="F1" s="132" t="s">
        <v>525</v>
      </c>
    </row>
    <row r="2" spans="1:6" ht="15.6" x14ac:dyDescent="0.3">
      <c r="A2" s="128">
        <v>1</v>
      </c>
      <c r="B2" s="130" t="s">
        <v>536</v>
      </c>
      <c r="C2" s="129">
        <v>136200000</v>
      </c>
      <c r="D2" s="129"/>
      <c r="E2" s="128"/>
      <c r="F2" s="127"/>
    </row>
    <row r="3" spans="1:6" ht="15.6" x14ac:dyDescent="0.3">
      <c r="A3" s="128">
        <v>2</v>
      </c>
      <c r="B3" s="130" t="s">
        <v>537</v>
      </c>
      <c r="C3" s="129">
        <v>21016240</v>
      </c>
      <c r="D3" s="129"/>
      <c r="E3" s="128"/>
      <c r="F3" s="127"/>
    </row>
    <row r="4" spans="1:6" ht="15.6" x14ac:dyDescent="0.3">
      <c r="A4" s="128">
        <v>3</v>
      </c>
      <c r="B4" s="130" t="s">
        <v>539</v>
      </c>
      <c r="C4" s="129"/>
      <c r="D4" s="129">
        <v>167250000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540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541</v>
      </c>
      <c r="C7" s="129"/>
      <c r="D7" s="129">
        <f>3500000*6</f>
        <v>21000000</v>
      </c>
      <c r="E7" s="128"/>
      <c r="F7" s="127"/>
    </row>
    <row r="8" spans="1:6" ht="15.6" x14ac:dyDescent="0.3">
      <c r="A8" s="128">
        <v>7</v>
      </c>
      <c r="B8" s="130" t="s">
        <v>538</v>
      </c>
      <c r="C8" s="129"/>
      <c r="D8" s="129">
        <v>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257866240</v>
      </c>
      <c r="D11" s="129">
        <f>SUBTOTAL(9,D2:D10)</f>
        <v>209250000</v>
      </c>
      <c r="E11" s="131">
        <f>C11-D11</f>
        <v>48616240</v>
      </c>
      <c r="F11" s="133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548</v>
      </c>
      <c r="D1" s="128" t="s">
        <v>547</v>
      </c>
      <c r="E1" s="134" t="s">
        <v>546</v>
      </c>
    </row>
    <row r="2" spans="1:5" ht="15.6" x14ac:dyDescent="0.3">
      <c r="A2" s="128">
        <v>1</v>
      </c>
      <c r="B2" s="130" t="s">
        <v>537</v>
      </c>
      <c r="C2" s="129">
        <v>91602396</v>
      </c>
      <c r="D2" s="129">
        <v>0</v>
      </c>
      <c r="E2" s="128"/>
    </row>
    <row r="3" spans="1:5" ht="15.6" x14ac:dyDescent="0.3">
      <c r="A3" s="128">
        <v>2</v>
      </c>
      <c r="B3" s="130" t="s">
        <v>543</v>
      </c>
      <c r="C3" s="129">
        <v>0</v>
      </c>
      <c r="D3" s="129">
        <v>18000000</v>
      </c>
      <c r="E3" s="128"/>
    </row>
    <row r="4" spans="1:5" ht="15.6" x14ac:dyDescent="0.3">
      <c r="A4" s="128">
        <v>3</v>
      </c>
      <c r="B4" s="130" t="s">
        <v>532</v>
      </c>
      <c r="C4" s="129">
        <v>0</v>
      </c>
      <c r="D4" s="129">
        <v>10410603</v>
      </c>
      <c r="E4" s="128"/>
    </row>
    <row r="5" spans="1:5" ht="15.6" x14ac:dyDescent="0.3">
      <c r="A5" s="128">
        <v>4</v>
      </c>
      <c r="B5" s="130" t="s">
        <v>544</v>
      </c>
      <c r="C5" s="129">
        <v>0</v>
      </c>
      <c r="D5" s="129">
        <v>3450000</v>
      </c>
      <c r="E5" s="128"/>
    </row>
    <row r="6" spans="1:5" ht="15.6" x14ac:dyDescent="0.3">
      <c r="A6" s="128">
        <v>5</v>
      </c>
      <c r="B6" s="130" t="s">
        <v>545</v>
      </c>
      <c r="C6" s="129">
        <f>SUBTOTAL(9,C2:C5)</f>
        <v>91602396</v>
      </c>
      <c r="D6" s="129">
        <f>SUBTOTAL(9,D2:D5)</f>
        <v>31860603</v>
      </c>
      <c r="E6" s="131">
        <f>C6-D6</f>
        <v>59741793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</row>
    <row r="2" spans="1:5" ht="15.6" x14ac:dyDescent="0.3">
      <c r="A2" s="128">
        <v>1</v>
      </c>
      <c r="B2" s="130" t="s">
        <v>554</v>
      </c>
      <c r="C2" s="129">
        <v>238500000</v>
      </c>
      <c r="D2" s="129"/>
      <c r="E2" s="128"/>
    </row>
    <row r="3" spans="1:5" ht="15.6" x14ac:dyDescent="0.3">
      <c r="A3" s="128">
        <v>2</v>
      </c>
      <c r="B3" s="130" t="s">
        <v>555</v>
      </c>
      <c r="C3" s="129">
        <v>67650000</v>
      </c>
      <c r="D3" s="129"/>
      <c r="E3" s="128"/>
    </row>
    <row r="4" spans="1:5" ht="15.6" x14ac:dyDescent="0.3">
      <c r="A4" s="128">
        <v>3</v>
      </c>
      <c r="B4" s="130" t="s">
        <v>537</v>
      </c>
      <c r="C4" s="129">
        <v>106149997</v>
      </c>
      <c r="D4" s="129"/>
      <c r="E4" s="128"/>
    </row>
    <row r="5" spans="1:5" ht="15.6" x14ac:dyDescent="0.3">
      <c r="A5" s="128">
        <v>4</v>
      </c>
      <c r="B5" s="130" t="s">
        <v>556</v>
      </c>
      <c r="C5" s="129"/>
      <c r="D5" s="129">
        <v>207750000</v>
      </c>
      <c r="E5" s="128"/>
    </row>
    <row r="6" spans="1:5" ht="15.6" x14ac:dyDescent="0.3">
      <c r="A6" s="128">
        <v>5</v>
      </c>
      <c r="B6" s="130" t="s">
        <v>538</v>
      </c>
      <c r="C6" s="129"/>
      <c r="D6" s="135">
        <v>650000000</v>
      </c>
      <c r="E6" s="128"/>
    </row>
    <row r="7" spans="1:5" ht="15.6" x14ac:dyDescent="0.3">
      <c r="A7" s="136">
        <v>6</v>
      </c>
      <c r="B7" s="137"/>
      <c r="C7" s="138">
        <f>SUBTOTAL(9,C2:C6)</f>
        <v>412299997</v>
      </c>
      <c r="D7" s="138">
        <f>SUBTOTAL(9,D2:D6)</f>
        <v>857750000</v>
      </c>
      <c r="E7" s="139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  <c r="F1" s="128" t="s">
        <v>53</v>
      </c>
    </row>
    <row r="2" spans="1:6" ht="15.6" x14ac:dyDescent="0.3">
      <c r="A2" s="128">
        <v>1</v>
      </c>
      <c r="B2" s="130" t="s">
        <v>573</v>
      </c>
      <c r="C2" s="129">
        <v>762960000</v>
      </c>
      <c r="D2" s="129"/>
      <c r="E2" s="128"/>
      <c r="F2" s="130"/>
    </row>
    <row r="3" spans="1:6" ht="15.6" x14ac:dyDescent="0.3">
      <c r="A3" s="128">
        <v>2</v>
      </c>
      <c r="B3" s="130" t="s">
        <v>572</v>
      </c>
      <c r="C3" s="129">
        <v>88605000</v>
      </c>
      <c r="D3" s="129"/>
      <c r="E3" s="128"/>
      <c r="F3" s="128"/>
    </row>
    <row r="4" spans="1:6" ht="15.6" x14ac:dyDescent="0.3">
      <c r="A4" s="128">
        <v>3</v>
      </c>
      <c r="B4" s="130" t="s">
        <v>537</v>
      </c>
      <c r="C4" s="129">
        <v>246852937</v>
      </c>
      <c r="D4" s="129"/>
      <c r="E4" s="128"/>
      <c r="F4" s="128"/>
    </row>
    <row r="5" spans="1:6" ht="15.6" x14ac:dyDescent="0.3">
      <c r="A5" s="128">
        <v>4</v>
      </c>
      <c r="B5" s="130" t="s">
        <v>571</v>
      </c>
      <c r="C5" s="129"/>
      <c r="D5" s="129">
        <v>356250000</v>
      </c>
      <c r="E5" s="128"/>
      <c r="F5" s="128"/>
    </row>
    <row r="6" spans="1:6" ht="31.2" x14ac:dyDescent="0.3">
      <c r="A6" s="128">
        <v>5</v>
      </c>
      <c r="B6" s="130" t="s">
        <v>575</v>
      </c>
      <c r="C6" s="129"/>
      <c r="D6" s="140">
        <v>0</v>
      </c>
      <c r="E6" s="128"/>
      <c r="F6" s="134" t="s">
        <v>574</v>
      </c>
    </row>
    <row r="7" spans="1:6" ht="15.6" x14ac:dyDescent="0.3">
      <c r="A7" s="136">
        <v>6</v>
      </c>
      <c r="B7" s="137"/>
      <c r="C7" s="138">
        <f>SUBTOTAL(9,C2:C6)</f>
        <v>1098417937</v>
      </c>
      <c r="D7" s="138">
        <f>SUBTOTAL(9,D2:D6)</f>
        <v>356250000</v>
      </c>
      <c r="E7" s="139">
        <f>C7-D7</f>
        <v>742167937</v>
      </c>
      <c r="F7" s="128" t="s">
        <v>570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611</v>
      </c>
      <c r="F1" s="128" t="s">
        <v>53</v>
      </c>
    </row>
    <row r="2" spans="1:6" ht="15.6" x14ac:dyDescent="0.3">
      <c r="A2" s="128">
        <v>1</v>
      </c>
      <c r="B2" s="130" t="s">
        <v>609</v>
      </c>
      <c r="C2" s="129">
        <v>295800000</v>
      </c>
      <c r="D2" s="129"/>
      <c r="E2" s="128"/>
      <c r="F2" s="130"/>
    </row>
    <row r="3" spans="1:6" ht="15.6" x14ac:dyDescent="0.3">
      <c r="A3" s="128">
        <v>2</v>
      </c>
      <c r="B3" s="130" t="s">
        <v>608</v>
      </c>
      <c r="C3" s="129">
        <v>88605000</v>
      </c>
      <c r="D3" s="129"/>
      <c r="E3" s="128"/>
      <c r="F3" s="128"/>
    </row>
    <row r="4" spans="1:6" ht="31.2" x14ac:dyDescent="0.3">
      <c r="A4" s="128">
        <v>3</v>
      </c>
      <c r="B4" s="130" t="s">
        <v>613</v>
      </c>
      <c r="C4" s="129">
        <v>43957419</v>
      </c>
      <c r="D4" s="129"/>
      <c r="E4" s="128"/>
      <c r="F4" s="128"/>
    </row>
    <row r="5" spans="1:6" ht="15.6" x14ac:dyDescent="0.3">
      <c r="A5" s="128">
        <v>4</v>
      </c>
      <c r="B5" s="130" t="s">
        <v>610</v>
      </c>
      <c r="C5" s="129"/>
      <c r="D5" s="129">
        <v>147000000</v>
      </c>
      <c r="E5" s="128"/>
      <c r="F5" s="128"/>
    </row>
    <row r="6" spans="1:6" ht="31.2" x14ac:dyDescent="0.3">
      <c r="A6" s="128">
        <v>5</v>
      </c>
      <c r="B6" s="130" t="s">
        <v>614</v>
      </c>
      <c r="C6" s="129"/>
      <c r="D6" s="140">
        <v>0</v>
      </c>
      <c r="E6" s="128"/>
      <c r="F6" s="134" t="s">
        <v>612</v>
      </c>
    </row>
    <row r="7" spans="1:6" ht="15.6" x14ac:dyDescent="0.3">
      <c r="A7" s="136">
        <v>6</v>
      </c>
      <c r="B7" s="137"/>
      <c r="C7" s="138">
        <f>SUBTOTAL(9,C2:C6)</f>
        <v>428362419</v>
      </c>
      <c r="D7" s="138">
        <f>SUBTOTAL(9,D2:D6)</f>
        <v>147000000</v>
      </c>
      <c r="E7" s="139">
        <f>C7-D7</f>
        <v>281362419</v>
      </c>
      <c r="F7" s="128" t="s">
        <v>570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611</v>
      </c>
      <c r="F1" s="128" t="s">
        <v>53</v>
      </c>
    </row>
    <row r="2" spans="1:6" ht="15.6" x14ac:dyDescent="0.3">
      <c r="A2" s="128">
        <v>1</v>
      </c>
      <c r="B2" s="130" t="s">
        <v>617</v>
      </c>
      <c r="C2" s="129">
        <v>375000000</v>
      </c>
      <c r="D2" s="129"/>
      <c r="E2" s="128"/>
      <c r="F2" s="130"/>
    </row>
    <row r="3" spans="1:6" ht="15.6" x14ac:dyDescent="0.3">
      <c r="A3" s="128">
        <v>2</v>
      </c>
      <c r="B3" s="130" t="s">
        <v>621</v>
      </c>
      <c r="C3" s="129">
        <v>0</v>
      </c>
      <c r="D3" s="129"/>
      <c r="E3" s="128"/>
      <c r="F3" s="128"/>
    </row>
    <row r="4" spans="1:6" ht="31.2" x14ac:dyDescent="0.3">
      <c r="A4" s="128">
        <v>3</v>
      </c>
      <c r="B4" s="130" t="s">
        <v>618</v>
      </c>
      <c r="C4" s="129">
        <v>397275412</v>
      </c>
      <c r="D4" s="129"/>
      <c r="E4" s="128"/>
      <c r="F4" s="128"/>
    </row>
    <row r="5" spans="1:6" ht="15.6" x14ac:dyDescent="0.3">
      <c r="A5" s="128">
        <v>4</v>
      </c>
      <c r="B5" s="130" t="s">
        <v>619</v>
      </c>
      <c r="C5" s="129"/>
      <c r="D5" s="129">
        <v>430000000</v>
      </c>
      <c r="E5" s="128"/>
      <c r="F5" s="128"/>
    </row>
    <row r="6" spans="1:6" ht="15.6" x14ac:dyDescent="0.3">
      <c r="A6" s="128">
        <v>5</v>
      </c>
      <c r="B6" s="130" t="s">
        <v>620</v>
      </c>
      <c r="C6" s="129"/>
      <c r="D6" s="140">
        <v>0</v>
      </c>
      <c r="E6" s="128"/>
      <c r="F6" s="134"/>
    </row>
    <row r="7" spans="1:6" ht="15.6" x14ac:dyDescent="0.3">
      <c r="A7" s="136">
        <v>6</v>
      </c>
      <c r="B7" s="137"/>
      <c r="C7" s="138">
        <f>SUBTOTAL(9,C2:C6)</f>
        <v>772275412</v>
      </c>
      <c r="D7" s="138">
        <f>SUBTOTAL(9,D2:D6)</f>
        <v>430000000</v>
      </c>
      <c r="E7" s="139">
        <f>C7-D7</f>
        <v>342275412</v>
      </c>
      <c r="F7" s="128" t="s">
        <v>570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652</v>
      </c>
      <c r="F1" s="128" t="s">
        <v>53</v>
      </c>
    </row>
    <row r="2" spans="1:6" ht="15.6" x14ac:dyDescent="0.3">
      <c r="A2" s="128">
        <v>1</v>
      </c>
      <c r="B2" s="130" t="s">
        <v>654</v>
      </c>
      <c r="C2" s="129">
        <v>1310000000</v>
      </c>
      <c r="D2" s="129"/>
      <c r="E2" s="128"/>
      <c r="F2" s="130"/>
    </row>
    <row r="3" spans="1:6" ht="15.6" x14ac:dyDescent="0.3">
      <c r="A3" s="128">
        <v>2</v>
      </c>
      <c r="B3" s="130" t="s">
        <v>655</v>
      </c>
      <c r="C3" s="129">
        <v>66000000</v>
      </c>
      <c r="D3" s="129"/>
      <c r="E3" s="128"/>
      <c r="F3" s="128"/>
    </row>
    <row r="4" spans="1:6" ht="15.6" x14ac:dyDescent="0.3">
      <c r="A4" s="128">
        <v>3</v>
      </c>
      <c r="B4" s="130" t="s">
        <v>656</v>
      </c>
      <c r="C4" s="129">
        <v>96000000</v>
      </c>
      <c r="D4" s="129"/>
      <c r="E4" s="128"/>
      <c r="F4" s="128"/>
    </row>
    <row r="5" spans="1:6" ht="31.2" x14ac:dyDescent="0.3">
      <c r="A5" s="128">
        <v>4</v>
      </c>
      <c r="B5" s="130" t="s">
        <v>663</v>
      </c>
      <c r="C5" s="129">
        <v>628605795</v>
      </c>
      <c r="D5" s="129"/>
      <c r="E5" s="128"/>
      <c r="F5" s="128"/>
    </row>
    <row r="6" spans="1:6" ht="15.6" x14ac:dyDescent="0.3">
      <c r="A6" s="128">
        <v>5</v>
      </c>
      <c r="B6" s="130" t="s">
        <v>651</v>
      </c>
      <c r="C6" s="129"/>
      <c r="D6" s="129">
        <v>736000000</v>
      </c>
      <c r="E6" s="128"/>
      <c r="F6" s="128"/>
    </row>
    <row r="7" spans="1:6" ht="15.6" x14ac:dyDescent="0.3">
      <c r="A7" s="128">
        <v>6</v>
      </c>
      <c r="B7" s="130" t="s">
        <v>650</v>
      </c>
      <c r="C7" s="129"/>
      <c r="D7" s="140">
        <v>360000000</v>
      </c>
      <c r="E7" s="128"/>
      <c r="F7" s="134"/>
    </row>
    <row r="8" spans="1:6" ht="15.6" x14ac:dyDescent="0.3">
      <c r="A8" s="142">
        <v>7</v>
      </c>
      <c r="B8" s="143" t="s">
        <v>545</v>
      </c>
      <c r="C8" s="144">
        <f>SUBTOTAL(9,C2:C7)</f>
        <v>2100605795</v>
      </c>
      <c r="D8" s="144">
        <f>SUBTOTAL(9,D2:D7)</f>
        <v>1096000000</v>
      </c>
      <c r="E8" s="139">
        <f>C8-D8</f>
        <v>1004605795</v>
      </c>
      <c r="F8" s="142" t="s">
        <v>653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6" bestFit="1" customWidth="1"/>
    <col min="2" max="2" width="21.44140625" style="146" customWidth="1"/>
    <col min="3" max="3" width="23.77734375" style="146" customWidth="1"/>
    <col min="4" max="4" width="20.77734375" style="146" customWidth="1"/>
    <col min="5" max="5" width="15.21875" style="146" customWidth="1"/>
    <col min="6" max="6" width="13.21875" style="146" customWidth="1"/>
    <col min="7" max="7" width="9.21875" style="146"/>
    <col min="8" max="8" width="10.21875" style="146" bestFit="1" customWidth="1"/>
    <col min="9" max="16384" width="9.21875" style="146"/>
  </cols>
  <sheetData>
    <row r="1" spans="1:10" x14ac:dyDescent="0.35">
      <c r="A1" s="147" t="s">
        <v>24</v>
      </c>
      <c r="B1" s="147" t="s">
        <v>664</v>
      </c>
      <c r="C1" s="147" t="s">
        <v>669</v>
      </c>
      <c r="D1" s="147" t="s">
        <v>665</v>
      </c>
      <c r="E1" s="147" t="s">
        <v>666</v>
      </c>
      <c r="F1" s="147" t="s">
        <v>671</v>
      </c>
    </row>
    <row r="2" spans="1:10" x14ac:dyDescent="0.35">
      <c r="A2" s="148">
        <v>1</v>
      </c>
      <c r="B2" s="148" t="s">
        <v>667</v>
      </c>
      <c r="C2" s="148">
        <v>4</v>
      </c>
      <c r="D2" s="148"/>
      <c r="E2" s="148">
        <v>1</v>
      </c>
      <c r="F2" s="148">
        <f>SUM(C2:E2)</f>
        <v>5</v>
      </c>
      <c r="H2" s="146">
        <f>C2*650000</f>
        <v>2600000</v>
      </c>
      <c r="I2" s="146">
        <f>E2*250000</f>
        <v>250000</v>
      </c>
    </row>
    <row r="3" spans="1:10" x14ac:dyDescent="0.35">
      <c r="A3" s="148">
        <v>2</v>
      </c>
      <c r="B3" s="148" t="s">
        <v>668</v>
      </c>
      <c r="C3" s="148">
        <v>3</v>
      </c>
      <c r="D3" s="148"/>
      <c r="E3" s="148">
        <v>2</v>
      </c>
      <c r="F3" s="148">
        <f t="shared" ref="F3:F5" si="0">SUM(C3:E3)</f>
        <v>5</v>
      </c>
      <c r="H3" s="146">
        <f>C3*650000</f>
        <v>1950000</v>
      </c>
      <c r="I3" s="146">
        <f>E3*250000</f>
        <v>500000</v>
      </c>
    </row>
    <row r="4" spans="1:10" x14ac:dyDescent="0.35">
      <c r="A4" s="148">
        <v>3</v>
      </c>
      <c r="B4" s="148" t="s">
        <v>670</v>
      </c>
      <c r="C4" s="148">
        <v>2</v>
      </c>
      <c r="D4" s="148">
        <v>1</v>
      </c>
      <c r="E4" s="148">
        <v>1</v>
      </c>
      <c r="F4" s="148">
        <f t="shared" si="0"/>
        <v>4</v>
      </c>
      <c r="H4" s="146">
        <f>C4*650000</f>
        <v>1300000</v>
      </c>
      <c r="I4" s="146">
        <f>D4*350000</f>
        <v>350000</v>
      </c>
      <c r="J4" s="146">
        <f>E4*250000</f>
        <v>250000</v>
      </c>
    </row>
    <row r="5" spans="1:10" ht="20.399999999999999" x14ac:dyDescent="0.35">
      <c r="A5" s="257" t="s">
        <v>671</v>
      </c>
      <c r="B5" s="258"/>
      <c r="C5" s="148">
        <f>SUM(C2:C4)</f>
        <v>9</v>
      </c>
      <c r="D5" s="148">
        <f t="shared" ref="D5:E5" si="1">SUM(D2:D4)</f>
        <v>1</v>
      </c>
      <c r="E5" s="148">
        <f t="shared" si="1"/>
        <v>4</v>
      </c>
      <c r="F5" s="149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201</v>
      </c>
      <c r="C1" s="68" t="s">
        <v>204</v>
      </c>
      <c r="D1" s="69" t="s">
        <v>173</v>
      </c>
      <c r="E1" s="69" t="s">
        <v>212</v>
      </c>
    </row>
    <row r="2" spans="1:8" x14ac:dyDescent="0.25">
      <c r="A2" s="44">
        <v>1</v>
      </c>
      <c r="B2" s="46" t="s">
        <v>271</v>
      </c>
      <c r="C2" s="44" t="s">
        <v>203</v>
      </c>
      <c r="D2" s="46"/>
      <c r="E2" s="65" t="s">
        <v>277</v>
      </c>
    </row>
    <row r="3" spans="1:8" ht="26.4" x14ac:dyDescent="0.25">
      <c r="A3" s="44">
        <v>2</v>
      </c>
      <c r="B3" s="46" t="s">
        <v>322</v>
      </c>
      <c r="C3" s="44" t="s">
        <v>203</v>
      </c>
      <c r="D3" s="46"/>
      <c r="E3" s="65" t="s">
        <v>214</v>
      </c>
    </row>
    <row r="4" spans="1:8" ht="132" x14ac:dyDescent="0.25">
      <c r="A4" s="44">
        <v>3</v>
      </c>
      <c r="B4" s="46" t="s">
        <v>323</v>
      </c>
      <c r="C4" s="44" t="s">
        <v>203</v>
      </c>
      <c r="D4" s="46"/>
      <c r="E4" s="46"/>
    </row>
    <row r="5" spans="1:8" x14ac:dyDescent="0.25">
      <c r="A5" s="44">
        <v>4</v>
      </c>
      <c r="B5" s="46" t="s">
        <v>205</v>
      </c>
      <c r="C5" s="44" t="s">
        <v>203</v>
      </c>
      <c r="D5" s="46"/>
      <c r="E5" s="46" t="s">
        <v>215</v>
      </c>
    </row>
    <row r="6" spans="1:8" x14ac:dyDescent="0.25">
      <c r="A6" s="44">
        <v>5</v>
      </c>
      <c r="B6" s="46" t="s">
        <v>270</v>
      </c>
      <c r="C6" s="44" t="s">
        <v>203</v>
      </c>
      <c r="D6" s="46"/>
      <c r="E6" s="46"/>
    </row>
    <row r="7" spans="1:8" x14ac:dyDescent="0.25">
      <c r="A7" s="44">
        <v>6</v>
      </c>
      <c r="B7" s="46" t="s">
        <v>279</v>
      </c>
      <c r="C7" s="44" t="s">
        <v>203</v>
      </c>
      <c r="D7" s="46"/>
      <c r="E7" s="46"/>
    </row>
    <row r="8" spans="1:8" x14ac:dyDescent="0.25">
      <c r="A8" s="44">
        <v>7</v>
      </c>
      <c r="B8" s="46" t="s">
        <v>280</v>
      </c>
      <c r="C8" s="44" t="s">
        <v>203</v>
      </c>
      <c r="D8" s="46"/>
      <c r="E8" s="46"/>
    </row>
    <row r="9" spans="1:8" x14ac:dyDescent="0.25">
      <c r="A9" s="44">
        <v>8</v>
      </c>
      <c r="B9" s="46" t="s">
        <v>273</v>
      </c>
      <c r="C9" s="44" t="s">
        <v>203</v>
      </c>
      <c r="D9" s="46"/>
      <c r="E9" s="46"/>
    </row>
    <row r="10" spans="1:8" ht="79.2" x14ac:dyDescent="0.25">
      <c r="A10" s="44">
        <v>1</v>
      </c>
      <c r="B10" s="46" t="s">
        <v>330</v>
      </c>
      <c r="C10" s="44" t="s">
        <v>206</v>
      </c>
      <c r="D10" s="46" t="s">
        <v>281</v>
      </c>
      <c r="E10" s="65" t="s">
        <v>329</v>
      </c>
      <c r="H10" s="53"/>
    </row>
    <row r="11" spans="1:8" ht="26.4" x14ac:dyDescent="0.25">
      <c r="A11" s="44">
        <v>1</v>
      </c>
      <c r="B11" s="46" t="s">
        <v>282</v>
      </c>
      <c r="C11" s="44" t="s">
        <v>202</v>
      </c>
      <c r="D11" s="46"/>
      <c r="E11" s="65" t="s">
        <v>213</v>
      </c>
    </row>
    <row r="12" spans="1:8" ht="39.6" x14ac:dyDescent="0.25">
      <c r="A12" s="44">
        <v>2</v>
      </c>
      <c r="B12" s="46" t="s">
        <v>324</v>
      </c>
      <c r="C12" s="44" t="s">
        <v>202</v>
      </c>
      <c r="D12" s="46" t="s">
        <v>325</v>
      </c>
      <c r="E12" s="65" t="s">
        <v>283</v>
      </c>
    </row>
    <row r="13" spans="1:8" x14ac:dyDescent="0.25">
      <c r="A13" s="44">
        <v>3</v>
      </c>
      <c r="B13" s="46" t="s">
        <v>326</v>
      </c>
      <c r="C13" s="44" t="s">
        <v>202</v>
      </c>
      <c r="D13" s="46" t="s">
        <v>284</v>
      </c>
      <c r="E13" s="65" t="s">
        <v>285</v>
      </c>
    </row>
    <row r="14" spans="1:8" x14ac:dyDescent="0.25">
      <c r="A14" s="44">
        <v>4</v>
      </c>
      <c r="B14" s="46" t="s">
        <v>272</v>
      </c>
      <c r="C14" s="44" t="s">
        <v>202</v>
      </c>
      <c r="D14" s="46"/>
      <c r="E14" s="65"/>
    </row>
    <row r="15" spans="1:8" x14ac:dyDescent="0.25">
      <c r="A15" s="44">
        <v>5</v>
      </c>
      <c r="B15" s="46" t="s">
        <v>286</v>
      </c>
      <c r="C15" s="44" t="s">
        <v>202</v>
      </c>
      <c r="D15" s="46"/>
      <c r="E15" s="46"/>
    </row>
    <row r="16" spans="1:8" x14ac:dyDescent="0.25">
      <c r="A16" s="44">
        <v>6</v>
      </c>
      <c r="B16" s="46" t="s">
        <v>287</v>
      </c>
      <c r="C16" s="44" t="s">
        <v>202</v>
      </c>
      <c r="D16" s="46"/>
      <c r="E16" s="46"/>
    </row>
    <row r="17" spans="1:5" x14ac:dyDescent="0.25">
      <c r="A17" s="44">
        <v>2</v>
      </c>
      <c r="B17" s="46" t="s">
        <v>288</v>
      </c>
      <c r="C17" s="44" t="s">
        <v>207</v>
      </c>
      <c r="D17" s="46"/>
      <c r="E17" s="65"/>
    </row>
    <row r="18" spans="1:5" x14ac:dyDescent="0.25">
      <c r="A18" s="44">
        <v>3</v>
      </c>
      <c r="B18" s="46" t="s">
        <v>210</v>
      </c>
      <c r="C18" s="44" t="s">
        <v>207</v>
      </c>
      <c r="D18" s="46"/>
      <c r="E18" s="46" t="s">
        <v>216</v>
      </c>
    </row>
    <row r="19" spans="1:5" x14ac:dyDescent="0.25">
      <c r="A19" s="44">
        <v>4</v>
      </c>
      <c r="B19" s="46" t="s">
        <v>208</v>
      </c>
      <c r="C19" s="44" t="s">
        <v>207</v>
      </c>
      <c r="D19" s="46"/>
      <c r="E19" s="65"/>
    </row>
    <row r="20" spans="1:5" ht="26.4" x14ac:dyDescent="0.25">
      <c r="A20" s="44">
        <v>5</v>
      </c>
      <c r="B20" s="46" t="s">
        <v>209</v>
      </c>
      <c r="C20" s="44" t="s">
        <v>207</v>
      </c>
      <c r="D20" s="46"/>
      <c r="E20" s="46" t="s">
        <v>289</v>
      </c>
    </row>
    <row r="21" spans="1:5" x14ac:dyDescent="0.25">
      <c r="A21" s="44">
        <v>7</v>
      </c>
      <c r="B21" s="46" t="s">
        <v>309</v>
      </c>
      <c r="C21" s="44" t="s">
        <v>310</v>
      </c>
      <c r="D21" s="46"/>
      <c r="E21" s="46"/>
    </row>
    <row r="22" spans="1:5" x14ac:dyDescent="0.25">
      <c r="A22" s="44">
        <v>8</v>
      </c>
      <c r="B22" s="46" t="s">
        <v>328</v>
      </c>
      <c r="C22" s="44" t="s">
        <v>202</v>
      </c>
      <c r="D22" s="46"/>
      <c r="E22" s="46"/>
    </row>
    <row r="23" spans="1:5" ht="26.4" x14ac:dyDescent="0.25">
      <c r="A23" s="81">
        <v>11</v>
      </c>
      <c r="B23" s="82" t="s">
        <v>311</v>
      </c>
      <c r="C23" s="81" t="s">
        <v>313</v>
      </c>
      <c r="D23" s="82"/>
      <c r="E23" s="82"/>
    </row>
    <row r="24" spans="1:5" x14ac:dyDescent="0.25">
      <c r="A24" s="44">
        <v>6</v>
      </c>
      <c r="B24" s="46" t="s">
        <v>312</v>
      </c>
      <c r="C24" s="44" t="s">
        <v>321</v>
      </c>
      <c r="D24" s="46"/>
      <c r="E24" s="46"/>
    </row>
    <row r="25" spans="1:5" x14ac:dyDescent="0.25">
      <c r="A25" s="44">
        <v>12</v>
      </c>
      <c r="B25" s="46" t="s">
        <v>314</v>
      </c>
      <c r="C25" s="44" t="s">
        <v>313</v>
      </c>
      <c r="D25" s="46"/>
      <c r="E25" s="46"/>
    </row>
    <row r="26" spans="1:5" ht="26.4" x14ac:dyDescent="0.25">
      <c r="A26" s="44">
        <v>13</v>
      </c>
      <c r="B26" s="46" t="s">
        <v>315</v>
      </c>
      <c r="C26" s="44" t="s">
        <v>313</v>
      </c>
      <c r="D26" s="46"/>
      <c r="E26" s="46"/>
    </row>
    <row r="27" spans="1:5" x14ac:dyDescent="0.25">
      <c r="A27" s="44">
        <v>14</v>
      </c>
      <c r="B27" s="46" t="s">
        <v>320</v>
      </c>
      <c r="C27" s="44" t="s">
        <v>313</v>
      </c>
      <c r="D27" s="46"/>
      <c r="E27" s="46"/>
    </row>
    <row r="28" spans="1:5" x14ac:dyDescent="0.25">
      <c r="A28" s="44">
        <v>9</v>
      </c>
      <c r="B28" s="46" t="s">
        <v>327</v>
      </c>
      <c r="C28" s="44" t="s">
        <v>202</v>
      </c>
      <c r="D28" s="46"/>
      <c r="E28" s="4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126</v>
      </c>
      <c r="H6" s="27" t="s">
        <v>126</v>
      </c>
      <c r="I6" s="27" t="s">
        <v>129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125</v>
      </c>
      <c r="H10" s="31" t="s">
        <v>127</v>
      </c>
      <c r="I10" s="32" t="s">
        <v>174</v>
      </c>
      <c r="J10" s="43" t="s">
        <v>176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168</v>
      </c>
      <c r="P10" s="39" t="s">
        <v>169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145</v>
      </c>
      <c r="Y10" s="7" t="s">
        <v>165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124</v>
      </c>
      <c r="C13" s="2" t="s">
        <v>117</v>
      </c>
      <c r="D13" s="2">
        <v>106.565909</v>
      </c>
      <c r="E13" s="2">
        <v>10.764969000000001</v>
      </c>
      <c r="F13" s="2" t="s">
        <v>163</v>
      </c>
      <c r="G13" s="26" t="s">
        <v>128</v>
      </c>
      <c r="H13" s="34" t="s">
        <v>136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137</v>
      </c>
      <c r="C14" s="2" t="s">
        <v>138</v>
      </c>
      <c r="D14" s="2"/>
      <c r="E14" s="2"/>
      <c r="F14" s="2" t="s">
        <v>140</v>
      </c>
      <c r="G14" s="35" t="s">
        <v>141</v>
      </c>
      <c r="H14" s="34" t="s">
        <v>141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142</v>
      </c>
      <c r="C15" s="2" t="s">
        <v>138</v>
      </c>
      <c r="D15" s="2"/>
      <c r="E15" s="2"/>
      <c r="F15" s="2" t="s">
        <v>139</v>
      </c>
      <c r="G15" s="35" t="s">
        <v>141</v>
      </c>
      <c r="H15" s="34" t="s">
        <v>141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143</v>
      </c>
      <c r="C16" s="2" t="s">
        <v>117</v>
      </c>
      <c r="D16" s="2"/>
      <c r="E16" s="2"/>
      <c r="F16" s="2" t="s">
        <v>144</v>
      </c>
      <c r="G16" s="35" t="s">
        <v>141</v>
      </c>
      <c r="H16" s="34" t="s">
        <v>141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196</v>
      </c>
      <c r="C17" s="2" t="s">
        <v>15</v>
      </c>
      <c r="D17" s="2">
        <v>106.56671299999999</v>
      </c>
      <c r="E17" s="2">
        <v>10.862303000000001</v>
      </c>
      <c r="F17" s="2" t="s">
        <v>197</v>
      </c>
      <c r="G17" s="25" t="s">
        <v>135</v>
      </c>
      <c r="H17" s="27" t="s">
        <v>135</v>
      </c>
      <c r="I17" s="27" t="s">
        <v>186</v>
      </c>
      <c r="J17" s="27" t="s">
        <v>177</v>
      </c>
      <c r="K17" s="2" t="s">
        <v>198</v>
      </c>
      <c r="L17" s="2" t="s">
        <v>58</v>
      </c>
      <c r="M17" s="2" t="s">
        <v>148</v>
      </c>
      <c r="N17" s="8" t="s">
        <v>179</v>
      </c>
      <c r="O17" s="2"/>
      <c r="P17" s="2"/>
      <c r="Q17" s="20" t="s">
        <v>199</v>
      </c>
      <c r="R17" s="18" t="s">
        <v>77</v>
      </c>
      <c r="S17" s="18"/>
      <c r="T17" s="22"/>
      <c r="U17" s="22"/>
      <c r="V17" s="22"/>
      <c r="W17" s="18" t="s">
        <v>200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235</v>
      </c>
      <c r="C18" s="8" t="s">
        <v>15</v>
      </c>
      <c r="D18" s="8">
        <v>106.651433</v>
      </c>
      <c r="E18" s="8">
        <v>10.897498000000001</v>
      </c>
      <c r="F18" s="8" t="s">
        <v>236</v>
      </c>
      <c r="G18" s="30" t="s">
        <v>135</v>
      </c>
      <c r="H18" s="36" t="s">
        <v>141</v>
      </c>
      <c r="I18" s="30" t="s">
        <v>299</v>
      </c>
      <c r="J18" s="30" t="s">
        <v>177</v>
      </c>
      <c r="K18" s="22"/>
      <c r="L18" s="8" t="s">
        <v>237</v>
      </c>
      <c r="M18" s="8" t="s">
        <v>43</v>
      </c>
      <c r="N18" s="8" t="s">
        <v>58</v>
      </c>
      <c r="O18" s="8"/>
      <c r="P18" s="8"/>
      <c r="Q18" s="8"/>
      <c r="R18" s="21" t="s">
        <v>238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196</v>
      </c>
      <c r="C19" s="8" t="s">
        <v>15</v>
      </c>
      <c r="D19" s="8">
        <v>106.56538399999999</v>
      </c>
      <c r="E19" s="8">
        <v>10.860938000000001</v>
      </c>
      <c r="F19" s="8" t="s">
        <v>292</v>
      </c>
      <c r="G19" s="36" t="s">
        <v>141</v>
      </c>
      <c r="H19" s="30" t="s">
        <v>135</v>
      </c>
      <c r="I19" s="30" t="s">
        <v>186</v>
      </c>
      <c r="J19" s="30" t="s">
        <v>177</v>
      </c>
      <c r="K19" s="22"/>
      <c r="L19" s="22" t="s">
        <v>304</v>
      </c>
      <c r="M19" s="8" t="s">
        <v>43</v>
      </c>
      <c r="N19" s="8" t="s">
        <v>148</v>
      </c>
      <c r="O19" s="8"/>
      <c r="P19" s="8"/>
      <c r="Q19" s="8"/>
      <c r="R19" s="21" t="s">
        <v>296</v>
      </c>
      <c r="S19" s="22" t="s">
        <v>79</v>
      </c>
      <c r="T19" s="21"/>
      <c r="U19" s="22" t="s">
        <v>306</v>
      </c>
      <c r="V19" s="22" t="s">
        <v>293</v>
      </c>
      <c r="W19" s="22" t="s">
        <v>305</v>
      </c>
      <c r="X19" s="22" t="s">
        <v>294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343</v>
      </c>
      <c r="C20" s="25" t="s">
        <v>15</v>
      </c>
      <c r="D20" s="25">
        <v>106.587734</v>
      </c>
      <c r="E20" s="25">
        <v>10.846996000000001</v>
      </c>
      <c r="F20" s="25" t="s">
        <v>346</v>
      </c>
      <c r="G20" s="2" t="s">
        <v>356</v>
      </c>
      <c r="H20" s="27" t="s">
        <v>135</v>
      </c>
      <c r="I20" s="27" t="s">
        <v>135</v>
      </c>
      <c r="J20" s="24"/>
      <c r="K20" s="27" t="s">
        <v>300</v>
      </c>
      <c r="L20" s="24"/>
      <c r="M20" s="27" t="s">
        <v>300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344</v>
      </c>
      <c r="Y20" s="96">
        <v>6000000</v>
      </c>
      <c r="Z20" s="25" t="s">
        <v>345</v>
      </c>
      <c r="AA20" s="25" t="s">
        <v>337</v>
      </c>
      <c r="AB20" s="25"/>
      <c r="AC20" s="25"/>
      <c r="AD20" s="23" t="s">
        <v>297</v>
      </c>
      <c r="AE20" s="24" t="s">
        <v>77</v>
      </c>
      <c r="AF20" s="23"/>
      <c r="AG20" s="24"/>
      <c r="AH20" s="24"/>
      <c r="AI20" s="24"/>
      <c r="AJ20" s="24" t="s">
        <v>348</v>
      </c>
      <c r="AK20" s="26">
        <v>12</v>
      </c>
      <c r="AL20" s="25">
        <v>12</v>
      </c>
      <c r="AM20" s="90"/>
      <c r="AO20" s="92"/>
    </row>
    <row r="22" spans="1:42" s="123" customFormat="1" ht="60" x14ac:dyDescent="0.3">
      <c r="A22" s="4">
        <v>31</v>
      </c>
      <c r="B22" s="2" t="s">
        <v>447</v>
      </c>
      <c r="C22" s="2" t="e">
        <v>#N/A</v>
      </c>
      <c r="D22" s="2" t="s">
        <v>467</v>
      </c>
      <c r="E22" s="2">
        <v>106.805773</v>
      </c>
      <c r="F22" s="2">
        <v>10.58525</v>
      </c>
      <c r="G22" s="2" t="s">
        <v>448</v>
      </c>
      <c r="H22" s="34" t="s">
        <v>449</v>
      </c>
      <c r="I22" s="48" t="s">
        <v>449</v>
      </c>
      <c r="J22" s="34" t="s">
        <v>141</v>
      </c>
      <c r="K22" s="98">
        <v>44762</v>
      </c>
      <c r="L22" s="27" t="s">
        <v>426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450</v>
      </c>
      <c r="Z22" s="102">
        <v>3500000</v>
      </c>
      <c r="AA22" s="102">
        <v>4500000</v>
      </c>
      <c r="AB22" s="95">
        <v>12500000</v>
      </c>
      <c r="AC22" s="48"/>
      <c r="AD22" s="48"/>
      <c r="AE22" s="112" t="s">
        <v>451</v>
      </c>
      <c r="AF22" s="113" t="s">
        <v>77</v>
      </c>
      <c r="AG22" s="120"/>
      <c r="AH22" s="121" t="s">
        <v>452</v>
      </c>
      <c r="AI22" s="119" t="s">
        <v>453</v>
      </c>
      <c r="AJ22" s="112" t="s">
        <v>406</v>
      </c>
      <c r="AK22" s="2" t="s">
        <v>454</v>
      </c>
      <c r="AL22" s="8">
        <v>0</v>
      </c>
      <c r="AM22" s="2">
        <v>30</v>
      </c>
      <c r="AN22" s="48"/>
      <c r="AO22" t="s">
        <v>773</v>
      </c>
      <c r="AP22" s="122"/>
    </row>
    <row r="23" spans="1:42" s="123" customFormat="1" ht="48" x14ac:dyDescent="0.3">
      <c r="A23" s="4">
        <v>39</v>
      </c>
      <c r="B23" s="2" t="s">
        <v>495</v>
      </c>
      <c r="C23" s="2" t="e">
        <v>#N/A</v>
      </c>
      <c r="D23" s="2" t="s">
        <v>476</v>
      </c>
      <c r="E23" s="2">
        <v>106.620645</v>
      </c>
      <c r="F23" s="2">
        <v>10.786562999999999</v>
      </c>
      <c r="G23" s="2" t="s">
        <v>496</v>
      </c>
      <c r="H23" s="34" t="s">
        <v>141</v>
      </c>
      <c r="I23" s="27" t="s">
        <v>135</v>
      </c>
      <c r="J23" s="27" t="s">
        <v>135</v>
      </c>
      <c r="K23" s="125" t="s">
        <v>517</v>
      </c>
      <c r="L23" s="34"/>
      <c r="M23" s="9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2">
        <v>7000000</v>
      </c>
      <c r="AA23" s="102">
        <v>7000000</v>
      </c>
      <c r="AB23" s="95">
        <v>10900000</v>
      </c>
      <c r="AC23" s="48"/>
      <c r="AD23" s="48"/>
      <c r="AE23" s="87">
        <v>44902</v>
      </c>
      <c r="AF23" s="113" t="s">
        <v>77</v>
      </c>
      <c r="AG23" s="120"/>
      <c r="AH23" s="121" t="s">
        <v>497</v>
      </c>
      <c r="AI23" s="119" t="s">
        <v>498</v>
      </c>
      <c r="AJ23" s="112" t="s">
        <v>195</v>
      </c>
      <c r="AK23" s="2" t="s">
        <v>499</v>
      </c>
      <c r="AL23" s="2">
        <v>14</v>
      </c>
      <c r="AM23" s="2">
        <v>12</v>
      </c>
      <c r="AN23" s="48"/>
      <c r="AO23" t="s">
        <v>773</v>
      </c>
      <c r="AP23" s="12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217</v>
      </c>
      <c r="D1" s="48" t="s">
        <v>219</v>
      </c>
      <c r="E1" s="48"/>
      <c r="F1" s="48" t="s">
        <v>53</v>
      </c>
    </row>
    <row r="2" spans="2:10" x14ac:dyDescent="0.3">
      <c r="B2" s="70">
        <v>1</v>
      </c>
      <c r="C2" s="70" t="s">
        <v>218</v>
      </c>
      <c r="D2" s="71">
        <f>'Báo giá DD'!F9</f>
        <v>367176920</v>
      </c>
      <c r="E2" s="71" t="s">
        <v>278</v>
      </c>
      <c r="F2" s="49" t="s">
        <v>274</v>
      </c>
    </row>
    <row r="3" spans="2:10" x14ac:dyDescent="0.3">
      <c r="B3" s="75">
        <v>2</v>
      </c>
      <c r="C3" s="75" t="s">
        <v>220</v>
      </c>
      <c r="D3" s="76">
        <f>4000000*6</f>
        <v>24000000</v>
      </c>
      <c r="E3" s="76"/>
      <c r="F3" s="259" t="s">
        <v>269</v>
      </c>
    </row>
    <row r="4" spans="2:10" x14ac:dyDescent="0.3">
      <c r="B4" s="75">
        <v>3</v>
      </c>
      <c r="C4" s="75" t="s">
        <v>221</v>
      </c>
      <c r="D4" s="76">
        <f>3*7000000-10000000</f>
        <v>11000000</v>
      </c>
      <c r="E4" s="76"/>
      <c r="F4" s="260"/>
    </row>
    <row r="5" spans="2:10" x14ac:dyDescent="0.3">
      <c r="B5" s="75">
        <v>4</v>
      </c>
      <c r="C5" s="75" t="s">
        <v>222</v>
      </c>
      <c r="D5" s="76">
        <f>3*6200000</f>
        <v>18600000</v>
      </c>
      <c r="E5" s="76"/>
      <c r="F5" s="260"/>
    </row>
    <row r="6" spans="2:10" x14ac:dyDescent="0.3">
      <c r="B6" s="70">
        <v>5</v>
      </c>
      <c r="C6" s="70" t="s">
        <v>223</v>
      </c>
      <c r="D6" s="71">
        <v>83593000</v>
      </c>
      <c r="E6" s="71" t="s">
        <v>278</v>
      </c>
      <c r="F6" s="260"/>
    </row>
    <row r="7" spans="2:10" x14ac:dyDescent="0.3">
      <c r="B7" s="75">
        <v>6</v>
      </c>
      <c r="C7" s="75" t="s">
        <v>266</v>
      </c>
      <c r="D7" s="76">
        <f>3*6000000</f>
        <v>18000000</v>
      </c>
      <c r="E7" s="76"/>
      <c r="F7" s="260"/>
    </row>
    <row r="8" spans="2:10" x14ac:dyDescent="0.3">
      <c r="B8" s="70">
        <v>7</v>
      </c>
      <c r="C8" s="70" t="s">
        <v>267</v>
      </c>
      <c r="D8" s="71">
        <v>5000000</v>
      </c>
      <c r="E8" s="71" t="s">
        <v>278</v>
      </c>
      <c r="F8" s="260"/>
    </row>
    <row r="9" spans="2:10" x14ac:dyDescent="0.3">
      <c r="B9" s="70">
        <v>8</v>
      </c>
      <c r="C9" s="70" t="s">
        <v>276</v>
      </c>
      <c r="D9" s="71">
        <v>6620000</v>
      </c>
      <c r="E9" s="71" t="s">
        <v>278</v>
      </c>
      <c r="F9" s="260"/>
    </row>
    <row r="10" spans="2:10" x14ac:dyDescent="0.3">
      <c r="B10" s="70">
        <v>9</v>
      </c>
      <c r="C10" s="70" t="s">
        <v>275</v>
      </c>
      <c r="D10" s="71">
        <v>1250000</v>
      </c>
      <c r="E10" s="71" t="s">
        <v>278</v>
      </c>
      <c r="F10" s="260"/>
    </row>
    <row r="11" spans="2:10" hidden="1" x14ac:dyDescent="0.3">
      <c r="B11" s="55"/>
      <c r="C11" s="56" t="s">
        <v>226</v>
      </c>
      <c r="D11" s="57">
        <f>SUM(D2:D10)</f>
        <v>535239920</v>
      </c>
      <c r="E11" s="72"/>
      <c r="F11" s="260"/>
      <c r="J11"/>
    </row>
    <row r="12" spans="2:10" hidden="1" x14ac:dyDescent="0.3">
      <c r="B12" s="58">
        <v>1</v>
      </c>
      <c r="C12" s="58" t="s">
        <v>224</v>
      </c>
      <c r="D12" s="59">
        <v>5786705</v>
      </c>
      <c r="E12" s="73"/>
      <c r="F12" s="260"/>
    </row>
    <row r="13" spans="2:10" hidden="1" x14ac:dyDescent="0.3">
      <c r="B13" s="60">
        <v>2</v>
      </c>
      <c r="C13" s="58" t="s">
        <v>225</v>
      </c>
      <c r="D13" s="61">
        <f>3*6300000</f>
        <v>18900000</v>
      </c>
      <c r="E13" s="74"/>
      <c r="F13" s="261"/>
    </row>
    <row r="14" spans="2:10" hidden="1" x14ac:dyDescent="0.3">
      <c r="B14" s="60"/>
      <c r="C14" s="62" t="s">
        <v>268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243</v>
      </c>
      <c r="B1" s="48" t="s">
        <v>244</v>
      </c>
      <c r="C1" s="48" t="s">
        <v>245</v>
      </c>
      <c r="D1" s="48" t="s">
        <v>246</v>
      </c>
      <c r="E1" s="50" t="s">
        <v>247</v>
      </c>
      <c r="F1" s="50" t="s">
        <v>248</v>
      </c>
      <c r="G1" s="50" t="s">
        <v>53</v>
      </c>
      <c r="H1" s="48" t="s">
        <v>262</v>
      </c>
      <c r="I1" s="48" t="s">
        <v>263</v>
      </c>
    </row>
    <row r="2" spans="1:9" ht="43.2" x14ac:dyDescent="0.3">
      <c r="A2" s="48">
        <v>1</v>
      </c>
      <c r="B2" s="48" t="s">
        <v>14</v>
      </c>
      <c r="C2" s="48" t="s">
        <v>249</v>
      </c>
      <c r="D2" s="48" t="s">
        <v>250</v>
      </c>
      <c r="E2" s="51">
        <v>97186343.887759268</v>
      </c>
      <c r="F2" s="51">
        <v>97186343.887759268</v>
      </c>
      <c r="G2" s="50" t="s">
        <v>264</v>
      </c>
      <c r="H2" s="48" t="s">
        <v>265</v>
      </c>
      <c r="I2" s="48" t="s">
        <v>265</v>
      </c>
    </row>
    <row r="3" spans="1:9" ht="43.2" x14ac:dyDescent="0.3">
      <c r="A3" s="48">
        <v>2</v>
      </c>
      <c r="B3" s="48" t="s">
        <v>19</v>
      </c>
      <c r="C3" s="48" t="s">
        <v>251</v>
      </c>
      <c r="D3" s="48" t="s">
        <v>252</v>
      </c>
      <c r="E3" s="51">
        <v>119976179.789873</v>
      </c>
      <c r="F3" s="51">
        <v>119976179.789873</v>
      </c>
      <c r="G3" s="50" t="s">
        <v>264</v>
      </c>
      <c r="H3" s="48" t="s">
        <v>265</v>
      </c>
      <c r="I3" s="48" t="s">
        <v>265</v>
      </c>
    </row>
    <row r="4" spans="1:9" x14ac:dyDescent="0.3">
      <c r="A4" s="48">
        <v>3</v>
      </c>
      <c r="B4" s="48" t="s">
        <v>29</v>
      </c>
      <c r="C4" s="48" t="s">
        <v>253</v>
      </c>
      <c r="D4" s="48" t="s">
        <v>250</v>
      </c>
      <c r="E4" s="51">
        <v>81643720</v>
      </c>
      <c r="F4" s="51">
        <v>86661720</v>
      </c>
      <c r="G4" s="50"/>
      <c r="H4" s="48" t="s">
        <v>265</v>
      </c>
      <c r="I4" s="48"/>
    </row>
    <row r="5" spans="1:9" x14ac:dyDescent="0.3">
      <c r="A5" s="48">
        <v>4</v>
      </c>
      <c r="B5" s="48" t="s">
        <v>254</v>
      </c>
      <c r="C5" s="48" t="s">
        <v>255</v>
      </c>
      <c r="D5" s="48" t="s">
        <v>256</v>
      </c>
      <c r="E5" s="51">
        <v>181765190</v>
      </c>
      <c r="F5" s="51">
        <v>183610190</v>
      </c>
      <c r="G5" s="50"/>
      <c r="H5" s="48" t="s">
        <v>265</v>
      </c>
      <c r="I5" s="48"/>
    </row>
    <row r="6" spans="1:9" x14ac:dyDescent="0.3">
      <c r="A6" s="48">
        <v>5</v>
      </c>
      <c r="B6" s="48" t="s">
        <v>257</v>
      </c>
      <c r="C6" s="48" t="s">
        <v>258</v>
      </c>
      <c r="D6" s="48" t="s">
        <v>259</v>
      </c>
      <c r="E6" s="51">
        <v>182845575</v>
      </c>
      <c r="F6" s="51">
        <v>185170575</v>
      </c>
      <c r="G6" s="50"/>
      <c r="H6" s="48" t="s">
        <v>265</v>
      </c>
      <c r="I6" s="48" t="s">
        <v>265</v>
      </c>
    </row>
    <row r="7" spans="1:9" x14ac:dyDescent="0.3">
      <c r="A7" s="48">
        <v>6</v>
      </c>
      <c r="B7" s="48" t="s">
        <v>260</v>
      </c>
      <c r="C7" s="48" t="s">
        <v>261</v>
      </c>
      <c r="D7" s="48" t="s">
        <v>259</v>
      </c>
      <c r="E7" s="51">
        <v>94620010</v>
      </c>
      <c r="F7" s="51">
        <v>96905010</v>
      </c>
      <c r="G7" s="50"/>
      <c r="H7" s="48" t="s">
        <v>265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62" t="s">
        <v>1</v>
      </c>
      <c r="M1" s="262"/>
      <c r="N1" s="262"/>
      <c r="O1" s="262"/>
      <c r="P1" s="262"/>
      <c r="Q1" s="263" t="s">
        <v>2</v>
      </c>
      <c r="R1" s="263"/>
      <c r="S1" s="263"/>
      <c r="T1" s="263"/>
      <c r="U1" s="263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2026-03-31T04:11:11Z</dcterms:modified>
</cp:coreProperties>
</file>