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14101549-0797-461E-B20B-933AF83FEE15}" xr6:coauthVersionLast="47" xr6:coauthVersionMax="47" xr10:uidLastSave="{00000000-0000-0000-0000-000000000000}"/>
  <bookViews>
    <workbookView xWindow="-108" yWindow="-108" windowWidth="23256" windowHeight="12456" tabRatio="822" activeTab="1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externalReferences>
    <externalReference r:id="rId21"/>
  </externalReference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6" i="24" l="1"/>
  <c r="Z46" i="24" s="1"/>
  <c r="AA46" i="24" s="1"/>
  <c r="AB46" i="24" s="1"/>
  <c r="AC46" i="24" s="1"/>
  <c r="AD46" i="24" s="1"/>
  <c r="AE46" i="24" s="1"/>
  <c r="AF46" i="24" s="1"/>
  <c r="AG46" i="24" s="1"/>
  <c r="X46" i="24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Z17" i="24"/>
  <c r="K85" i="24"/>
  <c r="Z91" i="25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AH85" i="24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2" i="24"/>
  <c r="G2" i="24"/>
  <c r="F2" i="24"/>
  <c r="E2" i="24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R4" i="28" l="1"/>
  <c r="J2" i="28"/>
  <c r="P2" i="28"/>
  <c r="N2" i="27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AC4" i="26" s="1"/>
  <c r="X5" i="26"/>
  <c r="W2" i="26"/>
  <c r="W4" i="25"/>
  <c r="V2" i="25"/>
  <c r="Z4" i="24"/>
  <c r="Y2" i="24"/>
  <c r="C6" i="15"/>
  <c r="D6" i="15"/>
  <c r="AD4" i="26" l="1"/>
  <c r="X2" i="26"/>
  <c r="Y5" i="26"/>
  <c r="X4" i="25"/>
  <c r="W2" i="25"/>
  <c r="AA4" i="24"/>
  <c r="Z2" i="24"/>
  <c r="E6" i="15"/>
  <c r="AE4" i="26" l="1"/>
  <c r="Z5" i="26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A2" i="26"/>
  <c r="AC2" i="24"/>
  <c r="AD4" i="24"/>
  <c r="D11" i="12"/>
  <c r="C11" i="12"/>
  <c r="AB2" i="26" l="1"/>
  <c r="AC5" i="26"/>
  <c r="AD2" i="24"/>
  <c r="AE4" i="24"/>
  <c r="E11" i="12"/>
  <c r="F11" i="12" s="1"/>
  <c r="AD5" i="26" l="1"/>
  <c r="AC2" i="26"/>
  <c r="AE2" i="24"/>
  <c r="AF4" i="24"/>
  <c r="P11" i="2"/>
  <c r="P13" i="2"/>
  <c r="N6" i="2"/>
  <c r="N5" i="2"/>
  <c r="N4" i="2"/>
  <c r="AE5" i="26" l="1"/>
  <c r="AE2" i="26" s="1"/>
  <c r="AD2" i="26"/>
  <c r="AF2" i="24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<sst xmlns="http://schemas.openxmlformats.org/spreadsheetml/2006/main" count="3372" uniqueCount="1171">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</sst>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76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zoomScale="70" zoomScaleNormal="7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38" sqref="G38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903</v>
      </c>
      <c r="H1" s="8" t="s">
        <v>904</v>
      </c>
      <c r="I1" s="31" t="s">
        <v>2</v>
      </c>
      <c r="J1" s="8" t="s">
        <v>145</v>
      </c>
      <c r="K1" s="8" t="s">
        <v>927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925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905</v>
      </c>
      <c r="I4" s="33" t="s">
        <v>905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905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986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905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905</v>
      </c>
      <c r="I10" s="31" t="s">
        <v>906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906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905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905</v>
      </c>
      <c r="I15" s="35" t="s">
        <v>905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905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905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905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905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905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905</v>
      </c>
      <c r="I25" s="35" t="s">
        <v>905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905</v>
      </c>
      <c r="I27" s="25" t="s">
        <v>901</v>
      </c>
      <c r="J27" s="97" t="s">
        <v>907</v>
      </c>
      <c r="K27" s="97" t="s">
        <v>907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905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905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907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905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923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905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924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905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909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356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907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907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910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907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24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907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905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907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907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907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911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1151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907</v>
      </c>
      <c r="K47" s="125" t="s">
        <v>907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912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913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907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907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914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907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907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907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907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907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907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907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907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907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907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915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916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905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917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907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918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905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919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907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920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907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907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907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907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907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907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907</v>
      </c>
      <c r="K76" s="125" t="s">
        <v>907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907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907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907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907</v>
      </c>
      <c r="K79" s="125" t="s">
        <v>907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907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907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902</v>
      </c>
      <c r="H81" s="27" t="s">
        <v>901</v>
      </c>
      <c r="I81" s="25" t="s">
        <v>901</v>
      </c>
      <c r="J81" s="125" t="s">
        <v>907</v>
      </c>
      <c r="K81" s="125" t="s">
        <v>907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907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908</v>
      </c>
      <c r="AG81" s="120"/>
      <c r="AH81" s="121" t="s">
        <v>908</v>
      </c>
      <c r="AI81" s="121" t="s">
        <v>908</v>
      </c>
      <c r="AJ81" s="121" t="s">
        <v>908</v>
      </c>
      <c r="AK81" s="121" t="s">
        <v>908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902</v>
      </c>
      <c r="H82" s="27" t="s">
        <v>901</v>
      </c>
      <c r="I82" s="25" t="s">
        <v>901</v>
      </c>
      <c r="J82" s="125" t="s">
        <v>907</v>
      </c>
      <c r="K82" s="125" t="s">
        <v>907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907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908</v>
      </c>
      <c r="AG82" s="120"/>
      <c r="AH82" s="121" t="s">
        <v>908</v>
      </c>
      <c r="AI82" s="121" t="s">
        <v>908</v>
      </c>
      <c r="AJ82" s="121" t="s">
        <v>908</v>
      </c>
      <c r="AK82" s="121" t="s">
        <v>908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902</v>
      </c>
      <c r="H83" s="27" t="s">
        <v>901</v>
      </c>
      <c r="I83" s="25" t="s">
        <v>901</v>
      </c>
      <c r="J83" s="125" t="s">
        <v>907</v>
      </c>
      <c r="K83" s="125" t="s">
        <v>907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907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908</v>
      </c>
      <c r="AG83" s="120"/>
      <c r="AH83" s="121" t="s">
        <v>908</v>
      </c>
      <c r="AI83" s="121" t="s">
        <v>908</v>
      </c>
      <c r="AJ83" s="121" t="s">
        <v>908</v>
      </c>
      <c r="AK83" s="121" t="s">
        <v>908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902</v>
      </c>
      <c r="H84" s="27" t="s">
        <v>901</v>
      </c>
      <c r="I84" s="25" t="s">
        <v>901</v>
      </c>
      <c r="J84" s="125" t="s">
        <v>907</v>
      </c>
      <c r="K84" s="125" t="s">
        <v>907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907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908</v>
      </c>
      <c r="AG84" s="120"/>
      <c r="AH84" s="121" t="s">
        <v>908</v>
      </c>
      <c r="AI84" s="121" t="s">
        <v>908</v>
      </c>
      <c r="AJ84" s="121" t="s">
        <v>908</v>
      </c>
      <c r="AK84" s="121" t="s">
        <v>908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902</v>
      </c>
      <c r="H85" s="27" t="s">
        <v>901</v>
      </c>
      <c r="I85" s="25" t="s">
        <v>901</v>
      </c>
      <c r="J85" s="125" t="s">
        <v>907</v>
      </c>
      <c r="K85" s="125" t="s">
        <v>907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907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908</v>
      </c>
      <c r="AG85" s="120"/>
      <c r="AH85" s="121" t="s">
        <v>908</v>
      </c>
      <c r="AI85" s="121" t="s">
        <v>908</v>
      </c>
      <c r="AJ85" s="121" t="s">
        <v>908</v>
      </c>
      <c r="AK85" s="121" t="s">
        <v>908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902</v>
      </c>
      <c r="H86" s="27" t="s">
        <v>901</v>
      </c>
      <c r="I86" s="25" t="s">
        <v>901</v>
      </c>
      <c r="J86" s="125" t="s">
        <v>907</v>
      </c>
      <c r="K86" s="125" t="s">
        <v>907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907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908</v>
      </c>
      <c r="AG86" s="120"/>
      <c r="AH86" s="121" t="s">
        <v>908</v>
      </c>
      <c r="AI86" s="121" t="s">
        <v>908</v>
      </c>
      <c r="AJ86" s="121" t="s">
        <v>908</v>
      </c>
      <c r="AK86" s="121" t="s">
        <v>908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902</v>
      </c>
      <c r="H87" s="27" t="s">
        <v>901</v>
      </c>
      <c r="I87" s="25" t="s">
        <v>901</v>
      </c>
      <c r="J87" s="125" t="s">
        <v>907</v>
      </c>
      <c r="K87" s="125" t="s">
        <v>907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907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908</v>
      </c>
      <c r="AG87" s="120"/>
      <c r="AH87" s="121" t="s">
        <v>908</v>
      </c>
      <c r="AI87" s="121" t="s">
        <v>908</v>
      </c>
      <c r="AJ87" s="121" t="s">
        <v>908</v>
      </c>
      <c r="AK87" s="121" t="s">
        <v>908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902</v>
      </c>
      <c r="H88" s="27" t="s">
        <v>901</v>
      </c>
      <c r="I88" s="25" t="s">
        <v>901</v>
      </c>
      <c r="J88" s="125" t="s">
        <v>907</v>
      </c>
      <c r="K88" s="125" t="s">
        <v>907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907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908</v>
      </c>
      <c r="AG88" s="120"/>
      <c r="AH88" s="121" t="s">
        <v>908</v>
      </c>
      <c r="AI88" s="121" t="s">
        <v>908</v>
      </c>
      <c r="AJ88" s="121" t="s">
        <v>908</v>
      </c>
      <c r="AK88" s="121" t="s">
        <v>908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902</v>
      </c>
      <c r="H89" s="27" t="s">
        <v>901</v>
      </c>
      <c r="I89" s="25" t="s">
        <v>901</v>
      </c>
      <c r="J89" s="125" t="s">
        <v>907</v>
      </c>
      <c r="K89" s="125" t="s">
        <v>907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907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926</v>
      </c>
      <c r="AG89" s="120"/>
      <c r="AH89" s="121" t="s">
        <v>908</v>
      </c>
      <c r="AI89" s="121" t="s">
        <v>908</v>
      </c>
      <c r="AJ89" s="121" t="s">
        <v>908</v>
      </c>
      <c r="AK89" s="121" t="s">
        <v>908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902</v>
      </c>
      <c r="H90" s="27" t="s">
        <v>901</v>
      </c>
      <c r="I90" s="25" t="s">
        <v>901</v>
      </c>
      <c r="J90" s="125" t="s">
        <v>907</v>
      </c>
      <c r="K90" s="125" t="s">
        <v>907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907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926</v>
      </c>
      <c r="AG90" s="120"/>
      <c r="AH90" s="121" t="s">
        <v>908</v>
      </c>
      <c r="AI90" s="121" t="s">
        <v>908</v>
      </c>
      <c r="AJ90" s="121" t="s">
        <v>908</v>
      </c>
      <c r="AK90" s="121" t="s">
        <v>908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902</v>
      </c>
      <c r="H91" s="27" t="s">
        <v>901</v>
      </c>
      <c r="I91" s="25" t="s">
        <v>901</v>
      </c>
      <c r="J91" s="125" t="s">
        <v>907</v>
      </c>
      <c r="K91" s="125" t="s">
        <v>907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907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926</v>
      </c>
      <c r="AG91" s="120"/>
      <c r="AH91" s="121" t="s">
        <v>908</v>
      </c>
      <c r="AI91" s="121" t="s">
        <v>908</v>
      </c>
      <c r="AJ91" s="121" t="s">
        <v>908</v>
      </c>
      <c r="AK91" s="121" t="s">
        <v>908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902</v>
      </c>
      <c r="H92" s="27" t="s">
        <v>901</v>
      </c>
      <c r="I92" s="25" t="s">
        <v>901</v>
      </c>
      <c r="J92" s="125" t="s">
        <v>907</v>
      </c>
      <c r="K92" s="125" t="s">
        <v>907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907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926</v>
      </c>
      <c r="AG92" s="120"/>
      <c r="AH92" s="121" t="s">
        <v>908</v>
      </c>
      <c r="AI92" s="121" t="s">
        <v>908</v>
      </c>
      <c r="AJ92" s="121" t="s">
        <v>908</v>
      </c>
      <c r="AK92" s="121" t="s">
        <v>908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921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907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907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987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907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922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907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907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1045</v>
      </c>
      <c r="C101" s="2" t="s">
        <v>402</v>
      </c>
      <c r="D101" s="2">
        <v>106.60477</v>
      </c>
      <c r="E101" s="2">
        <v>10.977980000000001</v>
      </c>
      <c r="F101" s="2" t="s">
        <v>1140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1141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1142</v>
      </c>
      <c r="AI101" s="2" t="s">
        <v>1141</v>
      </c>
      <c r="AJ101" s="2" t="s">
        <v>406</v>
      </c>
      <c r="AK101" s="2" t="s">
        <v>1143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1144</v>
      </c>
      <c r="C102" s="2" t="s">
        <v>15</v>
      </c>
      <c r="D102" s="2">
        <v>106.63862</v>
      </c>
      <c r="E102" s="2">
        <v>10.901565</v>
      </c>
      <c r="F102" s="2" t="s">
        <v>1145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1146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1147</v>
      </c>
      <c r="AI102" s="2" t="s">
        <v>1146</v>
      </c>
      <c r="AJ102" s="41" t="s">
        <v>1148</v>
      </c>
      <c r="AK102" s="2" t="s">
        <v>1149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abSelected="1" topLeftCell="P29" workbookViewId="0">
      <selection activeCell="W46" sqref="W46"/>
    </sheetView>
  </sheetViews>
  <sheetFormatPr defaultRowHeight="10.199999999999999" x14ac:dyDescent="0.2"/>
  <cols>
    <col min="1" max="1" width="9" style="161" bestFit="1" customWidth="1"/>
    <col min="2" max="2" width="22.33203125" style="161" bestFit="1" customWidth="1"/>
    <col min="3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928</v>
      </c>
      <c r="D1" s="157" t="s">
        <v>929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930</v>
      </c>
      <c r="J1" s="157" t="s">
        <v>993</v>
      </c>
      <c r="K1" s="157" t="s">
        <v>931</v>
      </c>
      <c r="L1" s="157" t="s">
        <v>932</v>
      </c>
      <c r="M1" s="157" t="s">
        <v>933</v>
      </c>
      <c r="N1" s="157" t="s">
        <v>934</v>
      </c>
      <c r="O1" s="157" t="s">
        <v>935</v>
      </c>
      <c r="P1" s="157" t="s">
        <v>936</v>
      </c>
      <c r="Q1" s="157" t="s">
        <v>937</v>
      </c>
      <c r="R1" s="157" t="s">
        <v>938</v>
      </c>
      <c r="S1" s="157" t="s">
        <v>939</v>
      </c>
      <c r="T1" s="159" t="s">
        <v>940</v>
      </c>
      <c r="U1" s="159" t="s">
        <v>941</v>
      </c>
      <c r="V1" s="159" t="s">
        <v>942</v>
      </c>
      <c r="W1" s="159" t="s">
        <v>943</v>
      </c>
      <c r="X1" s="159" t="s">
        <v>944</v>
      </c>
      <c r="Y1" s="159" t="s">
        <v>945</v>
      </c>
      <c r="Z1" s="159" t="s">
        <v>946</v>
      </c>
      <c r="AA1" s="159" t="s">
        <v>947</v>
      </c>
      <c r="AB1" s="159" t="s">
        <v>947</v>
      </c>
      <c r="AC1" s="159" t="s">
        <v>988</v>
      </c>
      <c r="AD1" s="159" t="s">
        <v>989</v>
      </c>
      <c r="AE1" s="159" t="s">
        <v>990</v>
      </c>
      <c r="AF1" s="159" t="s">
        <v>991</v>
      </c>
      <c r="AG1" s="159" t="s">
        <v>992</v>
      </c>
      <c r="AH1" s="160" t="s">
        <v>948</v>
      </c>
      <c r="AI1" s="157" t="s">
        <v>949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 t="s">
        <v>84</v>
      </c>
      <c r="F4" s="166" t="s">
        <v>83</v>
      </c>
      <c r="G4" s="166" t="s">
        <v>85</v>
      </c>
      <c r="H4" s="166" t="s">
        <v>69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14</v>
      </c>
      <c r="AI4" s="172">
        <f>3*D4</f>
        <v>19500000</v>
      </c>
      <c r="AJ4" s="164" t="s">
        <v>950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49</v>
      </c>
      <c r="AI5" s="175">
        <f>3*D5</f>
        <v>21000000</v>
      </c>
      <c r="AJ5" s="173" t="s">
        <v>951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13</v>
      </c>
      <c r="AI6" s="172">
        <f>3*D6</f>
        <v>17625000</v>
      </c>
      <c r="AJ6" s="164" t="s">
        <v>952</v>
      </c>
    </row>
    <row r="7" spans="1:36" x14ac:dyDescent="0.2">
      <c r="A7" s="173">
        <v>4</v>
      </c>
      <c r="B7" s="173" t="s">
        <v>986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-16</v>
      </c>
      <c r="AI7" s="175">
        <f>6*D7</f>
        <v>24000000</v>
      </c>
      <c r="AJ7" s="173" t="s">
        <v>953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44</v>
      </c>
      <c r="AI8" s="166">
        <f>3*D8</f>
        <v>14250000</v>
      </c>
      <c r="AJ8" s="164" t="s">
        <v>952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28</v>
      </c>
      <c r="AI9" s="166">
        <f>3*D9</f>
        <v>24900000</v>
      </c>
      <c r="AJ9" s="164" t="s">
        <v>954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-16</v>
      </c>
      <c r="AI10" s="166">
        <f>D10*3</f>
        <v>18000000</v>
      </c>
      <c r="AJ10" s="164" t="s">
        <v>952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-23</v>
      </c>
      <c r="AI11" s="189">
        <f>D11*3</f>
        <v>21000000</v>
      </c>
      <c r="AJ11" s="165" t="s">
        <v>952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-16</v>
      </c>
      <c r="AI12" s="166">
        <f>3*D12</f>
        <v>19500000</v>
      </c>
      <c r="AJ12" s="164" t="s">
        <v>955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956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-15</v>
      </c>
      <c r="AI13" s="166">
        <f>3*7000000</f>
        <v>21000000</v>
      </c>
      <c r="AJ13" s="164" t="s">
        <v>952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-6</v>
      </c>
      <c r="AI14" s="166">
        <f>3*D14</f>
        <v>18000000</v>
      </c>
      <c r="AJ14" s="164" t="s">
        <v>955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125</v>
      </c>
      <c r="AI15" s="166">
        <f>6*D15</f>
        <v>42000000</v>
      </c>
      <c r="AJ15" s="164" t="s">
        <v>953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38</v>
      </c>
      <c r="AI16" s="166">
        <f>6*D16</f>
        <v>39600000</v>
      </c>
      <c r="AJ16" s="164" t="s">
        <v>953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957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</f>
        <v>46174</v>
      </c>
      <c r="AA17" s="168">
        <f t="shared" si="16"/>
        <v>46266</v>
      </c>
      <c r="AB17" s="168">
        <f t="shared" si="16"/>
        <v>46357</v>
      </c>
      <c r="AC17" s="168">
        <f t="shared" si="16"/>
        <v>46447</v>
      </c>
      <c r="AD17" s="168">
        <f t="shared" si="16"/>
        <v>46539</v>
      </c>
      <c r="AE17" s="168">
        <f t="shared" si="16"/>
        <v>46631</v>
      </c>
      <c r="AF17" s="168">
        <f t="shared" si="16"/>
        <v>46722</v>
      </c>
      <c r="AG17" s="168">
        <f t="shared" si="16"/>
        <v>46813</v>
      </c>
      <c r="AH17" s="188">
        <f ca="1">Z17-TODAY()</f>
        <v>45</v>
      </c>
      <c r="AI17" s="166">
        <f>3*D17</f>
        <v>21000000</v>
      </c>
      <c r="AJ17" s="164" t="s">
        <v>952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59</v>
      </c>
      <c r="AI18" s="166">
        <f>6*D18</f>
        <v>31800000</v>
      </c>
      <c r="AJ18" s="164" t="s">
        <v>953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25</v>
      </c>
      <c r="AI19" s="166">
        <f>3*D19</f>
        <v>18000000</v>
      </c>
      <c r="AJ19" s="164" t="s">
        <v>955</v>
      </c>
    </row>
    <row r="20" spans="1:36" x14ac:dyDescent="0.2">
      <c r="A20" s="164" t="s">
        <v>1152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137</v>
      </c>
      <c r="AI20" s="175">
        <f>6*D20</f>
        <v>30000000</v>
      </c>
      <c r="AJ20" s="173" t="s">
        <v>953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49</v>
      </c>
      <c r="AI21" s="166">
        <f>3*D21</f>
        <v>19500000</v>
      </c>
      <c r="AJ21" s="164" t="s">
        <v>952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113</v>
      </c>
      <c r="AI22" s="166">
        <f>6*D22</f>
        <v>24000000</v>
      </c>
      <c r="AJ22" s="164" t="s">
        <v>953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958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113</v>
      </c>
      <c r="AI23" s="166">
        <f>D23*6</f>
        <v>36000000</v>
      </c>
      <c r="AJ23" s="164" t="s">
        <v>953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66</v>
      </c>
      <c r="AI24" s="189">
        <f>3*D24</f>
        <v>15000000</v>
      </c>
      <c r="AJ24" s="164" t="s">
        <v>959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960</v>
      </c>
      <c r="F25" s="175" t="s">
        <v>961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28</v>
      </c>
      <c r="AI25" s="175">
        <f>3*D25</f>
        <v>19500000</v>
      </c>
      <c r="AJ25" s="173" t="s">
        <v>955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-16</v>
      </c>
      <c r="AI26" s="166">
        <f>6*D26</f>
        <v>36000000</v>
      </c>
      <c r="AJ26" s="164" t="s">
        <v>962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963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14</v>
      </c>
      <c r="AI27" s="166">
        <f>3*D27</f>
        <v>15000000</v>
      </c>
      <c r="AJ27" s="164" t="s">
        <v>955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60</v>
      </c>
      <c r="AI28" s="175">
        <f>6*D28</f>
        <v>34500000</v>
      </c>
      <c r="AJ28" s="173" t="s">
        <v>953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1150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75</v>
      </c>
      <c r="AI29" s="203">
        <f>D29*6</f>
        <v>42000000</v>
      </c>
      <c r="AJ29" s="164" t="s">
        <v>964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18</v>
      </c>
      <c r="AI30" s="203">
        <f>D30*3</f>
        <v>9000000</v>
      </c>
      <c r="AJ30" s="164" t="s">
        <v>959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146</v>
      </c>
      <c r="AI31" s="196">
        <f>D31*6</f>
        <v>51000000</v>
      </c>
      <c r="AJ31" s="173" t="s">
        <v>953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54</v>
      </c>
      <c r="AI32" s="203">
        <f t="shared" ref="AI32:AI36" si="40">D32*3</f>
        <v>15000000</v>
      </c>
      <c r="AJ32" s="164" t="s">
        <v>959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11</v>
      </c>
      <c r="AI33" s="207">
        <f t="shared" si="40"/>
        <v>21000000</v>
      </c>
      <c r="AJ33" s="164" t="s">
        <v>959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38</v>
      </c>
      <c r="AI34" s="196">
        <f t="shared" si="40"/>
        <v>15000000</v>
      </c>
      <c r="AJ34" s="173" t="s">
        <v>959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44</v>
      </c>
      <c r="AI35" s="203">
        <f t="shared" si="40"/>
        <v>15000000</v>
      </c>
      <c r="AJ35" s="164" t="s">
        <v>959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44</v>
      </c>
      <c r="AI36" s="203">
        <f t="shared" si="40"/>
        <v>16500000</v>
      </c>
      <c r="AJ36" s="164" t="s">
        <v>959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45</v>
      </c>
      <c r="AI37" s="203">
        <f>D37*6</f>
        <v>46200000</v>
      </c>
      <c r="AJ37" s="164" t="s">
        <v>962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45</v>
      </c>
      <c r="AI38" s="203">
        <f>D38*6</f>
        <v>36000000</v>
      </c>
      <c r="AJ38" s="164" t="s">
        <v>962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59</v>
      </c>
      <c r="AI39" s="203">
        <f>D39*6</f>
        <v>42000000</v>
      </c>
      <c r="AJ39" s="164" t="s">
        <v>962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59</v>
      </c>
      <c r="AI40" s="203">
        <f>D40*3</f>
        <v>24000000</v>
      </c>
      <c r="AJ40" s="164" t="s">
        <v>959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-23</v>
      </c>
      <c r="AI41" s="203">
        <f>D41*3</f>
        <v>21000000</v>
      </c>
      <c r="AJ41" s="164" t="s">
        <v>965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14</v>
      </c>
      <c r="AI42" s="203">
        <f t="shared" ref="AI42:AI43" si="49">D42*3</f>
        <v>19500000</v>
      </c>
      <c r="AJ42" s="164" t="s">
        <v>966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28</v>
      </c>
      <c r="AI43" s="196">
        <f t="shared" si="49"/>
        <v>18000000</v>
      </c>
      <c r="AJ43" s="173" t="s">
        <v>966</v>
      </c>
    </row>
    <row r="44" spans="1:36" x14ac:dyDescent="0.2">
      <c r="A44" s="164" t="s">
        <v>1152</v>
      </c>
      <c r="B44" s="164" t="s">
        <v>1151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967</v>
      </c>
      <c r="K44" s="169" t="s">
        <v>967</v>
      </c>
      <c r="L44" s="169" t="s">
        <v>967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14</v>
      </c>
      <c r="AI44" s="203">
        <f>D44*6</f>
        <v>36000000</v>
      </c>
      <c r="AJ44" s="164" t="s">
        <v>968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146</v>
      </c>
      <c r="AI45" s="196">
        <f>D45*6</f>
        <v>25800000</v>
      </c>
      <c r="AJ45" s="173" t="s">
        <v>969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>EDATE(W46,1)</f>
        <v>46157</v>
      </c>
      <c r="Y46" s="184">
        <f t="shared" ref="Y46:AG46" si="54">EDATE(X46,1)</f>
        <v>46188</v>
      </c>
      <c r="Z46" s="184">
        <f t="shared" si="54"/>
        <v>46218</v>
      </c>
      <c r="AA46" s="184">
        <f t="shared" si="54"/>
        <v>46249</v>
      </c>
      <c r="AB46" s="184">
        <f t="shared" si="54"/>
        <v>46280</v>
      </c>
      <c r="AC46" s="184">
        <f t="shared" si="54"/>
        <v>46310</v>
      </c>
      <c r="AD46" s="184">
        <f t="shared" si="54"/>
        <v>46341</v>
      </c>
      <c r="AE46" s="184">
        <f t="shared" si="54"/>
        <v>46371</v>
      </c>
      <c r="AF46" s="184">
        <f t="shared" si="54"/>
        <v>46402</v>
      </c>
      <c r="AG46" s="184">
        <f t="shared" si="54"/>
        <v>46433</v>
      </c>
      <c r="AH46" s="188">
        <f ca="1">W46-TODAY()</f>
        <v>-2</v>
      </c>
      <c r="AI46" s="203">
        <f>D46*1</f>
        <v>6000000</v>
      </c>
      <c r="AJ46" s="164" t="s">
        <v>970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120</v>
      </c>
      <c r="AI47" s="203">
        <v>24000000</v>
      </c>
      <c r="AJ47" s="164" t="s">
        <v>969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120</v>
      </c>
      <c r="AI48" s="203">
        <v>24000000</v>
      </c>
      <c r="AJ48" s="164" t="s">
        <v>969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5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136</v>
      </c>
      <c r="AI49" s="203">
        <f>D49*6</f>
        <v>39000000</v>
      </c>
      <c r="AJ49" s="164" t="s">
        <v>969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5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6">O50-TODAY()</f>
        <v>14</v>
      </c>
      <c r="AI50" s="203">
        <f>D50*6</f>
        <v>36000000</v>
      </c>
      <c r="AJ50" s="164" t="s">
        <v>971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972</v>
      </c>
      <c r="F51" s="175" t="s">
        <v>629</v>
      </c>
      <c r="G51" s="175" t="s">
        <v>973</v>
      </c>
      <c r="H51" s="175" t="s">
        <v>974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5"/>
        <v>49147</v>
      </c>
      <c r="AF51" s="178">
        <f t="shared" si="51"/>
        <v>49331</v>
      </c>
      <c r="AG51" s="178">
        <f t="shared" si="51"/>
        <v>49512</v>
      </c>
      <c r="AH51" s="188">
        <f t="shared" ca="1" si="56"/>
        <v>96</v>
      </c>
      <c r="AI51" s="196">
        <f t="shared" ref="AI51:AI60" si="57">D51*6</f>
        <v>36000000</v>
      </c>
      <c r="AJ51" s="173" t="s">
        <v>971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975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5"/>
        <v>49126</v>
      </c>
      <c r="AF52" s="169">
        <f t="shared" si="51"/>
        <v>49310</v>
      </c>
      <c r="AG52" s="169">
        <f t="shared" si="51"/>
        <v>49491</v>
      </c>
      <c r="AH52" s="188">
        <f t="shared" ca="1" si="56"/>
        <v>75</v>
      </c>
      <c r="AI52" s="203">
        <f>D52*6</f>
        <v>39000000</v>
      </c>
      <c r="AJ52" s="164" t="s">
        <v>971</v>
      </c>
    </row>
    <row r="53" spans="1:36" x14ac:dyDescent="0.2">
      <c r="A53" s="173">
        <v>50</v>
      </c>
      <c r="B53" s="164" t="s">
        <v>645</v>
      </c>
      <c r="C53" s="165" t="s">
        <v>976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8">EDATE(J53,6)</f>
        <v>45470</v>
      </c>
      <c r="L53" s="184">
        <f t="shared" si="58"/>
        <v>45653</v>
      </c>
      <c r="M53" s="184">
        <f t="shared" si="58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5"/>
        <v>49122</v>
      </c>
      <c r="AF53" s="169">
        <f t="shared" si="51"/>
        <v>49305</v>
      </c>
      <c r="AG53" s="169">
        <f t="shared" si="51"/>
        <v>49487</v>
      </c>
      <c r="AH53" s="188">
        <f t="shared" ca="1" si="56"/>
        <v>71</v>
      </c>
      <c r="AI53" s="203">
        <f t="shared" si="57"/>
        <v>27000000</v>
      </c>
      <c r="AJ53" s="164" t="s">
        <v>971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8"/>
        <v>45469</v>
      </c>
      <c r="L54" s="184">
        <f t="shared" si="58"/>
        <v>45652</v>
      </c>
      <c r="M54" s="184">
        <f t="shared" si="58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5"/>
        <v>49121</v>
      </c>
      <c r="AF54" s="169">
        <f t="shared" si="51"/>
        <v>49304</v>
      </c>
      <c r="AG54" s="169">
        <f t="shared" si="51"/>
        <v>49486</v>
      </c>
      <c r="AH54" s="188">
        <f t="shared" ca="1" si="56"/>
        <v>70</v>
      </c>
      <c r="AI54" s="203">
        <f t="shared" si="57"/>
        <v>24000000</v>
      </c>
      <c r="AJ54" s="164" t="s">
        <v>971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8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5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106</v>
      </c>
      <c r="AI55" s="203">
        <f t="shared" si="57"/>
        <v>33000000</v>
      </c>
      <c r="AJ55" s="164" t="s">
        <v>969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8"/>
        <v>45563</v>
      </c>
      <c r="L56" s="184">
        <f t="shared" si="58"/>
        <v>45744</v>
      </c>
      <c r="M56" s="184">
        <f t="shared" si="58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5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9">N56-TODAY()</f>
        <v>-20</v>
      </c>
      <c r="AI56" s="203">
        <f t="shared" si="57"/>
        <v>24000000</v>
      </c>
      <c r="AJ56" s="164" t="s">
        <v>977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8"/>
        <v>45575</v>
      </c>
      <c r="L57" s="184">
        <f t="shared" si="58"/>
        <v>45757</v>
      </c>
      <c r="M57" s="184">
        <f t="shared" si="58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5"/>
        <v>49227</v>
      </c>
      <c r="AF57" s="184">
        <f t="shared" si="51"/>
        <v>49409</v>
      </c>
      <c r="AG57" s="184">
        <f t="shared" si="51"/>
        <v>49592</v>
      </c>
      <c r="AH57" s="188">
        <f t="shared" ca="1" si="59"/>
        <v>-7</v>
      </c>
      <c r="AI57" s="203">
        <f t="shared" si="57"/>
        <v>24000000</v>
      </c>
      <c r="AJ57" s="164" t="s">
        <v>978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8"/>
        <v>45540</v>
      </c>
      <c r="L58" s="184">
        <f>EDATE(K58,6)</f>
        <v>45721</v>
      </c>
      <c r="M58" s="184">
        <f t="shared" si="58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5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141</v>
      </c>
      <c r="AI58" s="203">
        <f t="shared" si="57"/>
        <v>24000000</v>
      </c>
      <c r="AJ58" s="164" t="s">
        <v>971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8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5"/>
        <v>49249</v>
      </c>
      <c r="AF59" s="184">
        <f t="shared" si="51"/>
        <v>49430</v>
      </c>
      <c r="AG59" s="184">
        <f t="shared" si="51"/>
        <v>49614</v>
      </c>
      <c r="AH59" s="188">
        <f t="shared" ca="1" si="59"/>
        <v>14</v>
      </c>
      <c r="AI59" s="203">
        <f t="shared" si="57"/>
        <v>24000000</v>
      </c>
      <c r="AJ59" s="164" t="s">
        <v>978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60">EDATE(N60,6)</f>
        <v>46327</v>
      </c>
      <c r="P60" s="184">
        <f t="shared" si="60"/>
        <v>46508</v>
      </c>
      <c r="Q60" s="184">
        <f t="shared" si="60"/>
        <v>46692</v>
      </c>
      <c r="R60" s="184">
        <f t="shared" si="60"/>
        <v>46874</v>
      </c>
      <c r="S60" s="184">
        <f t="shared" si="60"/>
        <v>47058</v>
      </c>
      <c r="T60" s="184">
        <f t="shared" si="60"/>
        <v>47239</v>
      </c>
      <c r="U60" s="184">
        <f t="shared" si="60"/>
        <v>47423</v>
      </c>
      <c r="V60" s="184">
        <f t="shared" si="60"/>
        <v>47604</v>
      </c>
      <c r="W60" s="184">
        <f t="shared" si="60"/>
        <v>47788</v>
      </c>
      <c r="X60" s="184">
        <f t="shared" si="60"/>
        <v>47969</v>
      </c>
      <c r="Y60" s="184">
        <f t="shared" si="60"/>
        <v>48153</v>
      </c>
      <c r="Z60" s="184">
        <f t="shared" si="60"/>
        <v>48335</v>
      </c>
      <c r="AA60" s="184">
        <f t="shared" si="60"/>
        <v>48519</v>
      </c>
      <c r="AB60" s="184">
        <f t="shared" ref="AB60:AD78" si="61">EDATE(AA60,6)</f>
        <v>48700</v>
      </c>
      <c r="AC60" s="184">
        <f t="shared" si="61"/>
        <v>48884</v>
      </c>
      <c r="AD60" s="184">
        <f t="shared" si="61"/>
        <v>49065</v>
      </c>
      <c r="AE60" s="184">
        <f t="shared" si="55"/>
        <v>49249</v>
      </c>
      <c r="AF60" s="184">
        <f t="shared" si="51"/>
        <v>49430</v>
      </c>
      <c r="AG60" s="184">
        <f t="shared" si="51"/>
        <v>49614</v>
      </c>
      <c r="AH60" s="188">
        <f t="shared" ca="1" si="59"/>
        <v>14</v>
      </c>
      <c r="AI60" s="203">
        <f t="shared" si="57"/>
        <v>24000000</v>
      </c>
      <c r="AJ60" s="164" t="s">
        <v>978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8"/>
        <v>45769</v>
      </c>
      <c r="M61" s="214">
        <f t="shared" si="58"/>
        <v>45952</v>
      </c>
      <c r="N61" s="184">
        <f t="shared" si="58"/>
        <v>46134</v>
      </c>
      <c r="O61" s="184">
        <f t="shared" si="60"/>
        <v>46317</v>
      </c>
      <c r="P61" s="184">
        <f t="shared" si="60"/>
        <v>46499</v>
      </c>
      <c r="Q61" s="184">
        <f t="shared" si="60"/>
        <v>46682</v>
      </c>
      <c r="R61" s="184">
        <f t="shared" si="60"/>
        <v>46865</v>
      </c>
      <c r="S61" s="184">
        <f t="shared" si="60"/>
        <v>47048</v>
      </c>
      <c r="T61" s="184">
        <f t="shared" si="60"/>
        <v>47230</v>
      </c>
      <c r="U61" s="184">
        <f t="shared" si="60"/>
        <v>47413</v>
      </c>
      <c r="V61" s="184">
        <f t="shared" si="60"/>
        <v>47595</v>
      </c>
      <c r="W61" s="184">
        <f t="shared" si="60"/>
        <v>47778</v>
      </c>
      <c r="X61" s="184">
        <f t="shared" si="60"/>
        <v>47960</v>
      </c>
      <c r="Y61" s="184">
        <f t="shared" si="60"/>
        <v>48143</v>
      </c>
      <c r="Z61" s="184">
        <f t="shared" si="60"/>
        <v>48326</v>
      </c>
      <c r="AA61" s="184">
        <f t="shared" si="60"/>
        <v>48509</v>
      </c>
      <c r="AB61" s="184">
        <f t="shared" si="61"/>
        <v>48691</v>
      </c>
      <c r="AC61" s="184">
        <f t="shared" si="61"/>
        <v>48874</v>
      </c>
      <c r="AD61" s="184">
        <f t="shared" si="61"/>
        <v>49056</v>
      </c>
      <c r="AE61" s="184">
        <f t="shared" si="55"/>
        <v>49239</v>
      </c>
      <c r="AF61" s="184">
        <f t="shared" si="51"/>
        <v>49421</v>
      </c>
      <c r="AG61" s="184">
        <f t="shared" si="51"/>
        <v>49604</v>
      </c>
      <c r="AH61" s="188">
        <f t="shared" ca="1" si="59"/>
        <v>5</v>
      </c>
      <c r="AI61" s="203">
        <f>D61*6</f>
        <v>24000000</v>
      </c>
      <c r="AJ61" s="164" t="s">
        <v>978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979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8"/>
        <v>45814</v>
      </c>
      <c r="M62" s="184">
        <f t="shared" si="58"/>
        <v>45997</v>
      </c>
      <c r="N62" s="214">
        <f t="shared" si="58"/>
        <v>46179</v>
      </c>
      <c r="O62" s="184">
        <f t="shared" si="60"/>
        <v>46362</v>
      </c>
      <c r="P62" s="184">
        <f t="shared" si="60"/>
        <v>46544</v>
      </c>
      <c r="Q62" s="184">
        <f t="shared" si="60"/>
        <v>46727</v>
      </c>
      <c r="R62" s="184">
        <f t="shared" si="60"/>
        <v>46910</v>
      </c>
      <c r="S62" s="184">
        <f t="shared" si="60"/>
        <v>47093</v>
      </c>
      <c r="T62" s="184">
        <f t="shared" si="60"/>
        <v>47275</v>
      </c>
      <c r="U62" s="184">
        <f t="shared" si="60"/>
        <v>47458</v>
      </c>
      <c r="V62" s="184">
        <f t="shared" si="60"/>
        <v>47640</v>
      </c>
      <c r="W62" s="184">
        <f t="shared" si="60"/>
        <v>47823</v>
      </c>
      <c r="X62" s="184">
        <f t="shared" si="60"/>
        <v>48005</v>
      </c>
      <c r="Y62" s="184">
        <f t="shared" si="60"/>
        <v>48188</v>
      </c>
      <c r="Z62" s="184">
        <f t="shared" si="60"/>
        <v>48371</v>
      </c>
      <c r="AA62" s="184">
        <f t="shared" si="60"/>
        <v>48554</v>
      </c>
      <c r="AB62" s="184">
        <f t="shared" si="61"/>
        <v>48736</v>
      </c>
      <c r="AC62" s="184">
        <f t="shared" si="61"/>
        <v>48919</v>
      </c>
      <c r="AD62" s="184">
        <f t="shared" si="61"/>
        <v>49101</v>
      </c>
      <c r="AE62" s="184">
        <f t="shared" si="55"/>
        <v>49284</v>
      </c>
      <c r="AF62" s="184">
        <f t="shared" si="51"/>
        <v>49466</v>
      </c>
      <c r="AG62" s="184">
        <f t="shared" si="51"/>
        <v>49649</v>
      </c>
      <c r="AH62" s="188">
        <f t="shared" ca="1" si="59"/>
        <v>50</v>
      </c>
      <c r="AI62" s="203">
        <f t="shared" ref="AI62:AI85" si="62">D62*6</f>
        <v>24000000</v>
      </c>
      <c r="AJ62" s="164" t="s">
        <v>978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8"/>
        <v>45823</v>
      </c>
      <c r="M63" s="184">
        <f t="shared" si="58"/>
        <v>46006</v>
      </c>
      <c r="N63" s="214">
        <f t="shared" si="58"/>
        <v>46188</v>
      </c>
      <c r="O63" s="184">
        <f t="shared" si="60"/>
        <v>46371</v>
      </c>
      <c r="P63" s="184">
        <f t="shared" si="60"/>
        <v>46553</v>
      </c>
      <c r="Q63" s="184">
        <f t="shared" si="60"/>
        <v>46736</v>
      </c>
      <c r="R63" s="184">
        <f t="shared" si="60"/>
        <v>46919</v>
      </c>
      <c r="S63" s="184">
        <f t="shared" si="60"/>
        <v>47102</v>
      </c>
      <c r="T63" s="184">
        <f t="shared" si="60"/>
        <v>47284</v>
      </c>
      <c r="U63" s="184">
        <f t="shared" si="60"/>
        <v>47467</v>
      </c>
      <c r="V63" s="184">
        <f t="shared" si="60"/>
        <v>47649</v>
      </c>
      <c r="W63" s="184">
        <f t="shared" si="60"/>
        <v>47832</v>
      </c>
      <c r="X63" s="184">
        <f t="shared" si="60"/>
        <v>48014</v>
      </c>
      <c r="Y63" s="184">
        <f t="shared" si="60"/>
        <v>48197</v>
      </c>
      <c r="Z63" s="184">
        <f t="shared" si="60"/>
        <v>48380</v>
      </c>
      <c r="AA63" s="184">
        <f t="shared" si="60"/>
        <v>48563</v>
      </c>
      <c r="AB63" s="184">
        <f t="shared" si="61"/>
        <v>48745</v>
      </c>
      <c r="AC63" s="184">
        <f t="shared" si="61"/>
        <v>48928</v>
      </c>
      <c r="AD63" s="184">
        <f t="shared" si="61"/>
        <v>49110</v>
      </c>
      <c r="AE63" s="184">
        <f t="shared" si="55"/>
        <v>49293</v>
      </c>
      <c r="AF63" s="184">
        <f t="shared" si="51"/>
        <v>49475</v>
      </c>
      <c r="AG63" s="184">
        <f t="shared" si="51"/>
        <v>49658</v>
      </c>
      <c r="AH63" s="188">
        <f t="shared" ca="1" si="59"/>
        <v>59</v>
      </c>
      <c r="AI63" s="203">
        <f t="shared" si="62"/>
        <v>30000000</v>
      </c>
      <c r="AJ63" s="164" t="s">
        <v>978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3">EDATE(J64,6)</f>
        <v>45636</v>
      </c>
      <c r="L64" s="184">
        <f t="shared" si="58"/>
        <v>45818</v>
      </c>
      <c r="M64" s="184">
        <f t="shared" si="58"/>
        <v>46001</v>
      </c>
      <c r="N64" s="214">
        <f t="shared" si="58"/>
        <v>46183</v>
      </c>
      <c r="O64" s="184">
        <f t="shared" si="60"/>
        <v>46366</v>
      </c>
      <c r="P64" s="184">
        <f t="shared" si="60"/>
        <v>46548</v>
      </c>
      <c r="Q64" s="184">
        <f t="shared" si="60"/>
        <v>46731</v>
      </c>
      <c r="R64" s="184">
        <f t="shared" si="60"/>
        <v>46914</v>
      </c>
      <c r="S64" s="184">
        <f t="shared" si="60"/>
        <v>47097</v>
      </c>
      <c r="T64" s="184">
        <f t="shared" si="60"/>
        <v>47279</v>
      </c>
      <c r="U64" s="184">
        <f t="shared" si="60"/>
        <v>47462</v>
      </c>
      <c r="V64" s="184">
        <f t="shared" si="60"/>
        <v>47644</v>
      </c>
      <c r="W64" s="184">
        <f t="shared" si="60"/>
        <v>47827</v>
      </c>
      <c r="X64" s="184">
        <f t="shared" si="60"/>
        <v>48009</v>
      </c>
      <c r="Y64" s="184">
        <f t="shared" si="60"/>
        <v>48192</v>
      </c>
      <c r="Z64" s="184">
        <f t="shared" si="60"/>
        <v>48375</v>
      </c>
      <c r="AA64" s="184">
        <f t="shared" si="60"/>
        <v>48558</v>
      </c>
      <c r="AB64" s="184">
        <f t="shared" si="61"/>
        <v>48740</v>
      </c>
      <c r="AC64" s="184">
        <f t="shared" si="61"/>
        <v>48923</v>
      </c>
      <c r="AD64" s="184">
        <f t="shared" si="61"/>
        <v>49105</v>
      </c>
      <c r="AE64" s="184">
        <f t="shared" si="55"/>
        <v>49288</v>
      </c>
      <c r="AF64" s="184">
        <f t="shared" si="51"/>
        <v>49470</v>
      </c>
      <c r="AG64" s="184">
        <f t="shared" si="51"/>
        <v>49653</v>
      </c>
      <c r="AH64" s="188">
        <f t="shared" ca="1" si="59"/>
        <v>54</v>
      </c>
      <c r="AI64" s="203">
        <f>D64*6</f>
        <v>33000000</v>
      </c>
      <c r="AJ64" s="164" t="s">
        <v>978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3"/>
        <v>45646</v>
      </c>
      <c r="L65" s="184">
        <f t="shared" si="58"/>
        <v>45828</v>
      </c>
      <c r="M65" s="184">
        <f t="shared" si="58"/>
        <v>46011</v>
      </c>
      <c r="N65" s="214">
        <f t="shared" si="58"/>
        <v>46193</v>
      </c>
      <c r="O65" s="184">
        <f t="shared" si="60"/>
        <v>46376</v>
      </c>
      <c r="P65" s="184">
        <f t="shared" si="60"/>
        <v>46558</v>
      </c>
      <c r="Q65" s="184">
        <f t="shared" si="60"/>
        <v>46741</v>
      </c>
      <c r="R65" s="184">
        <f t="shared" si="60"/>
        <v>46924</v>
      </c>
      <c r="S65" s="184">
        <f t="shared" si="60"/>
        <v>47107</v>
      </c>
      <c r="T65" s="184">
        <f t="shared" si="60"/>
        <v>47289</v>
      </c>
      <c r="U65" s="184">
        <f t="shared" si="60"/>
        <v>47472</v>
      </c>
      <c r="V65" s="184">
        <f t="shared" si="60"/>
        <v>47654</v>
      </c>
      <c r="W65" s="184">
        <f t="shared" si="60"/>
        <v>47837</v>
      </c>
      <c r="X65" s="184">
        <f t="shared" si="60"/>
        <v>48019</v>
      </c>
      <c r="Y65" s="184">
        <f t="shared" si="60"/>
        <v>48202</v>
      </c>
      <c r="Z65" s="184">
        <f t="shared" si="60"/>
        <v>48385</v>
      </c>
      <c r="AA65" s="184">
        <f t="shared" si="60"/>
        <v>48568</v>
      </c>
      <c r="AB65" s="184">
        <f t="shared" si="61"/>
        <v>48750</v>
      </c>
      <c r="AC65" s="184">
        <f t="shared" si="61"/>
        <v>48933</v>
      </c>
      <c r="AD65" s="184">
        <f t="shared" si="61"/>
        <v>49115</v>
      </c>
      <c r="AE65" s="184">
        <f t="shared" si="55"/>
        <v>49298</v>
      </c>
      <c r="AF65" s="184">
        <f t="shared" si="51"/>
        <v>49480</v>
      </c>
      <c r="AG65" s="184">
        <f t="shared" si="51"/>
        <v>49663</v>
      </c>
      <c r="AH65" s="188">
        <f t="shared" ca="1" si="59"/>
        <v>64</v>
      </c>
      <c r="AI65" s="203">
        <f t="shared" si="62"/>
        <v>42000000</v>
      </c>
      <c r="AJ65" s="164" t="s">
        <v>978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980</v>
      </c>
      <c r="H66" s="166" t="s">
        <v>718</v>
      </c>
      <c r="I66" s="202" t="s">
        <v>79</v>
      </c>
      <c r="J66" s="169">
        <v>45483</v>
      </c>
      <c r="K66" s="184">
        <f t="shared" si="63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60"/>
        <v>46397</v>
      </c>
      <c r="P66" s="184">
        <f t="shared" si="60"/>
        <v>46578</v>
      </c>
      <c r="Q66" s="184">
        <f t="shared" si="60"/>
        <v>46762</v>
      </c>
      <c r="R66" s="184">
        <f t="shared" si="60"/>
        <v>46944</v>
      </c>
      <c r="S66" s="184">
        <f t="shared" si="60"/>
        <v>47128</v>
      </c>
      <c r="T66" s="184">
        <f t="shared" si="60"/>
        <v>47309</v>
      </c>
      <c r="U66" s="184">
        <f t="shared" si="60"/>
        <v>47493</v>
      </c>
      <c r="V66" s="184">
        <f t="shared" si="60"/>
        <v>47674</v>
      </c>
      <c r="W66" s="184">
        <f t="shared" si="60"/>
        <v>47858</v>
      </c>
      <c r="X66" s="184">
        <f t="shared" si="60"/>
        <v>48039</v>
      </c>
      <c r="Y66" s="184">
        <f t="shared" si="60"/>
        <v>48223</v>
      </c>
      <c r="Z66" s="184">
        <f t="shared" si="60"/>
        <v>48405</v>
      </c>
      <c r="AA66" s="184">
        <f t="shared" si="60"/>
        <v>48589</v>
      </c>
      <c r="AB66" s="184">
        <f t="shared" si="61"/>
        <v>48770</v>
      </c>
      <c r="AC66" s="184">
        <f t="shared" si="61"/>
        <v>48954</v>
      </c>
      <c r="AD66" s="184">
        <f t="shared" si="61"/>
        <v>49135</v>
      </c>
      <c r="AE66" s="184">
        <f t="shared" si="55"/>
        <v>49319</v>
      </c>
      <c r="AF66" s="184">
        <f t="shared" si="51"/>
        <v>49500</v>
      </c>
      <c r="AG66" s="184">
        <f t="shared" si="51"/>
        <v>49684</v>
      </c>
      <c r="AH66" s="188">
        <f t="shared" ca="1" si="59"/>
        <v>84</v>
      </c>
      <c r="AI66" s="203">
        <f>D66*6</f>
        <v>45000000</v>
      </c>
      <c r="AJ66" s="173" t="s">
        <v>978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3"/>
        <v>45675</v>
      </c>
      <c r="L67" s="184">
        <f>EDATE(K67,6)</f>
        <v>45856</v>
      </c>
      <c r="M67" s="214">
        <f t="shared" si="58"/>
        <v>46040</v>
      </c>
      <c r="N67" s="184">
        <f t="shared" si="58"/>
        <v>46221</v>
      </c>
      <c r="O67" s="184">
        <f t="shared" si="60"/>
        <v>46405</v>
      </c>
      <c r="P67" s="184">
        <f t="shared" si="60"/>
        <v>46586</v>
      </c>
      <c r="Q67" s="184">
        <f t="shared" si="60"/>
        <v>46770</v>
      </c>
      <c r="R67" s="184">
        <f t="shared" si="60"/>
        <v>46952</v>
      </c>
      <c r="S67" s="184">
        <f t="shared" si="60"/>
        <v>47136</v>
      </c>
      <c r="T67" s="184">
        <f t="shared" si="60"/>
        <v>47317</v>
      </c>
      <c r="U67" s="184">
        <f t="shared" si="60"/>
        <v>47501</v>
      </c>
      <c r="V67" s="184">
        <f t="shared" si="60"/>
        <v>47682</v>
      </c>
      <c r="W67" s="184">
        <f t="shared" si="60"/>
        <v>47866</v>
      </c>
      <c r="X67" s="184">
        <f t="shared" si="60"/>
        <v>48047</v>
      </c>
      <c r="Y67" s="184">
        <f t="shared" si="60"/>
        <v>48231</v>
      </c>
      <c r="Z67" s="184">
        <f t="shared" si="60"/>
        <v>48413</v>
      </c>
      <c r="AA67" s="184">
        <f t="shared" si="60"/>
        <v>48597</v>
      </c>
      <c r="AB67" s="184">
        <f t="shared" si="61"/>
        <v>48778</v>
      </c>
      <c r="AC67" s="184">
        <f t="shared" si="61"/>
        <v>48962</v>
      </c>
      <c r="AD67" s="184">
        <f t="shared" si="61"/>
        <v>49143</v>
      </c>
      <c r="AE67" s="184">
        <f t="shared" si="55"/>
        <v>49327</v>
      </c>
      <c r="AF67" s="184">
        <f t="shared" si="51"/>
        <v>49508</v>
      </c>
      <c r="AG67" s="184">
        <f t="shared" si="51"/>
        <v>49692</v>
      </c>
      <c r="AH67" s="188">
        <f t="shared" ca="1" si="59"/>
        <v>92</v>
      </c>
      <c r="AI67" s="203">
        <f t="shared" si="62"/>
        <v>30000000</v>
      </c>
      <c r="AJ67" s="164" t="s">
        <v>978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3"/>
        <v>45726</v>
      </c>
      <c r="L68" s="184">
        <f t="shared" si="63"/>
        <v>45910</v>
      </c>
      <c r="M68" s="184">
        <f t="shared" si="58"/>
        <v>46091</v>
      </c>
      <c r="N68" s="214">
        <f t="shared" si="58"/>
        <v>46275</v>
      </c>
      <c r="O68" s="184">
        <f t="shared" si="60"/>
        <v>46456</v>
      </c>
      <c r="P68" s="184">
        <f t="shared" si="60"/>
        <v>46640</v>
      </c>
      <c r="Q68" s="184">
        <f t="shared" si="60"/>
        <v>46822</v>
      </c>
      <c r="R68" s="184">
        <f t="shared" si="60"/>
        <v>47006</v>
      </c>
      <c r="S68" s="184">
        <f t="shared" si="60"/>
        <v>47187</v>
      </c>
      <c r="T68" s="184">
        <f t="shared" si="60"/>
        <v>47371</v>
      </c>
      <c r="U68" s="184">
        <f t="shared" si="60"/>
        <v>47552</v>
      </c>
      <c r="V68" s="184">
        <f t="shared" si="60"/>
        <v>47736</v>
      </c>
      <c r="W68" s="184">
        <f t="shared" si="60"/>
        <v>47917</v>
      </c>
      <c r="X68" s="184">
        <f t="shared" si="60"/>
        <v>48101</v>
      </c>
      <c r="Y68" s="184">
        <f t="shared" si="60"/>
        <v>48283</v>
      </c>
      <c r="Z68" s="184">
        <f t="shared" si="60"/>
        <v>48467</v>
      </c>
      <c r="AA68" s="184">
        <f t="shared" si="60"/>
        <v>48648</v>
      </c>
      <c r="AB68" s="184">
        <f t="shared" si="61"/>
        <v>48832</v>
      </c>
      <c r="AC68" s="184">
        <f t="shared" si="61"/>
        <v>49013</v>
      </c>
      <c r="AD68" s="184">
        <f t="shared" si="61"/>
        <v>49197</v>
      </c>
      <c r="AE68" s="184">
        <f t="shared" si="55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146</v>
      </c>
      <c r="AI68" s="203">
        <f t="shared" si="62"/>
        <v>33000000</v>
      </c>
      <c r="AJ68" s="164" t="s">
        <v>978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3"/>
        <v>45726</v>
      </c>
      <c r="L69" s="184">
        <f>EDATE(K69,6)</f>
        <v>45910</v>
      </c>
      <c r="M69" s="184">
        <f t="shared" ref="M69:V84" si="64">EDATE(L69,6)</f>
        <v>46091</v>
      </c>
      <c r="N69" s="214">
        <f t="shared" si="64"/>
        <v>46275</v>
      </c>
      <c r="O69" s="184">
        <f t="shared" si="60"/>
        <v>46456</v>
      </c>
      <c r="P69" s="184">
        <f t="shared" si="60"/>
        <v>46640</v>
      </c>
      <c r="Q69" s="184">
        <f t="shared" si="60"/>
        <v>46822</v>
      </c>
      <c r="R69" s="184">
        <f t="shared" si="60"/>
        <v>47006</v>
      </c>
      <c r="S69" s="184">
        <f t="shared" si="60"/>
        <v>47187</v>
      </c>
      <c r="T69" s="184">
        <f t="shared" si="60"/>
        <v>47371</v>
      </c>
      <c r="U69" s="184">
        <f t="shared" si="60"/>
        <v>47552</v>
      </c>
      <c r="V69" s="184">
        <f t="shared" si="60"/>
        <v>47736</v>
      </c>
      <c r="W69" s="184">
        <f t="shared" si="60"/>
        <v>47917</v>
      </c>
      <c r="X69" s="184">
        <f t="shared" si="60"/>
        <v>48101</v>
      </c>
      <c r="Y69" s="184">
        <f t="shared" si="60"/>
        <v>48283</v>
      </c>
      <c r="Z69" s="184">
        <f t="shared" si="60"/>
        <v>48467</v>
      </c>
      <c r="AA69" s="184">
        <f t="shared" si="60"/>
        <v>48648</v>
      </c>
      <c r="AB69" s="184">
        <f t="shared" si="61"/>
        <v>48832</v>
      </c>
      <c r="AC69" s="184">
        <f t="shared" si="61"/>
        <v>49013</v>
      </c>
      <c r="AD69" s="184">
        <f t="shared" si="61"/>
        <v>49197</v>
      </c>
      <c r="AE69" s="184">
        <f t="shared" si="55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146</v>
      </c>
      <c r="AI69" s="203">
        <f t="shared" si="62"/>
        <v>30000000</v>
      </c>
      <c r="AJ69" s="164" t="s">
        <v>978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3"/>
        <v>45765</v>
      </c>
      <c r="L70" s="184">
        <f t="shared" si="63"/>
        <v>45948</v>
      </c>
      <c r="M70" s="184">
        <f t="shared" si="64"/>
        <v>46130</v>
      </c>
      <c r="N70" s="184">
        <f t="shared" si="64"/>
        <v>46313</v>
      </c>
      <c r="O70" s="184">
        <f t="shared" si="60"/>
        <v>46495</v>
      </c>
      <c r="P70" s="184">
        <f t="shared" si="60"/>
        <v>46678</v>
      </c>
      <c r="Q70" s="184">
        <f t="shared" si="60"/>
        <v>46861</v>
      </c>
      <c r="R70" s="184">
        <f t="shared" si="60"/>
        <v>47044</v>
      </c>
      <c r="S70" s="184">
        <f t="shared" si="60"/>
        <v>47226</v>
      </c>
      <c r="T70" s="184">
        <f t="shared" si="60"/>
        <v>47409</v>
      </c>
      <c r="U70" s="184">
        <f t="shared" si="60"/>
        <v>47591</v>
      </c>
      <c r="V70" s="184">
        <f t="shared" si="60"/>
        <v>47774</v>
      </c>
      <c r="W70" s="184">
        <f t="shared" si="60"/>
        <v>47956</v>
      </c>
      <c r="X70" s="184">
        <f t="shared" si="60"/>
        <v>48139</v>
      </c>
      <c r="Y70" s="184">
        <f t="shared" si="60"/>
        <v>48322</v>
      </c>
      <c r="Z70" s="184">
        <f t="shared" si="60"/>
        <v>48505</v>
      </c>
      <c r="AA70" s="184">
        <f t="shared" si="60"/>
        <v>48687</v>
      </c>
      <c r="AB70" s="184">
        <f t="shared" si="61"/>
        <v>48870</v>
      </c>
      <c r="AC70" s="184">
        <f t="shared" si="61"/>
        <v>49052</v>
      </c>
      <c r="AD70" s="184">
        <f t="shared" si="61"/>
        <v>49235</v>
      </c>
      <c r="AE70" s="184">
        <f t="shared" si="55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5">M70-TODAY()</f>
        <v>1</v>
      </c>
      <c r="AI70" s="203">
        <f t="shared" si="62"/>
        <v>30000000</v>
      </c>
      <c r="AJ70" s="164" t="s">
        <v>977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3"/>
        <v>45714</v>
      </c>
      <c r="L71" s="184">
        <f t="shared" si="63"/>
        <v>45895</v>
      </c>
      <c r="M71" s="184">
        <f t="shared" si="64"/>
        <v>46079</v>
      </c>
      <c r="N71" s="214">
        <f t="shared" si="64"/>
        <v>46260</v>
      </c>
      <c r="O71" s="184">
        <f t="shared" si="60"/>
        <v>46444</v>
      </c>
      <c r="P71" s="184">
        <f t="shared" si="60"/>
        <v>46625</v>
      </c>
      <c r="Q71" s="184">
        <f t="shared" si="60"/>
        <v>46809</v>
      </c>
      <c r="R71" s="184">
        <f t="shared" si="60"/>
        <v>46991</v>
      </c>
      <c r="S71" s="184">
        <f t="shared" si="60"/>
        <v>47175</v>
      </c>
      <c r="T71" s="184">
        <f t="shared" si="60"/>
        <v>47356</v>
      </c>
      <c r="U71" s="184">
        <f t="shared" si="60"/>
        <v>47540</v>
      </c>
      <c r="V71" s="184">
        <f t="shared" si="60"/>
        <v>47721</v>
      </c>
      <c r="W71" s="184">
        <f t="shared" si="60"/>
        <v>47905</v>
      </c>
      <c r="X71" s="184">
        <f t="shared" si="60"/>
        <v>48086</v>
      </c>
      <c r="Y71" s="184">
        <f t="shared" si="60"/>
        <v>48270</v>
      </c>
      <c r="Z71" s="184">
        <f t="shared" si="60"/>
        <v>48452</v>
      </c>
      <c r="AA71" s="184">
        <f t="shared" si="60"/>
        <v>48636</v>
      </c>
      <c r="AB71" s="184">
        <f t="shared" si="61"/>
        <v>48817</v>
      </c>
      <c r="AC71" s="184">
        <f t="shared" si="61"/>
        <v>49001</v>
      </c>
      <c r="AD71" s="184">
        <f t="shared" si="61"/>
        <v>49182</v>
      </c>
      <c r="AE71" s="184">
        <f t="shared" si="55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131</v>
      </c>
      <c r="AI71" s="203">
        <f t="shared" si="62"/>
        <v>27000000</v>
      </c>
      <c r="AJ71" s="164" t="s">
        <v>978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3"/>
        <v>45803</v>
      </c>
      <c r="L72" s="184">
        <f t="shared" si="63"/>
        <v>45987</v>
      </c>
      <c r="M72" s="214">
        <f t="shared" si="64"/>
        <v>46168</v>
      </c>
      <c r="N72" s="184">
        <f t="shared" si="64"/>
        <v>46352</v>
      </c>
      <c r="O72" s="184">
        <f t="shared" si="60"/>
        <v>46533</v>
      </c>
      <c r="P72" s="184">
        <f t="shared" si="60"/>
        <v>46717</v>
      </c>
      <c r="Q72" s="184">
        <f t="shared" si="60"/>
        <v>46899</v>
      </c>
      <c r="R72" s="184">
        <f t="shared" si="60"/>
        <v>47083</v>
      </c>
      <c r="S72" s="184">
        <f t="shared" si="60"/>
        <v>47264</v>
      </c>
      <c r="T72" s="184">
        <f t="shared" si="60"/>
        <v>47448</v>
      </c>
      <c r="U72" s="184">
        <f t="shared" si="60"/>
        <v>47629</v>
      </c>
      <c r="V72" s="184">
        <f t="shared" si="60"/>
        <v>47813</v>
      </c>
      <c r="W72" s="184">
        <f t="shared" si="60"/>
        <v>47994</v>
      </c>
      <c r="X72" s="184">
        <f t="shared" si="60"/>
        <v>48178</v>
      </c>
      <c r="Y72" s="184">
        <f t="shared" si="60"/>
        <v>48360</v>
      </c>
      <c r="Z72" s="184">
        <f t="shared" si="60"/>
        <v>48544</v>
      </c>
      <c r="AA72" s="184">
        <f t="shared" si="60"/>
        <v>48725</v>
      </c>
      <c r="AB72" s="184">
        <f t="shared" si="61"/>
        <v>48909</v>
      </c>
      <c r="AC72" s="184">
        <f t="shared" si="61"/>
        <v>49090</v>
      </c>
      <c r="AD72" s="184">
        <f t="shared" si="61"/>
        <v>49274</v>
      </c>
      <c r="AE72" s="184">
        <f t="shared" si="55"/>
        <v>49455</v>
      </c>
      <c r="AF72" s="184">
        <f t="shared" si="51"/>
        <v>49639</v>
      </c>
      <c r="AG72" s="184">
        <f t="shared" si="51"/>
        <v>49821</v>
      </c>
      <c r="AH72" s="188">
        <f t="shared" ca="1" si="65"/>
        <v>39</v>
      </c>
      <c r="AI72" s="203">
        <f t="shared" si="62"/>
        <v>36000000</v>
      </c>
      <c r="AJ72" s="164" t="s">
        <v>981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3"/>
        <v>45821</v>
      </c>
      <c r="L73" s="184">
        <f t="shared" si="63"/>
        <v>46004</v>
      </c>
      <c r="M73" s="214">
        <f t="shared" si="64"/>
        <v>46186</v>
      </c>
      <c r="N73" s="184">
        <f t="shared" si="64"/>
        <v>46369</v>
      </c>
      <c r="O73" s="184">
        <f t="shared" si="60"/>
        <v>46551</v>
      </c>
      <c r="P73" s="184">
        <f t="shared" si="60"/>
        <v>46734</v>
      </c>
      <c r="Q73" s="184">
        <f t="shared" si="60"/>
        <v>46917</v>
      </c>
      <c r="R73" s="184">
        <f t="shared" si="60"/>
        <v>47100</v>
      </c>
      <c r="S73" s="184">
        <f t="shared" si="60"/>
        <v>47282</v>
      </c>
      <c r="T73" s="184">
        <f t="shared" si="60"/>
        <v>47465</v>
      </c>
      <c r="U73" s="184">
        <f t="shared" si="60"/>
        <v>47647</v>
      </c>
      <c r="V73" s="184">
        <f t="shared" si="60"/>
        <v>47830</v>
      </c>
      <c r="W73" s="184">
        <f t="shared" si="60"/>
        <v>48012</v>
      </c>
      <c r="X73" s="184">
        <f t="shared" si="60"/>
        <v>48195</v>
      </c>
      <c r="Y73" s="184">
        <f t="shared" si="60"/>
        <v>48378</v>
      </c>
      <c r="Z73" s="184">
        <f t="shared" si="60"/>
        <v>48561</v>
      </c>
      <c r="AA73" s="184">
        <f t="shared" si="60"/>
        <v>48743</v>
      </c>
      <c r="AB73" s="184">
        <f t="shared" si="61"/>
        <v>48926</v>
      </c>
      <c r="AC73" s="184">
        <f t="shared" si="61"/>
        <v>49108</v>
      </c>
      <c r="AD73" s="184">
        <f t="shared" si="61"/>
        <v>49291</v>
      </c>
      <c r="AE73" s="184">
        <f t="shared" si="55"/>
        <v>49473</v>
      </c>
      <c r="AF73" s="184">
        <f t="shared" si="51"/>
        <v>49656</v>
      </c>
      <c r="AG73" s="184">
        <f t="shared" si="51"/>
        <v>49839</v>
      </c>
      <c r="AH73" s="188">
        <f t="shared" ca="1" si="65"/>
        <v>57</v>
      </c>
      <c r="AI73" s="203">
        <f t="shared" si="62"/>
        <v>24000000</v>
      </c>
      <c r="AJ73" s="164" t="s">
        <v>981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3"/>
        <v>45858</v>
      </c>
      <c r="L74" s="184">
        <f t="shared" si="63"/>
        <v>46042</v>
      </c>
      <c r="M74" s="214">
        <f t="shared" si="64"/>
        <v>46223</v>
      </c>
      <c r="N74" s="184">
        <f t="shared" si="64"/>
        <v>46407</v>
      </c>
      <c r="O74" s="184">
        <f t="shared" si="60"/>
        <v>46588</v>
      </c>
      <c r="P74" s="184">
        <f t="shared" si="60"/>
        <v>46772</v>
      </c>
      <c r="Q74" s="184">
        <f t="shared" si="60"/>
        <v>46954</v>
      </c>
      <c r="R74" s="184">
        <f t="shared" si="60"/>
        <v>47138</v>
      </c>
      <c r="S74" s="184">
        <f t="shared" si="60"/>
        <v>47319</v>
      </c>
      <c r="T74" s="184">
        <f t="shared" si="60"/>
        <v>47503</v>
      </c>
      <c r="U74" s="184">
        <f t="shared" si="60"/>
        <v>47684</v>
      </c>
      <c r="V74" s="184">
        <f t="shared" si="60"/>
        <v>47868</v>
      </c>
      <c r="W74" s="184">
        <f t="shared" si="60"/>
        <v>48049</v>
      </c>
      <c r="X74" s="184">
        <f t="shared" si="60"/>
        <v>48233</v>
      </c>
      <c r="Y74" s="184">
        <f t="shared" si="60"/>
        <v>48415</v>
      </c>
      <c r="Z74" s="184">
        <f t="shared" si="60"/>
        <v>48599</v>
      </c>
      <c r="AA74" s="184">
        <f t="shared" si="60"/>
        <v>48780</v>
      </c>
      <c r="AB74" s="184">
        <f t="shared" si="61"/>
        <v>48964</v>
      </c>
      <c r="AC74" s="184">
        <f t="shared" si="61"/>
        <v>49145</v>
      </c>
      <c r="AD74" s="184">
        <f t="shared" si="61"/>
        <v>49329</v>
      </c>
      <c r="AE74" s="184">
        <f t="shared" si="55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94</v>
      </c>
      <c r="AI74" s="203">
        <f t="shared" si="62"/>
        <v>42000000</v>
      </c>
      <c r="AJ74" s="164" t="s">
        <v>977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3"/>
        <v>45864</v>
      </c>
      <c r="L75" s="184">
        <f t="shared" si="63"/>
        <v>46048</v>
      </c>
      <c r="M75" s="214">
        <f t="shared" si="64"/>
        <v>46229</v>
      </c>
      <c r="N75" s="184">
        <f t="shared" si="64"/>
        <v>46413</v>
      </c>
      <c r="O75" s="184">
        <f t="shared" si="60"/>
        <v>46594</v>
      </c>
      <c r="P75" s="184">
        <f t="shared" si="60"/>
        <v>46778</v>
      </c>
      <c r="Q75" s="184">
        <f t="shared" si="60"/>
        <v>46960</v>
      </c>
      <c r="R75" s="184">
        <f t="shared" si="60"/>
        <v>47144</v>
      </c>
      <c r="S75" s="184">
        <f t="shared" si="60"/>
        <v>47325</v>
      </c>
      <c r="T75" s="184">
        <f t="shared" si="60"/>
        <v>47509</v>
      </c>
      <c r="U75" s="184">
        <f t="shared" si="60"/>
        <v>47690</v>
      </c>
      <c r="V75" s="184">
        <f t="shared" si="60"/>
        <v>47874</v>
      </c>
      <c r="W75" s="184">
        <f t="shared" si="60"/>
        <v>48055</v>
      </c>
      <c r="X75" s="184">
        <f t="shared" si="60"/>
        <v>48239</v>
      </c>
      <c r="Y75" s="184">
        <f t="shared" si="60"/>
        <v>48421</v>
      </c>
      <c r="Z75" s="184">
        <f t="shared" si="60"/>
        <v>48605</v>
      </c>
      <c r="AA75" s="184">
        <f t="shared" si="60"/>
        <v>48786</v>
      </c>
      <c r="AB75" s="184">
        <f t="shared" si="61"/>
        <v>48970</v>
      </c>
      <c r="AC75" s="184">
        <f t="shared" si="61"/>
        <v>49151</v>
      </c>
      <c r="AD75" s="184">
        <f t="shared" si="61"/>
        <v>49335</v>
      </c>
      <c r="AE75" s="184">
        <f t="shared" si="55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100</v>
      </c>
      <c r="AI75" s="203">
        <f t="shared" si="62"/>
        <v>24000000</v>
      </c>
      <c r="AJ75" s="164" t="s">
        <v>977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3"/>
        <v>45856</v>
      </c>
      <c r="L76" s="214">
        <f t="shared" si="63"/>
        <v>46040</v>
      </c>
      <c r="M76" s="184">
        <f t="shared" si="64"/>
        <v>46221</v>
      </c>
      <c r="N76" s="184">
        <f t="shared" si="64"/>
        <v>46405</v>
      </c>
      <c r="O76" s="184">
        <f t="shared" si="60"/>
        <v>46586</v>
      </c>
      <c r="P76" s="184">
        <f t="shared" si="60"/>
        <v>46770</v>
      </c>
      <c r="Q76" s="184">
        <f t="shared" si="60"/>
        <v>46952</v>
      </c>
      <c r="R76" s="184">
        <f t="shared" si="60"/>
        <v>47136</v>
      </c>
      <c r="S76" s="184">
        <f t="shared" si="60"/>
        <v>47317</v>
      </c>
      <c r="T76" s="184">
        <f t="shared" si="60"/>
        <v>47501</v>
      </c>
      <c r="U76" s="184">
        <f t="shared" si="60"/>
        <v>47682</v>
      </c>
      <c r="V76" s="184">
        <f t="shared" si="60"/>
        <v>47866</v>
      </c>
      <c r="W76" s="184">
        <f t="shared" si="60"/>
        <v>48047</v>
      </c>
      <c r="X76" s="184">
        <f t="shared" si="60"/>
        <v>48231</v>
      </c>
      <c r="Y76" s="184">
        <f t="shared" si="60"/>
        <v>48413</v>
      </c>
      <c r="Z76" s="184">
        <f t="shared" si="60"/>
        <v>48597</v>
      </c>
      <c r="AA76" s="184">
        <f t="shared" si="60"/>
        <v>48778</v>
      </c>
      <c r="AB76" s="184">
        <f t="shared" si="61"/>
        <v>48962</v>
      </c>
      <c r="AC76" s="184">
        <f t="shared" si="61"/>
        <v>49143</v>
      </c>
      <c r="AD76" s="184">
        <f t="shared" si="61"/>
        <v>49327</v>
      </c>
      <c r="AE76" s="184">
        <f t="shared" si="55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92</v>
      </c>
      <c r="AI76" s="203">
        <f t="shared" si="62"/>
        <v>24000000</v>
      </c>
      <c r="AJ76" s="164" t="s">
        <v>977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3"/>
        <v>45886</v>
      </c>
      <c r="L77" s="184">
        <f t="shared" si="63"/>
        <v>46070</v>
      </c>
      <c r="M77" s="214">
        <f t="shared" si="64"/>
        <v>46251</v>
      </c>
      <c r="N77" s="184">
        <f t="shared" si="64"/>
        <v>46435</v>
      </c>
      <c r="O77" s="184">
        <f t="shared" si="60"/>
        <v>46616</v>
      </c>
      <c r="P77" s="184">
        <f t="shared" si="60"/>
        <v>46800</v>
      </c>
      <c r="Q77" s="184">
        <f t="shared" si="60"/>
        <v>46982</v>
      </c>
      <c r="R77" s="184">
        <f t="shared" si="60"/>
        <v>47166</v>
      </c>
      <c r="S77" s="184">
        <f t="shared" si="60"/>
        <v>47347</v>
      </c>
      <c r="T77" s="184">
        <f t="shared" si="60"/>
        <v>47531</v>
      </c>
      <c r="U77" s="184">
        <f t="shared" si="60"/>
        <v>47712</v>
      </c>
      <c r="V77" s="184">
        <f t="shared" si="60"/>
        <v>47896</v>
      </c>
      <c r="W77" s="184">
        <f t="shared" si="60"/>
        <v>48077</v>
      </c>
      <c r="X77" s="184">
        <f t="shared" si="60"/>
        <v>48261</v>
      </c>
      <c r="Y77" s="184">
        <f t="shared" si="60"/>
        <v>48443</v>
      </c>
      <c r="Z77" s="184">
        <f t="shared" si="60"/>
        <v>48627</v>
      </c>
      <c r="AA77" s="184">
        <f t="shared" si="60"/>
        <v>48808</v>
      </c>
      <c r="AB77" s="184">
        <f t="shared" si="61"/>
        <v>48992</v>
      </c>
      <c r="AC77" s="184">
        <f t="shared" si="61"/>
        <v>49173</v>
      </c>
      <c r="AD77" s="184">
        <f t="shared" si="61"/>
        <v>49357</v>
      </c>
      <c r="AE77" s="184">
        <f t="shared" si="55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122</v>
      </c>
      <c r="AI77" s="203">
        <f t="shared" si="62"/>
        <v>30000000</v>
      </c>
      <c r="AJ77" s="164" t="s">
        <v>977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982</v>
      </c>
      <c r="I78" s="192" t="s">
        <v>79</v>
      </c>
      <c r="J78" s="169">
        <v>45799</v>
      </c>
      <c r="K78" s="214">
        <f t="shared" si="63"/>
        <v>45983</v>
      </c>
      <c r="L78" s="184">
        <f t="shared" si="63"/>
        <v>46164</v>
      </c>
      <c r="M78" s="184">
        <f t="shared" si="64"/>
        <v>46348</v>
      </c>
      <c r="N78" s="184">
        <f t="shared" si="64"/>
        <v>46529</v>
      </c>
      <c r="O78" s="184">
        <f t="shared" si="60"/>
        <v>46713</v>
      </c>
      <c r="P78" s="184">
        <f t="shared" si="60"/>
        <v>46895</v>
      </c>
      <c r="Q78" s="184">
        <f t="shared" si="60"/>
        <v>47079</v>
      </c>
      <c r="R78" s="184">
        <f t="shared" si="60"/>
        <v>47260</v>
      </c>
      <c r="S78" s="184">
        <f t="shared" si="60"/>
        <v>47444</v>
      </c>
      <c r="T78" s="184">
        <f t="shared" si="60"/>
        <v>47625</v>
      </c>
      <c r="U78" s="184">
        <f t="shared" si="60"/>
        <v>47809</v>
      </c>
      <c r="V78" s="184">
        <f t="shared" si="60"/>
        <v>47990</v>
      </c>
      <c r="W78" s="184">
        <f t="shared" si="60"/>
        <v>48174</v>
      </c>
      <c r="X78" s="184">
        <f t="shared" si="60"/>
        <v>48356</v>
      </c>
      <c r="Y78" s="184">
        <f t="shared" si="60"/>
        <v>48540</v>
      </c>
      <c r="Z78" s="184">
        <f t="shared" si="60"/>
        <v>48721</v>
      </c>
      <c r="AA78" s="184">
        <f t="shared" si="60"/>
        <v>48905</v>
      </c>
      <c r="AB78" s="184">
        <f t="shared" si="61"/>
        <v>49086</v>
      </c>
      <c r="AC78" s="184">
        <f t="shared" si="61"/>
        <v>49270</v>
      </c>
      <c r="AD78" s="184">
        <f t="shared" si="61"/>
        <v>49451</v>
      </c>
      <c r="AE78" s="184">
        <f t="shared" si="55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6">L78-TODAY()</f>
        <v>35</v>
      </c>
      <c r="AI78" s="203">
        <f t="shared" si="62"/>
        <v>18000000</v>
      </c>
      <c r="AJ78" s="164" t="s">
        <v>983</v>
      </c>
    </row>
    <row r="79" spans="1:36" x14ac:dyDescent="0.2">
      <c r="A79" s="164">
        <v>77</v>
      </c>
      <c r="B79" s="164" t="s">
        <v>987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984</v>
      </c>
      <c r="H79" s="164" t="s">
        <v>822</v>
      </c>
      <c r="I79" s="202" t="s">
        <v>79</v>
      </c>
      <c r="J79" s="169">
        <v>45804</v>
      </c>
      <c r="K79" s="184">
        <f t="shared" si="63"/>
        <v>45988</v>
      </c>
      <c r="L79" s="214">
        <f t="shared" si="63"/>
        <v>46169</v>
      </c>
      <c r="M79" s="184">
        <f t="shared" si="64"/>
        <v>46353</v>
      </c>
      <c r="N79" s="184">
        <f t="shared" si="64"/>
        <v>46534</v>
      </c>
      <c r="O79" s="184">
        <f t="shared" si="60"/>
        <v>46718</v>
      </c>
      <c r="P79" s="184">
        <f t="shared" si="60"/>
        <v>46900</v>
      </c>
      <c r="Q79" s="184">
        <f t="shared" si="60"/>
        <v>47084</v>
      </c>
      <c r="R79" s="184">
        <f t="shared" si="60"/>
        <v>47265</v>
      </c>
      <c r="S79" s="184">
        <f t="shared" si="60"/>
        <v>47449</v>
      </c>
      <c r="T79" s="184">
        <f t="shared" si="60"/>
        <v>47630</v>
      </c>
      <c r="U79" s="184">
        <f t="shared" si="60"/>
        <v>47814</v>
      </c>
      <c r="V79" s="184">
        <f t="shared" si="60"/>
        <v>47995</v>
      </c>
      <c r="W79" s="184">
        <f t="shared" ref="W79:AG85" si="67">EDATE(V79,6)</f>
        <v>48179</v>
      </c>
      <c r="X79" s="184">
        <f t="shared" si="67"/>
        <v>48361</v>
      </c>
      <c r="Y79" s="184">
        <f t="shared" si="67"/>
        <v>48545</v>
      </c>
      <c r="Z79" s="184">
        <f t="shared" si="67"/>
        <v>48726</v>
      </c>
      <c r="AA79" s="184">
        <f t="shared" si="67"/>
        <v>48910</v>
      </c>
      <c r="AB79" s="184">
        <f t="shared" si="67"/>
        <v>49091</v>
      </c>
      <c r="AC79" s="184">
        <f t="shared" si="67"/>
        <v>49275</v>
      </c>
      <c r="AD79" s="184">
        <f t="shared" si="67"/>
        <v>49456</v>
      </c>
      <c r="AE79" s="184">
        <f t="shared" si="67"/>
        <v>49640</v>
      </c>
      <c r="AF79" s="184">
        <f t="shared" si="67"/>
        <v>49822</v>
      </c>
      <c r="AG79" s="184">
        <f t="shared" si="67"/>
        <v>50006</v>
      </c>
      <c r="AH79" s="188">
        <f t="shared" ca="1" si="66"/>
        <v>40</v>
      </c>
      <c r="AI79" s="203">
        <f t="shared" si="62"/>
        <v>24000000</v>
      </c>
      <c r="AJ79" s="164" t="s">
        <v>983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8">EDATE(J80,6)</f>
        <v>46041</v>
      </c>
      <c r="L80" s="214">
        <f t="shared" si="68"/>
        <v>46222</v>
      </c>
      <c r="M80" s="184">
        <f t="shared" si="64"/>
        <v>46406</v>
      </c>
      <c r="N80" s="184">
        <f t="shared" si="64"/>
        <v>46587</v>
      </c>
      <c r="O80" s="184">
        <f t="shared" si="64"/>
        <v>46771</v>
      </c>
      <c r="P80" s="184">
        <f t="shared" si="64"/>
        <v>46953</v>
      </c>
      <c r="Q80" s="184">
        <f t="shared" si="64"/>
        <v>47137</v>
      </c>
      <c r="R80" s="184">
        <f t="shared" si="64"/>
        <v>47318</v>
      </c>
      <c r="S80" s="184">
        <f t="shared" si="64"/>
        <v>47502</v>
      </c>
      <c r="T80" s="184">
        <f t="shared" si="64"/>
        <v>47683</v>
      </c>
      <c r="U80" s="184">
        <f t="shared" si="64"/>
        <v>47867</v>
      </c>
      <c r="V80" s="184">
        <f t="shared" si="64"/>
        <v>48048</v>
      </c>
      <c r="W80" s="184">
        <f t="shared" si="67"/>
        <v>48232</v>
      </c>
      <c r="X80" s="184">
        <f t="shared" si="67"/>
        <v>48414</v>
      </c>
      <c r="Y80" s="184">
        <f t="shared" si="67"/>
        <v>48598</v>
      </c>
      <c r="Z80" s="184">
        <f t="shared" si="67"/>
        <v>48779</v>
      </c>
      <c r="AA80" s="184">
        <f t="shared" si="67"/>
        <v>48963</v>
      </c>
      <c r="AB80" s="184">
        <f t="shared" si="67"/>
        <v>49144</v>
      </c>
      <c r="AC80" s="184">
        <f t="shared" si="67"/>
        <v>49328</v>
      </c>
      <c r="AD80" s="184">
        <f t="shared" si="67"/>
        <v>49509</v>
      </c>
      <c r="AE80" s="184">
        <f t="shared" si="67"/>
        <v>49693</v>
      </c>
      <c r="AF80" s="184">
        <f t="shared" si="67"/>
        <v>49875</v>
      </c>
      <c r="AG80" s="184">
        <f t="shared" si="67"/>
        <v>50059</v>
      </c>
      <c r="AH80" s="188">
        <f ca="1">L80-TODAY()</f>
        <v>93</v>
      </c>
      <c r="AI80" s="203">
        <f t="shared" si="62"/>
        <v>30000000</v>
      </c>
      <c r="AJ80" s="222" t="s">
        <v>983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4"/>
        <v>46419</v>
      </c>
      <c r="N81" s="184">
        <f t="shared" si="64"/>
        <v>46600</v>
      </c>
      <c r="O81" s="184">
        <f t="shared" si="64"/>
        <v>46784</v>
      </c>
      <c r="P81" s="184">
        <f t="shared" si="64"/>
        <v>46966</v>
      </c>
      <c r="Q81" s="184">
        <f t="shared" si="64"/>
        <v>47150</v>
      </c>
      <c r="R81" s="184">
        <f t="shared" si="64"/>
        <v>47331</v>
      </c>
      <c r="S81" s="184">
        <f t="shared" si="64"/>
        <v>47515</v>
      </c>
      <c r="T81" s="184">
        <f t="shared" si="64"/>
        <v>47696</v>
      </c>
      <c r="U81" s="184">
        <f t="shared" si="64"/>
        <v>47880</v>
      </c>
      <c r="V81" s="184">
        <f t="shared" si="64"/>
        <v>48061</v>
      </c>
      <c r="W81" s="184">
        <f t="shared" si="67"/>
        <v>48245</v>
      </c>
      <c r="X81" s="184">
        <f t="shared" si="67"/>
        <v>48427</v>
      </c>
      <c r="Y81" s="184">
        <f t="shared" si="67"/>
        <v>48611</v>
      </c>
      <c r="Z81" s="184">
        <f t="shared" si="67"/>
        <v>48792</v>
      </c>
      <c r="AA81" s="184">
        <f t="shared" si="67"/>
        <v>48976</v>
      </c>
      <c r="AB81" s="184">
        <f t="shared" si="67"/>
        <v>49157</v>
      </c>
      <c r="AC81" s="184">
        <f t="shared" si="67"/>
        <v>49341</v>
      </c>
      <c r="AD81" s="184">
        <f t="shared" si="67"/>
        <v>49522</v>
      </c>
      <c r="AE81" s="184">
        <f t="shared" si="67"/>
        <v>49706</v>
      </c>
      <c r="AF81" s="184">
        <f t="shared" si="67"/>
        <v>49888</v>
      </c>
      <c r="AG81" s="184">
        <f t="shared" si="67"/>
        <v>50072</v>
      </c>
      <c r="AH81" s="188">
        <f ca="1">L81-TODAY()</f>
        <v>106</v>
      </c>
      <c r="AI81" s="203">
        <f t="shared" si="62"/>
        <v>30000000</v>
      </c>
      <c r="AJ81" s="164" t="s">
        <v>983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8"/>
        <v>46211</v>
      </c>
      <c r="M82" s="184">
        <f t="shared" si="64"/>
        <v>46395</v>
      </c>
      <c r="N82" s="184">
        <f t="shared" si="64"/>
        <v>46576</v>
      </c>
      <c r="O82" s="184">
        <f t="shared" si="64"/>
        <v>46760</v>
      </c>
      <c r="P82" s="184">
        <f t="shared" si="64"/>
        <v>46942</v>
      </c>
      <c r="Q82" s="184">
        <f t="shared" si="64"/>
        <v>47126</v>
      </c>
      <c r="R82" s="184">
        <f t="shared" si="64"/>
        <v>47307</v>
      </c>
      <c r="S82" s="184">
        <f t="shared" si="64"/>
        <v>47491</v>
      </c>
      <c r="T82" s="184">
        <f t="shared" si="64"/>
        <v>47672</v>
      </c>
      <c r="U82" s="184">
        <f t="shared" si="64"/>
        <v>47856</v>
      </c>
      <c r="V82" s="184">
        <f t="shared" si="64"/>
        <v>48037</v>
      </c>
      <c r="W82" s="184">
        <f t="shared" si="67"/>
        <v>48221</v>
      </c>
      <c r="X82" s="184">
        <f t="shared" si="67"/>
        <v>48403</v>
      </c>
      <c r="Y82" s="184">
        <f t="shared" si="67"/>
        <v>48587</v>
      </c>
      <c r="Z82" s="184">
        <f t="shared" si="67"/>
        <v>48768</v>
      </c>
      <c r="AA82" s="184">
        <f t="shared" si="67"/>
        <v>48952</v>
      </c>
      <c r="AB82" s="184">
        <f t="shared" si="67"/>
        <v>49133</v>
      </c>
      <c r="AC82" s="184">
        <f t="shared" si="67"/>
        <v>49317</v>
      </c>
      <c r="AD82" s="184">
        <f t="shared" si="67"/>
        <v>49498</v>
      </c>
      <c r="AE82" s="184">
        <f t="shared" si="67"/>
        <v>49682</v>
      </c>
      <c r="AF82" s="184">
        <f t="shared" si="67"/>
        <v>49864</v>
      </c>
      <c r="AG82" s="184">
        <f t="shared" si="67"/>
        <v>50048</v>
      </c>
      <c r="AH82" s="188">
        <f ca="1">L82-TODAY()</f>
        <v>82</v>
      </c>
      <c r="AI82" s="203">
        <f t="shared" si="62"/>
        <v>24000000</v>
      </c>
      <c r="AJ82" s="222" t="s">
        <v>983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8"/>
        <v>46212</v>
      </c>
      <c r="M83" s="184">
        <f t="shared" si="64"/>
        <v>46396</v>
      </c>
      <c r="N83" s="184">
        <f t="shared" si="64"/>
        <v>46577</v>
      </c>
      <c r="O83" s="184">
        <f t="shared" si="64"/>
        <v>46761</v>
      </c>
      <c r="P83" s="184">
        <f t="shared" si="64"/>
        <v>46943</v>
      </c>
      <c r="Q83" s="184">
        <f t="shared" si="64"/>
        <v>47127</v>
      </c>
      <c r="R83" s="184">
        <f t="shared" si="64"/>
        <v>47308</v>
      </c>
      <c r="S83" s="184">
        <f t="shared" si="64"/>
        <v>47492</v>
      </c>
      <c r="T83" s="184">
        <f t="shared" si="64"/>
        <v>47673</v>
      </c>
      <c r="U83" s="184">
        <f t="shared" si="64"/>
        <v>47857</v>
      </c>
      <c r="V83" s="184">
        <f t="shared" si="64"/>
        <v>48038</v>
      </c>
      <c r="W83" s="184">
        <f t="shared" si="67"/>
        <v>48222</v>
      </c>
      <c r="X83" s="184">
        <f t="shared" si="67"/>
        <v>48404</v>
      </c>
      <c r="Y83" s="184">
        <f t="shared" si="67"/>
        <v>48588</v>
      </c>
      <c r="Z83" s="184">
        <f t="shared" si="67"/>
        <v>48769</v>
      </c>
      <c r="AA83" s="184">
        <f t="shared" si="67"/>
        <v>48953</v>
      </c>
      <c r="AB83" s="184">
        <f t="shared" si="67"/>
        <v>49134</v>
      </c>
      <c r="AC83" s="184">
        <f t="shared" si="67"/>
        <v>49318</v>
      </c>
      <c r="AD83" s="184">
        <f t="shared" si="67"/>
        <v>49499</v>
      </c>
      <c r="AE83" s="184">
        <f t="shared" si="67"/>
        <v>49683</v>
      </c>
      <c r="AF83" s="184">
        <f t="shared" si="67"/>
        <v>49865</v>
      </c>
      <c r="AG83" s="184">
        <f t="shared" si="67"/>
        <v>50049</v>
      </c>
      <c r="AH83" s="188">
        <f ca="1">L83-TODAY()</f>
        <v>83</v>
      </c>
      <c r="AI83" s="203">
        <f t="shared" si="62"/>
        <v>30000000</v>
      </c>
      <c r="AJ83" s="164" t="s">
        <v>983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8"/>
        <v>46270</v>
      </c>
      <c r="M84" s="184">
        <f t="shared" si="64"/>
        <v>46451</v>
      </c>
      <c r="N84" s="184">
        <f t="shared" si="64"/>
        <v>46635</v>
      </c>
      <c r="O84" s="184">
        <f t="shared" si="64"/>
        <v>46817</v>
      </c>
      <c r="P84" s="184">
        <f t="shared" si="64"/>
        <v>47001</v>
      </c>
      <c r="Q84" s="184">
        <f t="shared" si="64"/>
        <v>47182</v>
      </c>
      <c r="R84" s="184">
        <f t="shared" si="64"/>
        <v>47366</v>
      </c>
      <c r="S84" s="184">
        <f t="shared" si="64"/>
        <v>47547</v>
      </c>
      <c r="T84" s="184">
        <f t="shared" si="64"/>
        <v>47731</v>
      </c>
      <c r="U84" s="184">
        <f t="shared" si="64"/>
        <v>47912</v>
      </c>
      <c r="V84" s="184">
        <f t="shared" si="64"/>
        <v>48096</v>
      </c>
      <c r="W84" s="184">
        <f t="shared" si="67"/>
        <v>48278</v>
      </c>
      <c r="X84" s="184">
        <f t="shared" si="67"/>
        <v>48462</v>
      </c>
      <c r="Y84" s="184">
        <f t="shared" si="67"/>
        <v>48643</v>
      </c>
      <c r="Z84" s="184">
        <f t="shared" si="67"/>
        <v>48827</v>
      </c>
      <c r="AA84" s="184">
        <f t="shared" si="67"/>
        <v>49008</v>
      </c>
      <c r="AB84" s="184">
        <f t="shared" si="67"/>
        <v>49192</v>
      </c>
      <c r="AC84" s="184">
        <f t="shared" si="67"/>
        <v>49373</v>
      </c>
      <c r="AD84" s="184">
        <f t="shared" si="67"/>
        <v>49557</v>
      </c>
      <c r="AE84" s="184">
        <f t="shared" si="67"/>
        <v>49739</v>
      </c>
      <c r="AF84" s="184">
        <f t="shared" si="67"/>
        <v>49923</v>
      </c>
      <c r="AG84" s="184">
        <f t="shared" si="67"/>
        <v>50104</v>
      </c>
      <c r="AH84" s="188">
        <f ca="1">L84-TODAY()</f>
        <v>141</v>
      </c>
      <c r="AI84" s="203">
        <f t="shared" si="62"/>
        <v>24000000</v>
      </c>
      <c r="AJ84" s="164" t="s">
        <v>983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</f>
        <v>46113</v>
      </c>
      <c r="L85" s="184">
        <f t="shared" si="68"/>
        <v>46296</v>
      </c>
      <c r="M85" s="184">
        <f t="shared" si="68"/>
        <v>46478</v>
      </c>
      <c r="N85" s="184">
        <f t="shared" si="68"/>
        <v>46661</v>
      </c>
      <c r="O85" s="184">
        <f t="shared" si="68"/>
        <v>46844</v>
      </c>
      <c r="P85" s="184">
        <f t="shared" si="68"/>
        <v>47027</v>
      </c>
      <c r="Q85" s="184">
        <f t="shared" si="68"/>
        <v>47209</v>
      </c>
      <c r="R85" s="184">
        <f t="shared" si="68"/>
        <v>47392</v>
      </c>
      <c r="S85" s="184">
        <f t="shared" si="68"/>
        <v>47574</v>
      </c>
      <c r="T85" s="184">
        <f t="shared" si="68"/>
        <v>47757</v>
      </c>
      <c r="U85" s="184">
        <f t="shared" si="68"/>
        <v>47939</v>
      </c>
      <c r="V85" s="184">
        <f t="shared" si="68"/>
        <v>48122</v>
      </c>
      <c r="W85" s="184">
        <f t="shared" si="67"/>
        <v>48305</v>
      </c>
      <c r="X85" s="184">
        <f t="shared" si="67"/>
        <v>48488</v>
      </c>
      <c r="Y85" s="184">
        <f t="shared" si="67"/>
        <v>48670</v>
      </c>
      <c r="Z85" s="184">
        <f t="shared" si="67"/>
        <v>48853</v>
      </c>
      <c r="AA85" s="184">
        <f t="shared" si="67"/>
        <v>49035</v>
      </c>
      <c r="AB85" s="184">
        <f t="shared" si="67"/>
        <v>49218</v>
      </c>
      <c r="AC85" s="184">
        <f t="shared" si="67"/>
        <v>49400</v>
      </c>
      <c r="AD85" s="184">
        <f t="shared" si="67"/>
        <v>49583</v>
      </c>
      <c r="AE85" s="184">
        <f t="shared" si="67"/>
        <v>49766</v>
      </c>
      <c r="AF85" s="184">
        <f t="shared" si="67"/>
        <v>49949</v>
      </c>
      <c r="AG85" s="184">
        <f t="shared" si="67"/>
        <v>50131</v>
      </c>
      <c r="AH85" s="188">
        <f ca="1">K85-TODAY()</f>
        <v>-16</v>
      </c>
      <c r="AI85" s="203">
        <f t="shared" si="62"/>
        <v>36000000</v>
      </c>
      <c r="AJ85" s="164" t="s">
        <v>985</v>
      </c>
    </row>
  </sheetData>
  <conditionalFormatting sqref="AI1">
    <cfRule type="cellIs" dxfId="100" priority="99" operator="lessThan">
      <formula>7</formula>
    </cfRule>
  </conditionalFormatting>
  <conditionalFormatting sqref="AH3:AH27 AH29:AH37 AH74:AH76">
    <cfRule type="cellIs" dxfId="99" priority="98" operator="lessThan">
      <formula>15</formula>
    </cfRule>
  </conditionalFormatting>
  <conditionalFormatting sqref="AH14:AH16">
    <cfRule type="cellIs" dxfId="98" priority="97" operator="lessThan">
      <formula>15</formula>
    </cfRule>
  </conditionalFormatting>
  <conditionalFormatting sqref="AH7">
    <cfRule type="cellIs" dxfId="97" priority="96" operator="lessThan">
      <formula>15</formula>
    </cfRule>
  </conditionalFormatting>
  <conditionalFormatting sqref="AH10">
    <cfRule type="cellIs" dxfId="96" priority="95" operator="lessThan">
      <formula>15</formula>
    </cfRule>
  </conditionalFormatting>
  <conditionalFormatting sqref="AH11">
    <cfRule type="cellIs" dxfId="95" priority="94" operator="lessThan">
      <formula>15</formula>
    </cfRule>
  </conditionalFormatting>
  <conditionalFormatting sqref="AH13">
    <cfRule type="cellIs" dxfId="94" priority="93" operator="lessThan">
      <formula>15</formula>
    </cfRule>
  </conditionalFormatting>
  <conditionalFormatting sqref="AH18:AH21">
    <cfRule type="cellIs" dxfId="93" priority="92" operator="lessThan">
      <formula>15</formula>
    </cfRule>
  </conditionalFormatting>
  <conditionalFormatting sqref="AH17">
    <cfRule type="cellIs" dxfId="92" priority="91" operator="lessThan">
      <formula>15</formula>
    </cfRule>
  </conditionalFormatting>
  <conditionalFormatting sqref="AH4:AH27 AH29:AH37 AH74:AH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E1:H1">
    <cfRule type="duplicateValues" dxfId="89" priority="100"/>
  </conditionalFormatting>
  <conditionalFormatting sqref="AH18">
    <cfRule type="cellIs" dxfId="88" priority="88" operator="lessThan">
      <formula>15</formula>
    </cfRule>
  </conditionalFormatting>
  <conditionalFormatting sqref="AH21">
    <cfRule type="cellIs" dxfId="87" priority="87" operator="lessThan">
      <formula>15</formula>
    </cfRule>
  </conditionalFormatting>
  <conditionalFormatting sqref="AH27">
    <cfRule type="cellIs" dxfId="86" priority="86" operator="lessThan">
      <formula>15</formula>
    </cfRule>
  </conditionalFormatting>
  <conditionalFormatting sqref="AH27">
    <cfRule type="cellIs" dxfId="85" priority="85" operator="lessThan">
      <formula>15</formula>
    </cfRule>
  </conditionalFormatting>
  <conditionalFormatting sqref="AH23">
    <cfRule type="cellIs" dxfId="84" priority="84" operator="lessThan">
      <formula>15</formula>
    </cfRule>
  </conditionalFormatting>
  <conditionalFormatting sqref="AH23">
    <cfRule type="cellIs" dxfId="83" priority="83" operator="lessThan">
      <formula>15</formula>
    </cfRule>
  </conditionalFormatting>
  <conditionalFormatting sqref="AH25">
    <cfRule type="cellIs" dxfId="82" priority="82" operator="lessThan">
      <formula>15</formula>
    </cfRule>
  </conditionalFormatting>
  <conditionalFormatting sqref="AH19">
    <cfRule type="cellIs" dxfId="81" priority="81" operator="lessThan">
      <formula>15</formula>
    </cfRule>
  </conditionalFormatting>
  <conditionalFormatting sqref="AH22">
    <cfRule type="cellIs" dxfId="80" priority="80" operator="lessThan">
      <formula>15</formula>
    </cfRule>
  </conditionalFormatting>
  <conditionalFormatting sqref="AH22">
    <cfRule type="cellIs" dxfId="79" priority="79" operator="lessThan">
      <formula>15</formula>
    </cfRule>
  </conditionalFormatting>
  <conditionalFormatting sqref="AH19:AH20">
    <cfRule type="cellIs" dxfId="78" priority="78" operator="lessThan">
      <formula>15</formula>
    </cfRule>
  </conditionalFormatting>
  <conditionalFormatting sqref="AH22">
    <cfRule type="cellIs" dxfId="77" priority="77" operator="lessThan">
      <formula>15</formula>
    </cfRule>
  </conditionalFormatting>
  <conditionalFormatting sqref="AH23">
    <cfRule type="cellIs" dxfId="76" priority="76" operator="lessThan">
      <formula>15</formula>
    </cfRule>
  </conditionalFormatting>
  <conditionalFormatting sqref="AH25">
    <cfRule type="cellIs" dxfId="75" priority="75" operator="lessThan">
      <formula>15</formula>
    </cfRule>
  </conditionalFormatting>
  <conditionalFormatting sqref="AH20">
    <cfRule type="cellIs" dxfId="74" priority="74" operator="lessThan">
      <formula>15</formula>
    </cfRule>
  </conditionalFormatting>
  <conditionalFormatting sqref="AH20">
    <cfRule type="cellIs" dxfId="73" priority="73" operator="lessThan">
      <formula>15</formula>
    </cfRule>
  </conditionalFormatting>
  <conditionalFormatting sqref="AH38">
    <cfRule type="cellIs" dxfId="72" priority="72" operator="lessThan">
      <formula>15</formula>
    </cfRule>
  </conditionalFormatting>
  <conditionalFormatting sqref="AH38">
    <cfRule type="cellIs" dxfId="71" priority="71" operator="lessThan">
      <formula>15</formula>
    </cfRule>
  </conditionalFormatting>
  <conditionalFormatting sqref="AH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H28">
    <cfRule type="cellIs" dxfId="68" priority="68" operator="lessThan">
      <formula>15</formula>
    </cfRule>
  </conditionalFormatting>
  <conditionalFormatting sqref="AH28">
    <cfRule type="cellIs" dxfId="67" priority="67" operator="lessThan">
      <formula>15</formula>
    </cfRule>
  </conditionalFormatting>
  <conditionalFormatting sqref="AH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H28">
    <cfRule type="cellIs" dxfId="64" priority="64" operator="lessThan">
      <formula>15</formula>
    </cfRule>
  </conditionalFormatting>
  <conditionalFormatting sqref="AH39:AH40">
    <cfRule type="cellIs" dxfId="63" priority="63" operator="lessThan">
      <formula>15</formula>
    </cfRule>
  </conditionalFormatting>
  <conditionalFormatting sqref="AH39:AH40">
    <cfRule type="cellIs" dxfId="62" priority="62" operator="lessThan">
      <formula>15</formula>
    </cfRule>
  </conditionalFormatting>
  <conditionalFormatting sqref="AH39:AH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H41">
    <cfRule type="cellIs" dxfId="59" priority="59" operator="lessThan">
      <formula>15</formula>
    </cfRule>
  </conditionalFormatting>
  <conditionalFormatting sqref="AH41">
    <cfRule type="cellIs" dxfId="58" priority="58" operator="lessThan">
      <formula>15</formula>
    </cfRule>
  </conditionalFormatting>
  <conditionalFormatting sqref="AH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H42:AH44 AH46:AH49">
    <cfRule type="cellIs" dxfId="55" priority="55" operator="lessThan">
      <formula>15</formula>
    </cfRule>
  </conditionalFormatting>
  <conditionalFormatting sqref="AH42:AH44 AH46:AH49">
    <cfRule type="cellIs" dxfId="54" priority="54" operator="lessThan">
      <formula>15</formula>
    </cfRule>
  </conditionalFormatting>
  <conditionalFormatting sqref="AH42:AH44 AH46:AH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H45">
    <cfRule type="cellIs" dxfId="51" priority="51" operator="lessThan">
      <formula>15</formula>
    </cfRule>
  </conditionalFormatting>
  <conditionalFormatting sqref="AH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H50">
    <cfRule type="cellIs" dxfId="48" priority="48" operator="lessThan">
      <formula>15</formula>
    </cfRule>
  </conditionalFormatting>
  <conditionalFormatting sqref="AH50">
    <cfRule type="cellIs" dxfId="47" priority="47" operator="lessThan">
      <formula>15</formula>
    </cfRule>
  </conditionalFormatting>
  <conditionalFormatting sqref="AH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H51:AH61">
    <cfRule type="cellIs" dxfId="44" priority="44" operator="lessThan">
      <formula>15</formula>
    </cfRule>
  </conditionalFormatting>
  <conditionalFormatting sqref="AH51:AH61">
    <cfRule type="cellIs" dxfId="43" priority="43" operator="lessThan">
      <formula>15</formula>
    </cfRule>
  </conditionalFormatting>
  <conditionalFormatting sqref="AH51:AH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H62:AH63">
    <cfRule type="cellIs" dxfId="40" priority="40" operator="lessThan">
      <formula>15</formula>
    </cfRule>
  </conditionalFormatting>
  <conditionalFormatting sqref="AH62:AH63">
    <cfRule type="cellIs" dxfId="39" priority="39" operator="lessThan">
      <formula>15</formula>
    </cfRule>
  </conditionalFormatting>
  <conditionalFormatting sqref="AH62:AH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H64:AH65">
    <cfRule type="cellIs" dxfId="36" priority="36" operator="lessThan">
      <formula>15</formula>
    </cfRule>
  </conditionalFormatting>
  <conditionalFormatting sqref="AH64:AH65">
    <cfRule type="cellIs" dxfId="35" priority="35" operator="lessThan">
      <formula>15</formula>
    </cfRule>
  </conditionalFormatting>
  <conditionalFormatting sqref="AH64:AH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H66">
    <cfRule type="cellIs" dxfId="32" priority="32" operator="lessThan">
      <formula>15</formula>
    </cfRule>
  </conditionalFormatting>
  <conditionalFormatting sqref="AH66">
    <cfRule type="cellIs" dxfId="31" priority="31" operator="lessThan">
      <formula>15</formula>
    </cfRule>
  </conditionalFormatting>
  <conditionalFormatting sqref="AH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H67:AH69">
    <cfRule type="cellIs" dxfId="28" priority="28" operator="lessThan">
      <formula>15</formula>
    </cfRule>
  </conditionalFormatting>
  <conditionalFormatting sqref="AH67:AH69">
    <cfRule type="cellIs" dxfId="27" priority="27" operator="lessThan">
      <formula>15</formula>
    </cfRule>
  </conditionalFormatting>
  <conditionalFormatting sqref="AH67:AH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H70:AH71">
    <cfRule type="cellIs" dxfId="24" priority="24" operator="lessThan">
      <formula>15</formula>
    </cfRule>
  </conditionalFormatting>
  <conditionalFormatting sqref="AH70:AH71">
    <cfRule type="cellIs" dxfId="23" priority="23" operator="lessThan">
      <formula>15</formula>
    </cfRule>
  </conditionalFormatting>
  <conditionalFormatting sqref="AH70:AH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H73">
    <cfRule type="cellIs" dxfId="20" priority="20" operator="lessThan">
      <formula>15</formula>
    </cfRule>
  </conditionalFormatting>
  <conditionalFormatting sqref="AH73">
    <cfRule type="cellIs" dxfId="19" priority="19" operator="lessThan">
      <formula>15</formula>
    </cfRule>
  </conditionalFormatting>
  <conditionalFormatting sqref="AH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H72">
    <cfRule type="cellIs" dxfId="16" priority="16" operator="lessThan">
      <formula>15</formula>
    </cfRule>
  </conditionalFormatting>
  <conditionalFormatting sqref="AH72">
    <cfRule type="cellIs" dxfId="15" priority="15" operator="lessThan">
      <formula>15</formula>
    </cfRule>
  </conditionalFormatting>
  <conditionalFormatting sqref="AH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J1">
    <cfRule type="cellIs" dxfId="12" priority="12" operator="lessThan">
      <formula>7</formula>
    </cfRule>
  </conditionalFormatting>
  <conditionalFormatting sqref="AH77">
    <cfRule type="cellIs" dxfId="11" priority="11" operator="lessThan">
      <formula>15</formula>
    </cfRule>
  </conditionalFormatting>
  <conditionalFormatting sqref="AH77">
    <cfRule type="cellIs" dxfId="10" priority="10" operator="lessThan">
      <formula>15</formula>
    </cfRule>
  </conditionalFormatting>
  <conditionalFormatting sqref="AH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H78:AH85">
    <cfRule type="cellIs" dxfId="7" priority="7" operator="lessThan">
      <formula>15</formula>
    </cfRule>
  </conditionalFormatting>
  <conditionalFormatting sqref="AH78:AH85">
    <cfRule type="cellIs" dxfId="6" priority="6" operator="lessThan">
      <formula>15</formula>
    </cfRule>
  </conditionalFormatting>
  <conditionalFormatting sqref="AH78:AH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H80:H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A87" sqref="A87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1061</v>
      </c>
      <c r="D1" s="157" t="s">
        <v>994</v>
      </c>
      <c r="E1" s="157" t="s">
        <v>995</v>
      </c>
      <c r="F1" s="157" t="s">
        <v>1062</v>
      </c>
      <c r="G1" s="230" t="s">
        <v>996</v>
      </c>
      <c r="H1" s="230" t="s">
        <v>997</v>
      </c>
      <c r="I1" s="230" t="s">
        <v>998</v>
      </c>
      <c r="J1" s="230" t="s">
        <v>999</v>
      </c>
      <c r="K1" s="230" t="s">
        <v>1000</v>
      </c>
      <c r="L1" s="230" t="s">
        <v>1001</v>
      </c>
      <c r="M1" s="230" t="s">
        <v>1002</v>
      </c>
      <c r="N1" s="230" t="s">
        <v>1003</v>
      </c>
      <c r="O1" s="230" t="s">
        <v>1003</v>
      </c>
      <c r="P1" s="230" t="s">
        <v>1004</v>
      </c>
      <c r="Q1" s="230" t="s">
        <v>1004</v>
      </c>
      <c r="R1" s="230" t="s">
        <v>1053</v>
      </c>
      <c r="S1" s="230" t="s">
        <v>1054</v>
      </c>
      <c r="T1" s="230" t="s">
        <v>1055</v>
      </c>
      <c r="U1" s="230" t="s">
        <v>1056</v>
      </c>
      <c r="V1" s="230" t="s">
        <v>1057</v>
      </c>
      <c r="W1" s="230" t="s">
        <v>1058</v>
      </c>
      <c r="X1" s="230" t="s">
        <v>1059</v>
      </c>
      <c r="Y1" s="230" t="s">
        <v>1060</v>
      </c>
      <c r="Z1" s="231" t="s">
        <v>1005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1006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1006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1006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986</v>
      </c>
      <c r="C7" s="189">
        <v>6300000</v>
      </c>
      <c r="D7" s="189"/>
      <c r="E7" s="164" t="s">
        <v>1006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 t="s">
        <v>1152</v>
      </c>
      <c r="B8" s="165" t="s">
        <v>95</v>
      </c>
      <c r="C8" s="189">
        <v>7680000</v>
      </c>
      <c r="D8" s="189"/>
      <c r="E8" s="164" t="s">
        <v>1007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1006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1006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1008</v>
      </c>
      <c r="E11" s="164" t="s">
        <v>1006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1006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1006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1009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1006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1006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1006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1010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1011</v>
      </c>
      <c r="E19" s="173" t="s">
        <v>1012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1013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1014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1015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1016</v>
      </c>
      <c r="E23" s="164" t="s">
        <v>1017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1018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1019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1020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1021</v>
      </c>
      <c r="E29" s="164" t="s">
        <v>1022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1023</v>
      </c>
      <c r="E32" s="173" t="s">
        <v>1024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1025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1026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1027</v>
      </c>
      <c r="E36" s="173" t="s">
        <v>1022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1028</v>
      </c>
      <c r="E37" s="164" t="s">
        <v>1029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 t="s">
        <v>1152</v>
      </c>
      <c r="B38" s="212" t="s">
        <v>1030</v>
      </c>
      <c r="C38" s="189">
        <v>8030000</v>
      </c>
      <c r="D38" s="189"/>
      <c r="E38" s="164" t="s">
        <v>1031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1032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 t="s">
        <v>1152</v>
      </c>
      <c r="B41" s="241" t="s">
        <v>1151</v>
      </c>
      <c r="C41" s="208">
        <v>10700000</v>
      </c>
      <c r="D41" s="208"/>
      <c r="E41" s="173" t="s">
        <v>1033</v>
      </c>
      <c r="F41" s="234" t="s">
        <v>968</v>
      </c>
      <c r="G41" s="234" t="s">
        <v>968</v>
      </c>
      <c r="H41" s="234" t="s">
        <v>968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1019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1034</v>
      </c>
      <c r="E43" s="173" t="s">
        <v>1019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 t="s">
        <v>1152</v>
      </c>
      <c r="B44" s="235" t="s">
        <v>565</v>
      </c>
      <c r="C44" s="189">
        <v>6500000</v>
      </c>
      <c r="D44" s="189"/>
      <c r="E44" s="164" t="s">
        <v>1019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1035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1036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1037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1037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1038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1039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 t="s">
        <v>1152</v>
      </c>
      <c r="B51" s="165" t="s">
        <v>1040</v>
      </c>
      <c r="C51" s="189">
        <v>8000000</v>
      </c>
      <c r="D51" s="189"/>
      <c r="E51" s="164" t="s">
        <v>1041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1042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1043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1044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 t="s">
        <v>1152</v>
      </c>
      <c r="B62" s="236" t="s">
        <v>1045</v>
      </c>
      <c r="C62" s="189">
        <v>12000000</v>
      </c>
      <c r="D62" s="189"/>
      <c r="E62" s="222" t="s">
        <v>1046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1047</v>
      </c>
      <c r="E64" s="222" t="s">
        <v>1048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1049</v>
      </c>
      <c r="E67" s="222" t="s">
        <v>1050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1019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1051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987</v>
      </c>
      <c r="C84" s="189">
        <v>6400000</v>
      </c>
      <c r="D84" s="189"/>
      <c r="E84" s="222" t="s">
        <v>1019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 t="s">
        <v>1152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1052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1144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1019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4" sqref="C14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5" t="s">
        <v>24</v>
      </c>
      <c r="B1" s="225" t="s">
        <v>366</v>
      </c>
      <c r="C1" s="225" t="s">
        <v>1063</v>
      </c>
      <c r="D1" s="225" t="s">
        <v>1064</v>
      </c>
      <c r="E1" s="225" t="s">
        <v>1065</v>
      </c>
      <c r="F1" s="225" t="s">
        <v>1096</v>
      </c>
      <c r="G1" s="225" t="s">
        <v>1095</v>
      </c>
      <c r="H1" s="225" t="s">
        <v>1097</v>
      </c>
      <c r="I1" s="225" t="s">
        <v>996</v>
      </c>
      <c r="J1" s="225" t="s">
        <v>997</v>
      </c>
      <c r="K1" s="225" t="s">
        <v>998</v>
      </c>
      <c r="L1" s="225" t="s">
        <v>999</v>
      </c>
      <c r="M1" s="225" t="s">
        <v>1000</v>
      </c>
      <c r="N1" s="225" t="s">
        <v>1001</v>
      </c>
      <c r="O1" s="225" t="s">
        <v>1002</v>
      </c>
      <c r="P1" s="225" t="s">
        <v>1003</v>
      </c>
      <c r="Q1" s="225" t="s">
        <v>1004</v>
      </c>
      <c r="R1" s="225" t="s">
        <v>1053</v>
      </c>
      <c r="S1" s="225" t="s">
        <v>1054</v>
      </c>
      <c r="T1" s="225" t="s">
        <v>1055</v>
      </c>
      <c r="U1" s="225" t="s">
        <v>1056</v>
      </c>
      <c r="V1" s="225" t="s">
        <v>1057</v>
      </c>
      <c r="W1" s="225" t="s">
        <v>1057</v>
      </c>
      <c r="X1" s="225" t="s">
        <v>1058</v>
      </c>
      <c r="Y1" s="225" t="s">
        <v>1059</v>
      </c>
      <c r="Z1" s="225" t="s">
        <v>1060</v>
      </c>
      <c r="AA1" s="225" t="s">
        <v>1099</v>
      </c>
      <c r="AB1" s="225" t="s">
        <v>1100</v>
      </c>
      <c r="AC1" s="225" t="s">
        <v>1101</v>
      </c>
      <c r="AD1" s="225" t="s">
        <v>1102</v>
      </c>
      <c r="AE1" s="225" t="s">
        <v>1103</v>
      </c>
      <c r="AF1" s="249" t="s">
        <v>1098</v>
      </c>
      <c r="AG1" s="225" t="s">
        <v>53</v>
      </c>
    </row>
    <row r="2" spans="1:33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6" t="s">
        <v>1152</v>
      </c>
      <c r="B4" s="226" t="s">
        <v>1066</v>
      </c>
      <c r="C4" s="226" t="s">
        <v>1067</v>
      </c>
      <c r="D4" s="226" t="s">
        <v>1068</v>
      </c>
      <c r="E4" s="250" t="s">
        <v>1069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  <c r="AG4" s="17" t="s">
        <v>1152</v>
      </c>
    </row>
    <row r="5" spans="1:33" x14ac:dyDescent="0.3">
      <c r="A5" s="226">
        <v>2</v>
      </c>
      <c r="B5" s="226" t="s">
        <v>190</v>
      </c>
      <c r="C5" s="226" t="s">
        <v>1070</v>
      </c>
      <c r="D5" s="226" t="s">
        <v>1071</v>
      </c>
      <c r="E5" s="250" t="s">
        <v>1072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  <c r="AG5" s="17"/>
    </row>
    <row r="6" spans="1:33" x14ac:dyDescent="0.3">
      <c r="A6" s="226">
        <v>3</v>
      </c>
      <c r="B6" s="226" t="s">
        <v>260</v>
      </c>
      <c r="C6" s="226" t="s">
        <v>1073</v>
      </c>
      <c r="D6" s="226" t="s">
        <v>1074</v>
      </c>
      <c r="E6" s="250" t="s">
        <v>1075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  <c r="AG6" s="17"/>
    </row>
    <row r="7" spans="1:33" x14ac:dyDescent="0.3">
      <c r="A7" s="226">
        <v>4</v>
      </c>
      <c r="B7" s="226" t="s">
        <v>1076</v>
      </c>
      <c r="C7" s="226" t="s">
        <v>1077</v>
      </c>
      <c r="D7" s="226" t="s">
        <v>1078</v>
      </c>
      <c r="E7" s="250" t="s">
        <v>1079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  <c r="AG7" s="17"/>
    </row>
    <row r="8" spans="1:33" x14ac:dyDescent="0.3">
      <c r="A8" s="226">
        <v>5</v>
      </c>
      <c r="B8" s="226" t="s">
        <v>1080</v>
      </c>
      <c r="C8" s="226" t="s">
        <v>385</v>
      </c>
      <c r="D8" s="226" t="s">
        <v>1081</v>
      </c>
      <c r="E8" s="250" t="s">
        <v>1082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  <c r="AG8" s="17"/>
    </row>
    <row r="9" spans="1:33" x14ac:dyDescent="0.3">
      <c r="A9" s="226">
        <v>6</v>
      </c>
      <c r="B9" s="226" t="s">
        <v>1083</v>
      </c>
      <c r="C9" s="226" t="s">
        <v>386</v>
      </c>
      <c r="D9" s="226" t="s">
        <v>1084</v>
      </c>
      <c r="E9" s="250" t="s">
        <v>1082</v>
      </c>
      <c r="F9" s="227">
        <v>11330000</v>
      </c>
      <c r="G9" s="226" t="s">
        <v>77</v>
      </c>
      <c r="H9" s="250" t="s">
        <v>1085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  <c r="AG9" s="17"/>
    </row>
    <row r="10" spans="1:33" x14ac:dyDescent="0.3">
      <c r="A10" s="226" t="s">
        <v>1152</v>
      </c>
      <c r="B10" s="226" t="s">
        <v>1086</v>
      </c>
      <c r="C10" s="226" t="s">
        <v>427</v>
      </c>
      <c r="D10" s="226" t="s">
        <v>1087</v>
      </c>
      <c r="E10" s="250" t="s">
        <v>1088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  <c r="AG10" s="17" t="s">
        <v>1152</v>
      </c>
    </row>
    <row r="11" spans="1:33" x14ac:dyDescent="0.3">
      <c r="A11" s="226">
        <v>8</v>
      </c>
      <c r="B11" s="226" t="s">
        <v>316</v>
      </c>
      <c r="C11" s="226" t="s">
        <v>1089</v>
      </c>
      <c r="D11" s="226" t="s">
        <v>1090</v>
      </c>
      <c r="E11" s="250" t="s">
        <v>1091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  <c r="AG11" s="17"/>
    </row>
    <row r="12" spans="1:33" x14ac:dyDescent="0.3">
      <c r="A12" s="226">
        <v>9</v>
      </c>
      <c r="B12" s="226" t="s">
        <v>14</v>
      </c>
      <c r="C12" s="226" t="s">
        <v>1092</v>
      </c>
      <c r="D12" s="226" t="s">
        <v>1093</v>
      </c>
      <c r="E12" s="250" t="s">
        <v>1094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B12" sqref="B12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1104</v>
      </c>
      <c r="D1" s="225" t="s">
        <v>1105</v>
      </c>
      <c r="E1" s="225" t="s">
        <v>1065</v>
      </c>
      <c r="F1" s="225" t="s">
        <v>366</v>
      </c>
      <c r="G1" s="225" t="s">
        <v>1106</v>
      </c>
      <c r="H1" s="225" t="s">
        <v>1139</v>
      </c>
      <c r="I1" s="225" t="s">
        <v>1107</v>
      </c>
      <c r="J1" s="225" t="s">
        <v>1108</v>
      </c>
      <c r="K1" s="225" t="s">
        <v>996</v>
      </c>
      <c r="L1" s="225" t="s">
        <v>997</v>
      </c>
      <c r="M1" s="225" t="s">
        <v>998</v>
      </c>
      <c r="N1" s="225" t="s">
        <v>999</v>
      </c>
      <c r="O1" s="225" t="s">
        <v>1000</v>
      </c>
      <c r="P1" s="225" t="s">
        <v>1001</v>
      </c>
      <c r="Q1" s="225" t="s">
        <v>1001</v>
      </c>
      <c r="R1" s="225" t="s">
        <v>1001</v>
      </c>
      <c r="S1" s="225" t="s">
        <v>1002</v>
      </c>
      <c r="T1" s="225" t="s">
        <v>1002</v>
      </c>
      <c r="U1" s="225" t="s">
        <v>1003</v>
      </c>
      <c r="V1" s="225" t="s">
        <v>1004</v>
      </c>
      <c r="W1" s="225" t="s">
        <v>1053</v>
      </c>
      <c r="X1" s="225" t="s">
        <v>1054</v>
      </c>
      <c r="Y1" s="254" t="s">
        <v>1109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1110</v>
      </c>
      <c r="D4" s="41" t="s">
        <v>1111</v>
      </c>
      <c r="E4" s="255" t="s">
        <v>1112</v>
      </c>
      <c r="F4" s="226" t="s">
        <v>1110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1113</v>
      </c>
      <c r="E5" s="255" t="s">
        <v>1114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1115</v>
      </c>
      <c r="D6" s="41" t="s">
        <v>1116</v>
      </c>
      <c r="E6" s="41" t="s">
        <v>1117</v>
      </c>
      <c r="F6" s="226" t="s">
        <v>1118</v>
      </c>
      <c r="G6" s="41" t="s">
        <v>1115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1119</v>
      </c>
      <c r="D7" s="41" t="s">
        <v>1120</v>
      </c>
      <c r="E7" s="255" t="s">
        <v>1121</v>
      </c>
      <c r="F7" s="226" t="s">
        <v>1122</v>
      </c>
      <c r="G7" s="41" t="s">
        <v>1119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1123</v>
      </c>
      <c r="C8" s="226" t="s">
        <v>1124</v>
      </c>
      <c r="D8" s="41" t="s">
        <v>1125</v>
      </c>
      <c r="E8" s="255" t="s">
        <v>1126</v>
      </c>
      <c r="F8" s="226" t="s">
        <v>1124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1127</v>
      </c>
      <c r="D9" s="41" t="s">
        <v>1128</v>
      </c>
      <c r="E9" s="255" t="s">
        <v>1129</v>
      </c>
      <c r="F9" s="226" t="s">
        <v>1130</v>
      </c>
      <c r="G9" s="41" t="s">
        <v>1127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1131</v>
      </c>
      <c r="D10" s="41" t="s">
        <v>1132</v>
      </c>
      <c r="E10" s="255" t="s">
        <v>1133</v>
      </c>
      <c r="F10" s="226"/>
      <c r="G10" s="41" t="s">
        <v>1131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1134</v>
      </c>
      <c r="C11" s="226" t="s">
        <v>1135</v>
      </c>
      <c r="D11" s="41" t="s">
        <v>1136</v>
      </c>
      <c r="E11" s="255" t="s">
        <v>1133</v>
      </c>
      <c r="F11" s="226"/>
      <c r="G11" s="41" t="s">
        <v>1135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1137</v>
      </c>
      <c r="D12" s="41" t="s">
        <v>1138</v>
      </c>
      <c r="E12" s="255" t="s">
        <v>1133</v>
      </c>
      <c r="F12" s="226"/>
      <c r="G12" s="41" t="s">
        <v>1137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7" t="s">
        <v>243</v>
      </c>
      <c r="B1" s="257" t="s">
        <v>366</v>
      </c>
      <c r="C1" s="258" t="s">
        <v>1167</v>
      </c>
      <c r="D1" s="258" t="s">
        <v>1153</v>
      </c>
      <c r="E1" s="259" t="s">
        <v>1154</v>
      </c>
      <c r="F1" s="259" t="s">
        <v>1155</v>
      </c>
      <c r="G1" s="260" t="s">
        <v>1168</v>
      </c>
      <c r="H1" s="259" t="s">
        <v>1156</v>
      </c>
      <c r="I1" s="259" t="s">
        <v>1157</v>
      </c>
      <c r="J1" s="259" t="s">
        <v>1169</v>
      </c>
      <c r="K1" s="257" t="s">
        <v>1158</v>
      </c>
      <c r="L1" s="257" t="s">
        <v>1159</v>
      </c>
      <c r="M1" s="257" t="s">
        <v>1160</v>
      </c>
      <c r="N1" s="257" t="s">
        <v>1161</v>
      </c>
      <c r="O1" s="257" t="s">
        <v>1162</v>
      </c>
      <c r="P1" s="257" t="s">
        <v>1163</v>
      </c>
      <c r="Q1" s="261" t="s">
        <v>1170</v>
      </c>
      <c r="R1" s="257" t="s">
        <v>1164</v>
      </c>
    </row>
    <row r="2" spans="1:18" x14ac:dyDescent="0.3">
      <c r="A2" s="257"/>
      <c r="B2" s="257" t="s">
        <v>1165</v>
      </c>
      <c r="C2" s="258">
        <f t="shared" ref="C2:Q2" si="0">SUBTOTAL(9,C4:C197)</f>
        <v>8690100143.0370846</v>
      </c>
      <c r="D2" s="258">
        <f t="shared" si="0"/>
        <v>0</v>
      </c>
      <c r="E2" s="258">
        <f t="shared" si="0"/>
        <v>0</v>
      </c>
      <c r="F2" s="258">
        <f t="shared" si="0"/>
        <v>65175751.072778143</v>
      </c>
      <c r="G2" s="258">
        <f t="shared" si="0"/>
        <v>8755275894.1098633</v>
      </c>
      <c r="H2" s="258">
        <f t="shared" si="0"/>
        <v>383116909.09090906</v>
      </c>
      <c r="I2" s="258">
        <f t="shared" si="0"/>
        <v>667080000</v>
      </c>
      <c r="J2" s="258">
        <f t="shared" si="0"/>
        <v>9805472803.2007713</v>
      </c>
      <c r="K2" s="258">
        <f t="shared" si="0"/>
        <v>426075000</v>
      </c>
      <c r="L2" s="258">
        <f t="shared" si="0"/>
        <v>704380000</v>
      </c>
      <c r="M2" s="258">
        <f t="shared" si="0"/>
        <v>70238100</v>
      </c>
      <c r="N2" s="258">
        <f t="shared" si="0"/>
        <v>74120000</v>
      </c>
      <c r="O2" s="258">
        <f t="shared" si="0"/>
        <v>848738100</v>
      </c>
      <c r="P2" s="258">
        <f t="shared" si="0"/>
        <v>771580090.909091</v>
      </c>
      <c r="Q2" s="258">
        <f t="shared" si="0"/>
        <v>345505090.909091</v>
      </c>
      <c r="R2" s="262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20">
        <v>1</v>
      </c>
      <c r="B4" s="263" t="s">
        <v>19</v>
      </c>
      <c r="C4" s="264">
        <v>131973797.76886031</v>
      </c>
      <c r="D4" s="264">
        <v>0</v>
      </c>
      <c r="E4" s="156">
        <v>0</v>
      </c>
      <c r="F4" s="156">
        <f t="shared" ref="F4:F67" si="1">(C4*12%+(C4/2)*12%)/24</f>
        <v>989803.48326645233</v>
      </c>
      <c r="G4" s="156">
        <f t="shared" ref="G4:G67" si="2">SUM(C4:F4)</f>
        <v>132963601.25212677</v>
      </c>
      <c r="H4" s="156">
        <f t="shared" ref="H4:H67" si="3">M4*6/1.1</f>
        <v>26963999.999999996</v>
      </c>
      <c r="I4" s="156">
        <f t="shared" ref="I4:I67" si="4">N4*9</f>
        <v>0</v>
      </c>
      <c r="J4" s="156">
        <f t="shared" ref="J4:J67" si="5">G4+H4+I4</f>
        <v>159927601.25212675</v>
      </c>
      <c r="K4" s="156">
        <v>7000000</v>
      </c>
      <c r="L4" s="156">
        <v>7120000</v>
      </c>
      <c r="M4" s="156">
        <v>4943400</v>
      </c>
      <c r="N4" s="156">
        <v>0</v>
      </c>
      <c r="O4" s="156">
        <f>SUM(L4:N4)</f>
        <v>12063400</v>
      </c>
      <c r="P4" s="156">
        <f>O4/1.1</f>
        <v>10966727.272727272</v>
      </c>
      <c r="Q4" s="156">
        <f>P4-K4</f>
        <v>3966727.2727272715</v>
      </c>
      <c r="R4" s="156">
        <f t="shared" ref="R4:R67" si="6">J4/Q4</f>
        <v>40.317266667584789</v>
      </c>
    </row>
    <row r="5" spans="1:18" x14ac:dyDescent="0.3">
      <c r="A5" s="120">
        <v>2</v>
      </c>
      <c r="B5" s="263" t="s">
        <v>14</v>
      </c>
      <c r="C5" s="264">
        <f>103604978.276535+70000000</f>
        <v>173604978.276535</v>
      </c>
      <c r="D5" s="264">
        <v>0</v>
      </c>
      <c r="E5" s="156">
        <v>0</v>
      </c>
      <c r="F5" s="156">
        <f t="shared" si="1"/>
        <v>1302037.3370740125</v>
      </c>
      <c r="G5" s="156">
        <f t="shared" si="2"/>
        <v>174907015.61360902</v>
      </c>
      <c r="H5" s="156">
        <f t="shared" si="3"/>
        <v>29999999.999999996</v>
      </c>
      <c r="I5" s="156">
        <f t="shared" si="4"/>
        <v>49500000</v>
      </c>
      <c r="J5" s="156">
        <f t="shared" si="5"/>
        <v>254407015.61360902</v>
      </c>
      <c r="K5" s="156">
        <v>6500000</v>
      </c>
      <c r="L5" s="156">
        <f>8300000*70%</f>
        <v>5810000</v>
      </c>
      <c r="M5" s="156">
        <v>5500000</v>
      </c>
      <c r="N5" s="156">
        <v>5500000</v>
      </c>
      <c r="O5" s="156">
        <f t="shared" ref="O5:O68" si="7">SUM(L5:N5)</f>
        <v>16810000</v>
      </c>
      <c r="P5" s="156">
        <f t="shared" ref="P5:P68" si="8">O5/1.1</f>
        <v>15281818.18181818</v>
      </c>
      <c r="Q5" s="156">
        <f t="shared" ref="Q5:Q68" si="9">P5-K5</f>
        <v>8781818.1818181798</v>
      </c>
      <c r="R5" s="156">
        <f t="shared" si="6"/>
        <v>28.969742978775361</v>
      </c>
    </row>
    <row r="6" spans="1:18" x14ac:dyDescent="0.3">
      <c r="A6" s="120">
        <v>3</v>
      </c>
      <c r="B6" s="263" t="s">
        <v>29</v>
      </c>
      <c r="C6" s="264">
        <v>95327892.000000015</v>
      </c>
      <c r="D6" s="265">
        <v>0</v>
      </c>
      <c r="E6" s="156">
        <v>0</v>
      </c>
      <c r="F6" s="156">
        <f t="shared" si="1"/>
        <v>714959.19000000006</v>
      </c>
      <c r="G6" s="156">
        <f t="shared" si="2"/>
        <v>96042851.190000013</v>
      </c>
      <c r="H6" s="156">
        <f t="shared" si="3"/>
        <v>0</v>
      </c>
      <c r="I6" s="156">
        <f t="shared" si="4"/>
        <v>0</v>
      </c>
      <c r="J6" s="156">
        <f t="shared" si="5"/>
        <v>96042851.190000013</v>
      </c>
      <c r="K6" s="156">
        <v>5875000</v>
      </c>
      <c r="L6" s="156">
        <v>8300000</v>
      </c>
      <c r="M6" s="156">
        <v>0</v>
      </c>
      <c r="N6" s="156">
        <v>0</v>
      </c>
      <c r="O6" s="156">
        <f t="shared" si="7"/>
        <v>8300000</v>
      </c>
      <c r="P6" s="156">
        <f t="shared" si="8"/>
        <v>7545454.5454545449</v>
      </c>
      <c r="Q6" s="156">
        <f t="shared" si="9"/>
        <v>1670454.5454545449</v>
      </c>
      <c r="R6" s="156">
        <f t="shared" si="6"/>
        <v>57.495040168163293</v>
      </c>
    </row>
    <row r="7" spans="1:18" ht="24" x14ac:dyDescent="0.3">
      <c r="A7" s="120">
        <v>4</v>
      </c>
      <c r="B7" s="2" t="s">
        <v>986</v>
      </c>
      <c r="C7" s="264">
        <v>37000000</v>
      </c>
      <c r="D7" s="264">
        <v>0</v>
      </c>
      <c r="E7" s="156">
        <v>0</v>
      </c>
      <c r="F7" s="156">
        <f t="shared" si="1"/>
        <v>277500</v>
      </c>
      <c r="G7" s="156">
        <f t="shared" si="2"/>
        <v>37277500</v>
      </c>
      <c r="H7" s="156">
        <f t="shared" si="3"/>
        <v>0</v>
      </c>
      <c r="I7" s="156">
        <f t="shared" si="4"/>
        <v>0</v>
      </c>
      <c r="J7" s="156">
        <f t="shared" si="5"/>
        <v>37277500</v>
      </c>
      <c r="K7" s="156">
        <v>4000000</v>
      </c>
      <c r="L7" s="156">
        <v>6300000</v>
      </c>
      <c r="M7" s="156">
        <v>0</v>
      </c>
      <c r="N7" s="156">
        <v>0</v>
      </c>
      <c r="O7" s="156">
        <f t="shared" si="7"/>
        <v>6300000</v>
      </c>
      <c r="P7" s="156">
        <f t="shared" si="8"/>
        <v>5727272.7272727266</v>
      </c>
      <c r="Q7" s="156">
        <f t="shared" si="9"/>
        <v>1727272.7272727266</v>
      </c>
      <c r="R7" s="156">
        <f t="shared" si="6"/>
        <v>21.581710526315799</v>
      </c>
    </row>
    <row r="8" spans="1:18" x14ac:dyDescent="0.3">
      <c r="A8" s="120">
        <v>5</v>
      </c>
      <c r="B8" s="263" t="s">
        <v>97</v>
      </c>
      <c r="C8" s="264">
        <v>152151951.134</v>
      </c>
      <c r="D8" s="265">
        <v>0</v>
      </c>
      <c r="E8" s="264">
        <v>0</v>
      </c>
      <c r="F8" s="156">
        <f t="shared" si="1"/>
        <v>1141139.633505</v>
      </c>
      <c r="G8" s="156">
        <f t="shared" si="2"/>
        <v>153293090.76750499</v>
      </c>
      <c r="H8" s="156">
        <f t="shared" si="3"/>
        <v>0</v>
      </c>
      <c r="I8" s="156">
        <f t="shared" si="4"/>
        <v>0</v>
      </c>
      <c r="J8" s="156">
        <f t="shared" si="5"/>
        <v>153293090.76750499</v>
      </c>
      <c r="K8" s="156">
        <v>4750000</v>
      </c>
      <c r="L8" s="264">
        <v>9600000</v>
      </c>
      <c r="M8" s="264">
        <v>0</v>
      </c>
      <c r="N8" s="264">
        <v>0</v>
      </c>
      <c r="O8" s="156">
        <f t="shared" si="7"/>
        <v>9600000</v>
      </c>
      <c r="P8" s="156">
        <f t="shared" si="8"/>
        <v>8727272.7272727266</v>
      </c>
      <c r="Q8" s="156">
        <f t="shared" si="9"/>
        <v>3977272.7272727266</v>
      </c>
      <c r="R8" s="156">
        <f t="shared" si="6"/>
        <v>38.542262821544121</v>
      </c>
    </row>
    <row r="9" spans="1:18" x14ac:dyDescent="0.3">
      <c r="A9" s="120">
        <v>6</v>
      </c>
      <c r="B9" s="263" t="s">
        <v>30</v>
      </c>
      <c r="C9" s="264">
        <v>95700000.000000015</v>
      </c>
      <c r="D9" s="264">
        <v>0</v>
      </c>
      <c r="E9" s="156">
        <v>0</v>
      </c>
      <c r="F9" s="156">
        <f t="shared" si="1"/>
        <v>717750.00000000012</v>
      </c>
      <c r="G9" s="156">
        <f t="shared" si="2"/>
        <v>96417750.000000015</v>
      </c>
      <c r="H9" s="156">
        <f t="shared" si="3"/>
        <v>0</v>
      </c>
      <c r="I9" s="156">
        <f t="shared" si="4"/>
        <v>0</v>
      </c>
      <c r="J9" s="156">
        <f t="shared" si="5"/>
        <v>96417750.000000015</v>
      </c>
      <c r="K9" s="156">
        <v>7000000</v>
      </c>
      <c r="L9" s="156">
        <v>10900000</v>
      </c>
      <c r="M9" s="156">
        <v>0</v>
      </c>
      <c r="N9" s="156">
        <v>0</v>
      </c>
      <c r="O9" s="156">
        <f t="shared" si="7"/>
        <v>10900000</v>
      </c>
      <c r="P9" s="156">
        <f t="shared" si="8"/>
        <v>9909090.9090909082</v>
      </c>
      <c r="Q9" s="156">
        <f t="shared" si="9"/>
        <v>2909090.9090909082</v>
      </c>
      <c r="R9" s="156">
        <f t="shared" si="6"/>
        <v>33.143601562500017</v>
      </c>
    </row>
    <row r="10" spans="1:18" x14ac:dyDescent="0.3">
      <c r="A10" s="120">
        <v>7</v>
      </c>
      <c r="B10" s="263" t="s">
        <v>257</v>
      </c>
      <c r="C10" s="264">
        <v>208947674.09999999</v>
      </c>
      <c r="D10" s="264">
        <v>0</v>
      </c>
      <c r="E10" s="156">
        <v>0</v>
      </c>
      <c r="F10" s="156">
        <f t="shared" si="1"/>
        <v>1567107.5557500001</v>
      </c>
      <c r="G10" s="156">
        <f t="shared" si="2"/>
        <v>210514781.65575001</v>
      </c>
      <c r="H10" s="156">
        <f t="shared" si="3"/>
        <v>0</v>
      </c>
      <c r="I10" s="156">
        <f t="shared" si="4"/>
        <v>58500000</v>
      </c>
      <c r="J10" s="156">
        <f t="shared" si="5"/>
        <v>269014781.65575004</v>
      </c>
      <c r="K10" s="156">
        <v>6000000</v>
      </c>
      <c r="L10" s="156">
        <f>10800000*80%</f>
        <v>8640000</v>
      </c>
      <c r="M10" s="156">
        <v>0</v>
      </c>
      <c r="N10" s="156">
        <v>6500000</v>
      </c>
      <c r="O10" s="156">
        <f t="shared" si="7"/>
        <v>15140000</v>
      </c>
      <c r="P10" s="156">
        <f t="shared" si="8"/>
        <v>13763636.363636363</v>
      </c>
      <c r="Q10" s="156">
        <f t="shared" si="9"/>
        <v>7763636.3636363633</v>
      </c>
      <c r="R10" s="156">
        <f t="shared" si="6"/>
        <v>34.650615904136423</v>
      </c>
    </row>
    <row r="11" spans="1:18" x14ac:dyDescent="0.3">
      <c r="A11" s="120">
        <v>8</v>
      </c>
      <c r="B11" s="263" t="s">
        <v>260</v>
      </c>
      <c r="C11" s="264">
        <v>106595511.00000001</v>
      </c>
      <c r="D11" s="264">
        <v>0</v>
      </c>
      <c r="E11" s="156">
        <v>0</v>
      </c>
      <c r="F11" s="156">
        <f t="shared" si="1"/>
        <v>799466.33250000014</v>
      </c>
      <c r="G11" s="156">
        <f t="shared" si="2"/>
        <v>107394977.33250001</v>
      </c>
      <c r="H11" s="156">
        <f t="shared" si="3"/>
        <v>61090909.090909086</v>
      </c>
      <c r="I11" s="156">
        <f t="shared" si="4"/>
        <v>0</v>
      </c>
      <c r="J11" s="156">
        <f t="shared" si="5"/>
        <v>168485886.4234091</v>
      </c>
      <c r="K11" s="156">
        <v>7000000</v>
      </c>
      <c r="L11" s="156">
        <f>7400000*80%</f>
        <v>5920000</v>
      </c>
      <c r="M11" s="156">
        <v>11200000</v>
      </c>
      <c r="N11" s="156">
        <v>0</v>
      </c>
      <c r="O11" s="156">
        <f t="shared" si="7"/>
        <v>17120000</v>
      </c>
      <c r="P11" s="156">
        <f t="shared" si="8"/>
        <v>15563636.363636363</v>
      </c>
      <c r="Q11" s="156">
        <f t="shared" si="9"/>
        <v>8563636.3636363633</v>
      </c>
      <c r="R11" s="156">
        <f t="shared" si="6"/>
        <v>19.674572724601912</v>
      </c>
    </row>
    <row r="12" spans="1:18" x14ac:dyDescent="0.3">
      <c r="A12" s="120">
        <v>9</v>
      </c>
      <c r="B12" s="263" t="s">
        <v>190</v>
      </c>
      <c r="C12" s="264">
        <v>182384107.40000001</v>
      </c>
      <c r="D12" s="264">
        <v>0</v>
      </c>
      <c r="E12" s="156">
        <v>0</v>
      </c>
      <c r="F12" s="156">
        <f t="shared" si="1"/>
        <v>1367880.8055</v>
      </c>
      <c r="G12" s="156">
        <f t="shared" si="2"/>
        <v>183751988.20550001</v>
      </c>
      <c r="H12" s="156">
        <f t="shared" si="3"/>
        <v>38100000</v>
      </c>
      <c r="I12" s="156">
        <f t="shared" si="4"/>
        <v>0</v>
      </c>
      <c r="J12" s="156">
        <f t="shared" si="5"/>
        <v>221851988.20550001</v>
      </c>
      <c r="K12" s="156">
        <v>6600000</v>
      </c>
      <c r="L12" s="156">
        <f>9900000*80%</f>
        <v>7920000</v>
      </c>
      <c r="M12" s="156">
        <v>6985000</v>
      </c>
      <c r="N12" s="156">
        <v>0</v>
      </c>
      <c r="O12" s="156">
        <f t="shared" si="7"/>
        <v>14905000</v>
      </c>
      <c r="P12" s="156">
        <f t="shared" si="8"/>
        <v>13549999.999999998</v>
      </c>
      <c r="Q12" s="156">
        <f t="shared" si="9"/>
        <v>6949999.9999999981</v>
      </c>
      <c r="R12" s="156">
        <f t="shared" si="6"/>
        <v>31.921149382086341</v>
      </c>
    </row>
    <row r="13" spans="1:18" x14ac:dyDescent="0.3">
      <c r="A13" s="120">
        <v>10</v>
      </c>
      <c r="B13" s="263" t="s">
        <v>423</v>
      </c>
      <c r="C13" s="264">
        <v>201637909.856765</v>
      </c>
      <c r="D13" s="264">
        <v>0</v>
      </c>
      <c r="E13" s="264">
        <v>0</v>
      </c>
      <c r="F13" s="156">
        <f t="shared" si="1"/>
        <v>1512284.3239257375</v>
      </c>
      <c r="G13" s="156">
        <f t="shared" si="2"/>
        <v>203150194.18069074</v>
      </c>
      <c r="H13" s="156">
        <f t="shared" si="3"/>
        <v>25541999.999999996</v>
      </c>
      <c r="I13" s="156">
        <f t="shared" si="4"/>
        <v>57600000</v>
      </c>
      <c r="J13" s="156">
        <f t="shared" si="5"/>
        <v>286292194.18069077</v>
      </c>
      <c r="K13" s="156">
        <v>6000000</v>
      </c>
      <c r="L13" s="264">
        <f>11500000*0.7</f>
        <v>8049999.9999999991</v>
      </c>
      <c r="M13" s="264">
        <v>4682700</v>
      </c>
      <c r="N13" s="264">
        <v>6400000</v>
      </c>
      <c r="O13" s="156">
        <f t="shared" si="7"/>
        <v>19132700</v>
      </c>
      <c r="P13" s="156">
        <f t="shared" si="8"/>
        <v>17393363.636363637</v>
      </c>
      <c r="Q13" s="156">
        <f t="shared" si="9"/>
        <v>11393363.636363637</v>
      </c>
      <c r="R13" s="156">
        <f t="shared" si="6"/>
        <v>25.12797829667668</v>
      </c>
    </row>
    <row r="14" spans="1:18" x14ac:dyDescent="0.3">
      <c r="A14" s="120">
        <v>11</v>
      </c>
      <c r="B14" s="263" t="s">
        <v>156</v>
      </c>
      <c r="C14" s="264">
        <v>142238995.09999999</v>
      </c>
      <c r="D14" s="264">
        <v>0</v>
      </c>
      <c r="E14" s="156">
        <v>0</v>
      </c>
      <c r="F14" s="156">
        <f t="shared" si="1"/>
        <v>1066792.46325</v>
      </c>
      <c r="G14" s="156">
        <f t="shared" si="2"/>
        <v>143305787.56325001</v>
      </c>
      <c r="H14" s="156">
        <f t="shared" si="3"/>
        <v>0</v>
      </c>
      <c r="I14" s="156">
        <f t="shared" si="4"/>
        <v>0</v>
      </c>
      <c r="J14" s="156">
        <f t="shared" si="5"/>
        <v>143305787.56325001</v>
      </c>
      <c r="K14" s="156">
        <v>6500000</v>
      </c>
      <c r="L14" s="156">
        <v>11500000</v>
      </c>
      <c r="M14" s="156">
        <v>0</v>
      </c>
      <c r="N14" s="156">
        <v>0</v>
      </c>
      <c r="O14" s="156">
        <f t="shared" si="7"/>
        <v>11500000</v>
      </c>
      <c r="P14" s="156">
        <f t="shared" si="8"/>
        <v>10454545.454545453</v>
      </c>
      <c r="Q14" s="156">
        <f t="shared" si="9"/>
        <v>3954545.4545454532</v>
      </c>
      <c r="R14" s="156">
        <f t="shared" si="6"/>
        <v>36.238245130936797</v>
      </c>
    </row>
    <row r="15" spans="1:18" x14ac:dyDescent="0.3">
      <c r="A15" s="120">
        <v>12</v>
      </c>
      <c r="B15" s="263" t="s">
        <v>185</v>
      </c>
      <c r="C15" s="264">
        <v>171960657</v>
      </c>
      <c r="D15" s="264">
        <v>0</v>
      </c>
      <c r="E15" s="156">
        <v>0</v>
      </c>
      <c r="F15" s="156">
        <f t="shared" si="1"/>
        <v>1289704.9275</v>
      </c>
      <c r="G15" s="156">
        <f t="shared" si="2"/>
        <v>173250361.92750001</v>
      </c>
      <c r="H15" s="156">
        <f t="shared" si="3"/>
        <v>0</v>
      </c>
      <c r="I15" s="156">
        <f t="shared" si="4"/>
        <v>0</v>
      </c>
      <c r="J15" s="156">
        <f t="shared" si="5"/>
        <v>173250361.92750001</v>
      </c>
      <c r="K15" s="156">
        <v>7000000</v>
      </c>
      <c r="L15" s="156">
        <f>11500000</f>
        <v>11500000</v>
      </c>
      <c r="M15" s="156">
        <v>0</v>
      </c>
      <c r="N15" s="156">
        <v>0</v>
      </c>
      <c r="O15" s="156">
        <f t="shared" si="7"/>
        <v>11500000</v>
      </c>
      <c r="P15" s="156">
        <f t="shared" si="8"/>
        <v>10454545.454545453</v>
      </c>
      <c r="Q15" s="156">
        <f t="shared" si="9"/>
        <v>3454545.4545454532</v>
      </c>
      <c r="R15" s="156">
        <f t="shared" si="6"/>
        <v>50.151420557960549</v>
      </c>
    </row>
    <row r="16" spans="1:18" x14ac:dyDescent="0.3">
      <c r="A16" s="120">
        <v>13</v>
      </c>
      <c r="B16" s="263" t="s">
        <v>229</v>
      </c>
      <c r="C16" s="264">
        <v>143378936</v>
      </c>
      <c r="D16" s="264">
        <v>0</v>
      </c>
      <c r="E16" s="156">
        <v>0</v>
      </c>
      <c r="F16" s="156">
        <f t="shared" si="1"/>
        <v>1075342.02</v>
      </c>
      <c r="G16" s="156">
        <f t="shared" si="2"/>
        <v>144454278.02000001</v>
      </c>
      <c r="H16" s="156">
        <f t="shared" si="3"/>
        <v>0</v>
      </c>
      <c r="I16" s="156">
        <f t="shared" si="4"/>
        <v>0</v>
      </c>
      <c r="J16" s="156">
        <f t="shared" si="5"/>
        <v>144454278.02000001</v>
      </c>
      <c r="K16" s="156">
        <v>7000000</v>
      </c>
      <c r="L16" s="156">
        <v>11700000</v>
      </c>
      <c r="M16" s="156">
        <v>0</v>
      </c>
      <c r="N16" s="156">
        <v>0</v>
      </c>
      <c r="O16" s="156">
        <f t="shared" si="7"/>
        <v>11700000</v>
      </c>
      <c r="P16" s="156">
        <f t="shared" si="8"/>
        <v>10636363.636363635</v>
      </c>
      <c r="Q16" s="156">
        <f t="shared" si="9"/>
        <v>3636363.6363636348</v>
      </c>
      <c r="R16" s="156">
        <f t="shared" si="6"/>
        <v>39.724926455500018</v>
      </c>
    </row>
    <row r="17" spans="1:18" x14ac:dyDescent="0.3">
      <c r="A17" s="120">
        <v>14</v>
      </c>
      <c r="B17" s="50" t="s">
        <v>290</v>
      </c>
      <c r="C17" s="264">
        <v>160823909.40000001</v>
      </c>
      <c r="D17" s="264">
        <v>0</v>
      </c>
      <c r="E17" s="156">
        <v>0</v>
      </c>
      <c r="F17" s="156">
        <f t="shared" si="1"/>
        <v>1206179.3204999999</v>
      </c>
      <c r="G17" s="156">
        <f t="shared" si="2"/>
        <v>162030088.72049999</v>
      </c>
      <c r="H17" s="156">
        <f t="shared" si="3"/>
        <v>0</v>
      </c>
      <c r="I17" s="156">
        <f t="shared" si="4"/>
        <v>0</v>
      </c>
      <c r="J17" s="156">
        <f t="shared" si="5"/>
        <v>162030088.72049999</v>
      </c>
      <c r="K17" s="156">
        <v>5300000</v>
      </c>
      <c r="L17" s="156">
        <v>8800000</v>
      </c>
      <c r="M17" s="156">
        <v>0</v>
      </c>
      <c r="N17" s="156">
        <v>0</v>
      </c>
      <c r="O17" s="156">
        <f t="shared" si="7"/>
        <v>8800000</v>
      </c>
      <c r="P17" s="156">
        <f t="shared" si="8"/>
        <v>7999999.9999999991</v>
      </c>
      <c r="Q17" s="156">
        <f t="shared" si="9"/>
        <v>2699999.9999999991</v>
      </c>
      <c r="R17" s="156">
        <f t="shared" si="6"/>
        <v>60.011143970555572</v>
      </c>
    </row>
    <row r="18" spans="1:18" x14ac:dyDescent="0.3">
      <c r="A18" s="120">
        <v>15</v>
      </c>
      <c r="B18" s="50" t="s">
        <v>316</v>
      </c>
      <c r="C18" s="264">
        <v>172113955.20000002</v>
      </c>
      <c r="D18" s="264">
        <v>0</v>
      </c>
      <c r="E18" s="156">
        <v>0</v>
      </c>
      <c r="F18" s="156">
        <f t="shared" si="1"/>
        <v>1290854.6640000001</v>
      </c>
      <c r="G18" s="156">
        <f t="shared" si="2"/>
        <v>173404809.86400002</v>
      </c>
      <c r="H18" s="156">
        <f t="shared" si="3"/>
        <v>32999999.999999996</v>
      </c>
      <c r="I18" s="156">
        <f t="shared" si="4"/>
        <v>0</v>
      </c>
      <c r="J18" s="156">
        <f t="shared" si="5"/>
        <v>206404809.86400002</v>
      </c>
      <c r="K18" s="156">
        <v>6000000</v>
      </c>
      <c r="L18" s="156">
        <f>9800000*80%</f>
        <v>7840000</v>
      </c>
      <c r="M18" s="156">
        <v>6050000</v>
      </c>
      <c r="N18" s="156">
        <v>0</v>
      </c>
      <c r="O18" s="156">
        <f t="shared" si="7"/>
        <v>13890000</v>
      </c>
      <c r="P18" s="156">
        <f t="shared" si="8"/>
        <v>12627272.727272727</v>
      </c>
      <c r="Q18" s="156">
        <f t="shared" si="9"/>
        <v>6627272.7272727266</v>
      </c>
      <c r="R18" s="156">
        <f t="shared" si="6"/>
        <v>31.144758690041158</v>
      </c>
    </row>
    <row r="19" spans="1:18" x14ac:dyDescent="0.3">
      <c r="A19" s="120">
        <v>16</v>
      </c>
      <c r="B19" s="50" t="s">
        <v>347</v>
      </c>
      <c r="C19" s="264">
        <v>39693130</v>
      </c>
      <c r="D19" s="264">
        <v>0</v>
      </c>
      <c r="E19" s="156">
        <v>0</v>
      </c>
      <c r="F19" s="156">
        <f t="shared" si="1"/>
        <v>297698.47499999998</v>
      </c>
      <c r="G19" s="156">
        <f t="shared" si="2"/>
        <v>39990828.475000001</v>
      </c>
      <c r="H19" s="156">
        <f t="shared" si="3"/>
        <v>0</v>
      </c>
      <c r="I19" s="156">
        <f t="shared" si="4"/>
        <v>0</v>
      </c>
      <c r="J19" s="156">
        <f t="shared" si="5"/>
        <v>39990828.475000001</v>
      </c>
      <c r="K19" s="156">
        <v>4000000</v>
      </c>
      <c r="L19" s="156">
        <v>5800000</v>
      </c>
      <c r="M19" s="156">
        <v>0</v>
      </c>
      <c r="N19" s="156">
        <v>0</v>
      </c>
      <c r="O19" s="156">
        <f t="shared" si="7"/>
        <v>5800000</v>
      </c>
      <c r="P19" s="156">
        <f t="shared" si="8"/>
        <v>5272727.2727272725</v>
      </c>
      <c r="Q19" s="156">
        <f t="shared" si="9"/>
        <v>1272727.2727272725</v>
      </c>
      <c r="R19" s="156">
        <f t="shared" si="6"/>
        <v>31.42136523035715</v>
      </c>
    </row>
    <row r="20" spans="1:18" ht="28.8" x14ac:dyDescent="0.3">
      <c r="A20" s="120">
        <v>17</v>
      </c>
      <c r="B20" s="50" t="s">
        <v>649</v>
      </c>
      <c r="C20" s="264">
        <f>94974000+36000000</f>
        <v>130974000</v>
      </c>
      <c r="D20" s="264">
        <v>0</v>
      </c>
      <c r="E20" s="156">
        <v>0</v>
      </c>
      <c r="F20" s="156">
        <f t="shared" si="1"/>
        <v>982305</v>
      </c>
      <c r="G20" s="156">
        <f t="shared" si="2"/>
        <v>131956305</v>
      </c>
      <c r="H20" s="156">
        <f t="shared" si="3"/>
        <v>59999999.999999993</v>
      </c>
      <c r="I20" s="156">
        <f t="shared" si="4"/>
        <v>0</v>
      </c>
      <c r="J20" s="156">
        <f t="shared" si="5"/>
        <v>191956305</v>
      </c>
      <c r="K20" s="156">
        <v>6500000</v>
      </c>
      <c r="L20" s="156">
        <v>8000000</v>
      </c>
      <c r="M20" s="156">
        <v>11000000</v>
      </c>
      <c r="N20" s="156">
        <v>0</v>
      </c>
      <c r="O20" s="156">
        <f t="shared" si="7"/>
        <v>19000000</v>
      </c>
      <c r="P20" s="156">
        <f t="shared" si="8"/>
        <v>17272727.27272727</v>
      </c>
      <c r="Q20" s="156">
        <f t="shared" si="9"/>
        <v>10772727.27272727</v>
      </c>
      <c r="R20" s="156">
        <f t="shared" si="6"/>
        <v>17.81872873417722</v>
      </c>
    </row>
    <row r="21" spans="1:18" x14ac:dyDescent="0.3">
      <c r="A21" s="120">
        <v>18</v>
      </c>
      <c r="B21" s="50" t="s">
        <v>196</v>
      </c>
      <c r="C21" s="264">
        <v>172211316</v>
      </c>
      <c r="D21" s="264">
        <v>0</v>
      </c>
      <c r="E21" s="156">
        <v>0</v>
      </c>
      <c r="F21" s="156">
        <f t="shared" si="1"/>
        <v>1291584.8699999999</v>
      </c>
      <c r="G21" s="156">
        <f t="shared" si="2"/>
        <v>173502900.87</v>
      </c>
      <c r="H21" s="156">
        <f t="shared" si="3"/>
        <v>30419999.999999996</v>
      </c>
      <c r="I21" s="156">
        <f t="shared" si="4"/>
        <v>0</v>
      </c>
      <c r="J21" s="156">
        <f t="shared" si="5"/>
        <v>203922900.87</v>
      </c>
      <c r="K21" s="156">
        <v>6000000</v>
      </c>
      <c r="L21" s="156">
        <f>10300000*0.8</f>
        <v>8240000</v>
      </c>
      <c r="M21" s="156">
        <v>5577000</v>
      </c>
      <c r="N21" s="156">
        <v>0</v>
      </c>
      <c r="O21" s="156">
        <f t="shared" si="7"/>
        <v>13817000</v>
      </c>
      <c r="P21" s="156">
        <f t="shared" si="8"/>
        <v>12560909.09090909</v>
      </c>
      <c r="Q21" s="156">
        <f t="shared" si="9"/>
        <v>6560909.0909090899</v>
      </c>
      <c r="R21" s="156">
        <f t="shared" si="6"/>
        <v>31.081500756131362</v>
      </c>
    </row>
    <row r="22" spans="1:18" x14ac:dyDescent="0.3">
      <c r="A22" s="120">
        <v>19</v>
      </c>
      <c r="B22" s="50" t="s">
        <v>106</v>
      </c>
      <c r="C22" s="264">
        <v>112039400.00000001</v>
      </c>
      <c r="D22" s="264">
        <v>0</v>
      </c>
      <c r="E22" s="156">
        <v>0</v>
      </c>
      <c r="F22" s="156">
        <f t="shared" si="1"/>
        <v>840295.50000000012</v>
      </c>
      <c r="G22" s="156">
        <f t="shared" si="2"/>
        <v>112879695.50000001</v>
      </c>
      <c r="H22" s="156">
        <f t="shared" si="3"/>
        <v>0</v>
      </c>
      <c r="I22" s="156">
        <f t="shared" si="4"/>
        <v>0</v>
      </c>
      <c r="J22" s="156">
        <f t="shared" si="5"/>
        <v>112879695.50000001</v>
      </c>
      <c r="K22" s="156">
        <v>6500000</v>
      </c>
      <c r="L22" s="156">
        <v>11200000</v>
      </c>
      <c r="M22" s="156">
        <v>0</v>
      </c>
      <c r="N22" s="156">
        <v>0</v>
      </c>
      <c r="O22" s="156">
        <f t="shared" si="7"/>
        <v>11200000</v>
      </c>
      <c r="P22" s="156">
        <f t="shared" si="8"/>
        <v>10181818.181818182</v>
      </c>
      <c r="Q22" s="156">
        <f t="shared" si="9"/>
        <v>3681818.1818181816</v>
      </c>
      <c r="R22" s="156">
        <f t="shared" si="6"/>
        <v>30.658682728395068</v>
      </c>
    </row>
    <row r="23" spans="1:18" x14ac:dyDescent="0.3">
      <c r="A23" s="120">
        <v>20</v>
      </c>
      <c r="B23" s="50" t="s">
        <v>408</v>
      </c>
      <c r="C23" s="264">
        <v>166879967</v>
      </c>
      <c r="D23" s="264">
        <v>0</v>
      </c>
      <c r="E23" s="156">
        <v>0</v>
      </c>
      <c r="F23" s="156">
        <f t="shared" si="1"/>
        <v>1251599.7524999999</v>
      </c>
      <c r="G23" s="156">
        <f t="shared" si="2"/>
        <v>168131566.7525</v>
      </c>
      <c r="H23" s="156">
        <f t="shared" si="3"/>
        <v>0</v>
      </c>
      <c r="I23" s="156">
        <f t="shared" si="4"/>
        <v>0</v>
      </c>
      <c r="J23" s="156">
        <f t="shared" si="5"/>
        <v>168131566.7525</v>
      </c>
      <c r="K23" s="156">
        <v>5750000</v>
      </c>
      <c r="L23" s="156">
        <v>10700000</v>
      </c>
      <c r="M23" s="156">
        <v>0</v>
      </c>
      <c r="N23" s="156">
        <v>0</v>
      </c>
      <c r="O23" s="156">
        <f t="shared" si="7"/>
        <v>10700000</v>
      </c>
      <c r="P23" s="156">
        <f t="shared" si="8"/>
        <v>9727272.7272727266</v>
      </c>
      <c r="Q23" s="156">
        <f t="shared" si="9"/>
        <v>3977272.7272727266</v>
      </c>
      <c r="R23" s="156">
        <f t="shared" si="6"/>
        <v>42.27307964062858</v>
      </c>
    </row>
    <row r="24" spans="1:18" x14ac:dyDescent="0.3">
      <c r="A24" s="120">
        <v>21</v>
      </c>
      <c r="B24" s="50" t="s">
        <v>1166</v>
      </c>
      <c r="C24" s="264">
        <v>373000000</v>
      </c>
      <c r="D24" s="264">
        <v>0</v>
      </c>
      <c r="E24" s="156">
        <v>0</v>
      </c>
      <c r="F24" s="156">
        <f t="shared" si="1"/>
        <v>2797500</v>
      </c>
      <c r="G24" s="156">
        <f t="shared" si="2"/>
        <v>375797500</v>
      </c>
      <c r="H24" s="156">
        <f t="shared" si="3"/>
        <v>42000000</v>
      </c>
      <c r="I24" s="156">
        <f t="shared" si="4"/>
        <v>66600000</v>
      </c>
      <c r="J24" s="156">
        <f t="shared" si="5"/>
        <v>484397500</v>
      </c>
      <c r="K24" s="266">
        <v>5000000</v>
      </c>
      <c r="L24" s="156">
        <f>12600000*0.7</f>
        <v>8820000</v>
      </c>
      <c r="M24" s="156">
        <v>7700000.0000000009</v>
      </c>
      <c r="N24" s="156">
        <v>7400000</v>
      </c>
      <c r="O24" s="156">
        <f t="shared" si="7"/>
        <v>23920000</v>
      </c>
      <c r="P24" s="156">
        <f t="shared" si="8"/>
        <v>21745454.545454543</v>
      </c>
      <c r="Q24" s="156">
        <f t="shared" si="9"/>
        <v>16745454.545454543</v>
      </c>
      <c r="R24" s="156">
        <f t="shared" si="6"/>
        <v>28.927103691639527</v>
      </c>
    </row>
    <row r="25" spans="1:18" x14ac:dyDescent="0.3">
      <c r="A25" s="120">
        <v>22</v>
      </c>
      <c r="B25" s="50" t="s">
        <v>428</v>
      </c>
      <c r="C25" s="264">
        <v>176000000</v>
      </c>
      <c r="D25" s="264">
        <v>0</v>
      </c>
      <c r="E25" s="156">
        <v>0</v>
      </c>
      <c r="F25" s="156">
        <f t="shared" si="1"/>
        <v>1320000</v>
      </c>
      <c r="G25" s="156">
        <f t="shared" si="2"/>
        <v>177320000</v>
      </c>
      <c r="H25" s="156">
        <f t="shared" si="3"/>
        <v>0</v>
      </c>
      <c r="I25" s="156">
        <f t="shared" si="4"/>
        <v>0</v>
      </c>
      <c r="J25" s="156">
        <f t="shared" si="5"/>
        <v>177320000</v>
      </c>
      <c r="K25" s="156">
        <v>7000000</v>
      </c>
      <c r="L25" s="156">
        <f>12600000</f>
        <v>12600000</v>
      </c>
      <c r="M25" s="156">
        <v>0</v>
      </c>
      <c r="N25" s="156">
        <v>0</v>
      </c>
      <c r="O25" s="156">
        <f t="shared" si="7"/>
        <v>12600000</v>
      </c>
      <c r="P25" s="156">
        <f t="shared" si="8"/>
        <v>11454545.454545453</v>
      </c>
      <c r="Q25" s="156">
        <f t="shared" si="9"/>
        <v>4454545.4545454532</v>
      </c>
      <c r="R25" s="156">
        <f t="shared" si="6"/>
        <v>39.806530612244913</v>
      </c>
    </row>
    <row r="26" spans="1:18" x14ac:dyDescent="0.3">
      <c r="A26" s="120">
        <v>23</v>
      </c>
      <c r="B26" s="50" t="s">
        <v>434</v>
      </c>
      <c r="C26" s="264">
        <v>43000000</v>
      </c>
      <c r="D26" s="264">
        <v>0</v>
      </c>
      <c r="E26" s="156">
        <v>0</v>
      </c>
      <c r="F26" s="156">
        <f t="shared" si="1"/>
        <v>322500</v>
      </c>
      <c r="G26" s="156">
        <f t="shared" si="2"/>
        <v>43322500</v>
      </c>
      <c r="H26" s="156">
        <f t="shared" si="3"/>
        <v>0</v>
      </c>
      <c r="I26" s="156">
        <f t="shared" si="4"/>
        <v>0</v>
      </c>
      <c r="J26" s="156">
        <f t="shared" si="5"/>
        <v>43322500</v>
      </c>
      <c r="K26" s="156">
        <v>3000000</v>
      </c>
      <c r="L26" s="156">
        <v>5700000</v>
      </c>
      <c r="M26" s="156">
        <v>0</v>
      </c>
      <c r="N26" s="156">
        <v>0</v>
      </c>
      <c r="O26" s="156">
        <f t="shared" si="7"/>
        <v>5700000</v>
      </c>
      <c r="P26" s="156">
        <f t="shared" si="8"/>
        <v>5181818.1818181816</v>
      </c>
      <c r="Q26" s="156">
        <f t="shared" si="9"/>
        <v>2181818.1818181816</v>
      </c>
      <c r="R26" s="156">
        <f t="shared" si="6"/>
        <v>19.856145833333336</v>
      </c>
    </row>
    <row r="27" spans="1:18" x14ac:dyDescent="0.3">
      <c r="A27" s="120">
        <v>24</v>
      </c>
      <c r="B27" s="50" t="s">
        <v>436</v>
      </c>
      <c r="C27" s="264">
        <v>171000000</v>
      </c>
      <c r="D27" s="264">
        <v>0</v>
      </c>
      <c r="E27" s="156">
        <v>0</v>
      </c>
      <c r="F27" s="156">
        <f t="shared" si="1"/>
        <v>1282500</v>
      </c>
      <c r="G27" s="156">
        <f t="shared" si="2"/>
        <v>172282500</v>
      </c>
      <c r="H27" s="156">
        <f t="shared" si="3"/>
        <v>0</v>
      </c>
      <c r="I27" s="156">
        <f t="shared" si="4"/>
        <v>63000000</v>
      </c>
      <c r="J27" s="156">
        <f t="shared" si="5"/>
        <v>235282500</v>
      </c>
      <c r="K27" s="156">
        <v>8500000</v>
      </c>
      <c r="L27" s="156">
        <f>12600000*0.8</f>
        <v>10080000</v>
      </c>
      <c r="M27" s="156">
        <v>0</v>
      </c>
      <c r="N27" s="156">
        <v>7000000</v>
      </c>
      <c r="O27" s="156">
        <f t="shared" si="7"/>
        <v>17080000</v>
      </c>
      <c r="P27" s="156">
        <f t="shared" si="8"/>
        <v>15527272.727272727</v>
      </c>
      <c r="Q27" s="156">
        <f t="shared" si="9"/>
        <v>7027272.7272727266</v>
      </c>
      <c r="R27" s="156">
        <f t="shared" si="6"/>
        <v>33.481338939197933</v>
      </c>
    </row>
    <row r="28" spans="1:18" x14ac:dyDescent="0.3">
      <c r="A28" s="120">
        <v>25</v>
      </c>
      <c r="B28" s="50" t="s">
        <v>343</v>
      </c>
      <c r="C28" s="264">
        <v>162000000</v>
      </c>
      <c r="D28" s="264">
        <v>0</v>
      </c>
      <c r="E28" s="156">
        <v>0</v>
      </c>
      <c r="F28" s="156">
        <f t="shared" si="1"/>
        <v>1215000</v>
      </c>
      <c r="G28" s="156">
        <f t="shared" si="2"/>
        <v>163215000</v>
      </c>
      <c r="H28" s="156">
        <f t="shared" si="3"/>
        <v>0</v>
      </c>
      <c r="I28" s="156">
        <f t="shared" si="4"/>
        <v>0</v>
      </c>
      <c r="J28" s="156">
        <f t="shared" si="5"/>
        <v>163215000</v>
      </c>
      <c r="K28" s="156">
        <v>5000000</v>
      </c>
      <c r="L28" s="156">
        <v>10000000</v>
      </c>
      <c r="M28" s="156">
        <v>0</v>
      </c>
      <c r="N28" s="156">
        <v>0</v>
      </c>
      <c r="O28" s="156">
        <f t="shared" si="7"/>
        <v>10000000</v>
      </c>
      <c r="P28" s="156">
        <f t="shared" si="8"/>
        <v>9090909.0909090899</v>
      </c>
      <c r="Q28" s="156">
        <f t="shared" si="9"/>
        <v>4090909.0909090899</v>
      </c>
      <c r="R28" s="156">
        <f t="shared" si="6"/>
        <v>39.897000000000013</v>
      </c>
    </row>
    <row r="29" spans="1:18" x14ac:dyDescent="0.3">
      <c r="A29" s="120">
        <v>26</v>
      </c>
      <c r="B29" s="50" t="s">
        <v>457</v>
      </c>
      <c r="C29" s="264">
        <v>118000000</v>
      </c>
      <c r="D29" s="264">
        <v>0</v>
      </c>
      <c r="E29" s="156">
        <v>0</v>
      </c>
      <c r="F29" s="156">
        <f t="shared" si="1"/>
        <v>885000</v>
      </c>
      <c r="G29" s="156">
        <f t="shared" si="2"/>
        <v>118885000</v>
      </c>
      <c r="H29" s="156">
        <f t="shared" si="3"/>
        <v>0</v>
      </c>
      <c r="I29" s="156">
        <f t="shared" si="4"/>
        <v>0</v>
      </c>
      <c r="J29" s="156">
        <f t="shared" si="5"/>
        <v>118885000</v>
      </c>
      <c r="K29" s="156">
        <v>7000000</v>
      </c>
      <c r="L29" s="156">
        <v>12000000</v>
      </c>
      <c r="M29" s="156">
        <v>0</v>
      </c>
      <c r="N29" s="156">
        <v>0</v>
      </c>
      <c r="O29" s="156">
        <f t="shared" si="7"/>
        <v>12000000</v>
      </c>
      <c r="P29" s="156">
        <f t="shared" si="8"/>
        <v>10909090.909090908</v>
      </c>
      <c r="Q29" s="156">
        <f t="shared" si="9"/>
        <v>3909090.9090909082</v>
      </c>
      <c r="R29" s="156">
        <f t="shared" si="6"/>
        <v>30.412441860465123</v>
      </c>
    </row>
    <row r="30" spans="1:18" x14ac:dyDescent="0.3">
      <c r="A30" s="120">
        <v>27</v>
      </c>
      <c r="B30" s="50" t="s">
        <v>463</v>
      </c>
      <c r="C30" s="264">
        <v>85000000</v>
      </c>
      <c r="D30" s="264">
        <v>0</v>
      </c>
      <c r="E30" s="156">
        <v>0</v>
      </c>
      <c r="F30" s="156">
        <f t="shared" si="1"/>
        <v>637500</v>
      </c>
      <c r="G30" s="156">
        <f t="shared" si="2"/>
        <v>85637500</v>
      </c>
      <c r="H30" s="156">
        <f t="shared" si="3"/>
        <v>0</v>
      </c>
      <c r="I30" s="156">
        <f t="shared" si="4"/>
        <v>61380000.000000007</v>
      </c>
      <c r="J30" s="156">
        <f t="shared" si="5"/>
        <v>147017500</v>
      </c>
      <c r="K30" s="156">
        <v>5000000</v>
      </c>
      <c r="L30" s="156">
        <v>7900000</v>
      </c>
      <c r="M30" s="156">
        <v>0</v>
      </c>
      <c r="N30" s="267">
        <v>6820000.0000000009</v>
      </c>
      <c r="O30" s="156">
        <f t="shared" si="7"/>
        <v>14720000</v>
      </c>
      <c r="P30" s="156">
        <f t="shared" si="8"/>
        <v>13381818.181818182</v>
      </c>
      <c r="Q30" s="156">
        <f t="shared" si="9"/>
        <v>8381818.1818181816</v>
      </c>
      <c r="R30" s="156">
        <f t="shared" si="6"/>
        <v>17.540048806941432</v>
      </c>
    </row>
    <row r="31" spans="1:18" x14ac:dyDescent="0.3">
      <c r="A31" s="120">
        <v>28</v>
      </c>
      <c r="B31" s="50" t="s">
        <v>469</v>
      </c>
      <c r="C31" s="264">
        <v>156000000</v>
      </c>
      <c r="D31" s="264">
        <v>0</v>
      </c>
      <c r="E31" s="156">
        <v>0</v>
      </c>
      <c r="F31" s="156">
        <f t="shared" si="1"/>
        <v>1170000</v>
      </c>
      <c r="G31" s="156">
        <f t="shared" si="2"/>
        <v>157170000</v>
      </c>
      <c r="H31" s="156">
        <f t="shared" si="3"/>
        <v>0</v>
      </c>
      <c r="I31" s="156">
        <f t="shared" si="4"/>
        <v>0</v>
      </c>
      <c r="J31" s="156">
        <f t="shared" si="5"/>
        <v>157170000</v>
      </c>
      <c r="K31" s="156">
        <v>5000000</v>
      </c>
      <c r="L31" s="156">
        <v>10500000</v>
      </c>
      <c r="M31" s="156">
        <v>0</v>
      </c>
      <c r="N31" s="156">
        <v>0</v>
      </c>
      <c r="O31" s="156">
        <f t="shared" si="7"/>
        <v>10500000</v>
      </c>
      <c r="P31" s="156">
        <f t="shared" si="8"/>
        <v>9545454.5454545449</v>
      </c>
      <c r="Q31" s="156">
        <f t="shared" si="9"/>
        <v>4545454.5454545449</v>
      </c>
      <c r="R31" s="156">
        <f t="shared" si="6"/>
        <v>34.577400000000004</v>
      </c>
    </row>
    <row r="32" spans="1:18" x14ac:dyDescent="0.3">
      <c r="A32" s="120">
        <v>29</v>
      </c>
      <c r="B32" s="50" t="s">
        <v>475</v>
      </c>
      <c r="C32" s="264">
        <v>163000000</v>
      </c>
      <c r="D32" s="264">
        <v>0</v>
      </c>
      <c r="E32" s="156">
        <v>0</v>
      </c>
      <c r="F32" s="156">
        <f t="shared" si="1"/>
        <v>1222500</v>
      </c>
      <c r="G32" s="156">
        <f t="shared" si="2"/>
        <v>164222500</v>
      </c>
      <c r="H32" s="156">
        <f t="shared" si="3"/>
        <v>0</v>
      </c>
      <c r="I32" s="156">
        <f t="shared" si="4"/>
        <v>0</v>
      </c>
      <c r="J32" s="156">
        <f t="shared" si="5"/>
        <v>164222500</v>
      </c>
      <c r="K32" s="156">
        <v>5500000</v>
      </c>
      <c r="L32" s="156">
        <v>11000000</v>
      </c>
      <c r="M32" s="156">
        <v>0</v>
      </c>
      <c r="N32" s="156">
        <v>0</v>
      </c>
      <c r="O32" s="156">
        <f t="shared" si="7"/>
        <v>11000000</v>
      </c>
      <c r="P32" s="156">
        <f t="shared" si="8"/>
        <v>10000000</v>
      </c>
      <c r="Q32" s="156">
        <f t="shared" si="9"/>
        <v>4500000</v>
      </c>
      <c r="R32" s="156">
        <f t="shared" si="6"/>
        <v>36.49388888888889</v>
      </c>
    </row>
    <row r="33" spans="1:18" x14ac:dyDescent="0.3">
      <c r="A33" s="120">
        <v>30</v>
      </c>
      <c r="B33" s="50" t="s">
        <v>142</v>
      </c>
      <c r="C33" s="264">
        <v>93000000</v>
      </c>
      <c r="D33" s="264">
        <v>0</v>
      </c>
      <c r="E33" s="156">
        <v>0</v>
      </c>
      <c r="F33" s="156">
        <f t="shared" si="1"/>
        <v>697500</v>
      </c>
      <c r="G33" s="156">
        <f t="shared" si="2"/>
        <v>93697500</v>
      </c>
      <c r="H33" s="156">
        <f t="shared" si="3"/>
        <v>0</v>
      </c>
      <c r="I33" s="156">
        <f t="shared" si="4"/>
        <v>66600000</v>
      </c>
      <c r="J33" s="156">
        <f t="shared" si="5"/>
        <v>160297500</v>
      </c>
      <c r="K33" s="156">
        <v>7700000</v>
      </c>
      <c r="L33" s="156">
        <f>11400000*0.8</f>
        <v>9120000</v>
      </c>
      <c r="M33" s="156">
        <v>0</v>
      </c>
      <c r="N33" s="156">
        <v>7400000</v>
      </c>
      <c r="O33" s="156">
        <f t="shared" si="7"/>
        <v>16520000</v>
      </c>
      <c r="P33" s="156">
        <f t="shared" si="8"/>
        <v>15018181.818181816</v>
      </c>
      <c r="Q33" s="156">
        <f t="shared" si="9"/>
        <v>7318181.8181818165</v>
      </c>
      <c r="R33" s="156">
        <f t="shared" si="6"/>
        <v>21.904006211180128</v>
      </c>
    </row>
    <row r="34" spans="1:18" x14ac:dyDescent="0.3">
      <c r="A34" s="120">
        <v>31</v>
      </c>
      <c r="B34" s="50" t="s">
        <v>486</v>
      </c>
      <c r="C34" s="264">
        <v>190000000</v>
      </c>
      <c r="D34" s="264">
        <v>0</v>
      </c>
      <c r="E34" s="156">
        <v>0</v>
      </c>
      <c r="F34" s="156">
        <f t="shared" si="1"/>
        <v>1425000</v>
      </c>
      <c r="G34" s="156">
        <f t="shared" si="2"/>
        <v>191425000</v>
      </c>
      <c r="H34" s="156">
        <f t="shared" si="3"/>
        <v>0</v>
      </c>
      <c r="I34" s="156">
        <f t="shared" si="4"/>
        <v>0</v>
      </c>
      <c r="J34" s="156">
        <f t="shared" si="5"/>
        <v>191425000</v>
      </c>
      <c r="K34" s="156">
        <v>6000000</v>
      </c>
      <c r="L34" s="156">
        <v>12100000</v>
      </c>
      <c r="M34" s="156">
        <v>0</v>
      </c>
      <c r="N34" s="156">
        <v>0</v>
      </c>
      <c r="O34" s="156">
        <f t="shared" si="7"/>
        <v>12100000</v>
      </c>
      <c r="P34" s="156">
        <f t="shared" si="8"/>
        <v>11000000</v>
      </c>
      <c r="Q34" s="156">
        <f t="shared" si="9"/>
        <v>5000000</v>
      </c>
      <c r="R34" s="156">
        <f t="shared" si="6"/>
        <v>38.284999999999997</v>
      </c>
    </row>
    <row r="35" spans="1:18" x14ac:dyDescent="0.3">
      <c r="A35" s="120">
        <v>32</v>
      </c>
      <c r="B35" s="50" t="s">
        <v>501</v>
      </c>
      <c r="C35" s="264">
        <v>89000000</v>
      </c>
      <c r="D35" s="264">
        <v>0</v>
      </c>
      <c r="E35" s="156">
        <v>0</v>
      </c>
      <c r="F35" s="156">
        <f t="shared" si="1"/>
        <v>667500</v>
      </c>
      <c r="G35" s="156">
        <f t="shared" si="2"/>
        <v>89667500</v>
      </c>
      <c r="H35" s="156">
        <f t="shared" si="3"/>
        <v>0</v>
      </c>
      <c r="I35" s="156">
        <f t="shared" si="4"/>
        <v>0</v>
      </c>
      <c r="J35" s="156">
        <f t="shared" si="5"/>
        <v>89667500</v>
      </c>
      <c r="K35" s="156">
        <v>7000000</v>
      </c>
      <c r="L35" s="156">
        <v>11900000</v>
      </c>
      <c r="M35" s="156">
        <v>0</v>
      </c>
      <c r="N35" s="156">
        <v>0</v>
      </c>
      <c r="O35" s="156">
        <f t="shared" si="7"/>
        <v>11900000</v>
      </c>
      <c r="P35" s="156">
        <f t="shared" si="8"/>
        <v>10818181.818181816</v>
      </c>
      <c r="Q35" s="156">
        <f t="shared" si="9"/>
        <v>3818181.8181818165</v>
      </c>
      <c r="R35" s="156">
        <f t="shared" si="6"/>
        <v>23.484345238095248</v>
      </c>
    </row>
    <row r="36" spans="1:18" x14ac:dyDescent="0.3">
      <c r="A36" s="120">
        <v>33</v>
      </c>
      <c r="B36" s="50" t="s">
        <v>500</v>
      </c>
      <c r="C36" s="264">
        <v>118000000</v>
      </c>
      <c r="D36" s="264">
        <v>0</v>
      </c>
      <c r="E36" s="156">
        <v>0</v>
      </c>
      <c r="F36" s="156">
        <f t="shared" si="1"/>
        <v>885000</v>
      </c>
      <c r="G36" s="156">
        <f t="shared" si="2"/>
        <v>118885000</v>
      </c>
      <c r="H36" s="156">
        <f t="shared" si="3"/>
        <v>0</v>
      </c>
      <c r="I36" s="156">
        <f t="shared" si="4"/>
        <v>0</v>
      </c>
      <c r="J36" s="156">
        <f t="shared" si="5"/>
        <v>118885000</v>
      </c>
      <c r="K36" s="156">
        <v>8000000</v>
      </c>
      <c r="L36" s="156">
        <v>12600000</v>
      </c>
      <c r="M36" s="156">
        <v>0</v>
      </c>
      <c r="N36" s="156">
        <v>0</v>
      </c>
      <c r="O36" s="156">
        <f t="shared" si="7"/>
        <v>12600000</v>
      </c>
      <c r="P36" s="156">
        <f t="shared" si="8"/>
        <v>11454545.454545453</v>
      </c>
      <c r="Q36" s="156">
        <f t="shared" si="9"/>
        <v>3454545.4545454532</v>
      </c>
      <c r="R36" s="156">
        <f t="shared" si="6"/>
        <v>34.414078947368438</v>
      </c>
    </row>
    <row r="37" spans="1:18" x14ac:dyDescent="0.3">
      <c r="A37" s="120">
        <v>34</v>
      </c>
      <c r="B37" s="50" t="s">
        <v>492</v>
      </c>
      <c r="C37" s="264">
        <v>57000000</v>
      </c>
      <c r="D37" s="264">
        <v>0</v>
      </c>
      <c r="E37" s="156">
        <v>0</v>
      </c>
      <c r="F37" s="156">
        <f t="shared" si="1"/>
        <v>427500</v>
      </c>
      <c r="G37" s="156">
        <f t="shared" si="2"/>
        <v>57427500</v>
      </c>
      <c r="H37" s="156">
        <f t="shared" si="3"/>
        <v>0</v>
      </c>
      <c r="I37" s="156">
        <f t="shared" si="4"/>
        <v>58500000</v>
      </c>
      <c r="J37" s="156">
        <f t="shared" si="5"/>
        <v>115927500</v>
      </c>
      <c r="K37" s="156">
        <v>7000000</v>
      </c>
      <c r="L37" s="156">
        <f>8000000*80%</f>
        <v>6400000</v>
      </c>
      <c r="M37" s="156">
        <v>0</v>
      </c>
      <c r="N37" s="156">
        <v>6500000</v>
      </c>
      <c r="O37" s="156">
        <f t="shared" si="7"/>
        <v>12900000</v>
      </c>
      <c r="P37" s="156">
        <f t="shared" si="8"/>
        <v>11727272.727272727</v>
      </c>
      <c r="Q37" s="156">
        <f t="shared" si="9"/>
        <v>4727272.7272727266</v>
      </c>
      <c r="R37" s="156">
        <f t="shared" si="6"/>
        <v>24.523125000000004</v>
      </c>
    </row>
    <row r="38" spans="1:18" x14ac:dyDescent="0.3">
      <c r="A38" s="120">
        <v>35</v>
      </c>
      <c r="B38" s="50" t="s">
        <v>549</v>
      </c>
      <c r="C38" s="264">
        <v>126580850</v>
      </c>
      <c r="D38" s="264">
        <v>0</v>
      </c>
      <c r="E38" s="156">
        <v>0</v>
      </c>
      <c r="F38" s="156">
        <f t="shared" si="1"/>
        <v>949356.375</v>
      </c>
      <c r="G38" s="156">
        <f t="shared" si="2"/>
        <v>127530206.375</v>
      </c>
      <c r="H38" s="156">
        <f t="shared" si="3"/>
        <v>0</v>
      </c>
      <c r="I38" s="156">
        <f t="shared" si="4"/>
        <v>0</v>
      </c>
      <c r="J38" s="156">
        <f t="shared" si="5"/>
        <v>127530206.375</v>
      </c>
      <c r="K38" s="156">
        <v>6500000</v>
      </c>
      <c r="L38" s="156">
        <v>11400000</v>
      </c>
      <c r="M38" s="156">
        <v>0</v>
      </c>
      <c r="N38" s="156">
        <v>0</v>
      </c>
      <c r="O38" s="156">
        <f t="shared" si="7"/>
        <v>11400000</v>
      </c>
      <c r="P38" s="156">
        <f t="shared" si="8"/>
        <v>10363636.363636363</v>
      </c>
      <c r="Q38" s="156">
        <f t="shared" si="9"/>
        <v>3863636.3636363633</v>
      </c>
      <c r="R38" s="156">
        <f t="shared" si="6"/>
        <v>33.00781812058824</v>
      </c>
    </row>
    <row r="39" spans="1:18" x14ac:dyDescent="0.3">
      <c r="A39" s="120">
        <v>36</v>
      </c>
      <c r="B39" s="50" t="s">
        <v>558</v>
      </c>
      <c r="C39" s="264">
        <v>149839228</v>
      </c>
      <c r="D39" s="264">
        <v>0</v>
      </c>
      <c r="E39" s="156">
        <v>0</v>
      </c>
      <c r="F39" s="156">
        <f t="shared" si="1"/>
        <v>1123794.21</v>
      </c>
      <c r="G39" s="156">
        <f t="shared" si="2"/>
        <v>150963022.21000001</v>
      </c>
      <c r="H39" s="156">
        <f t="shared" si="3"/>
        <v>0</v>
      </c>
      <c r="I39" s="156">
        <f t="shared" si="4"/>
        <v>0</v>
      </c>
      <c r="J39" s="156">
        <f t="shared" si="5"/>
        <v>150963022.21000001</v>
      </c>
      <c r="K39" s="156">
        <v>6000000</v>
      </c>
      <c r="L39" s="156">
        <v>11000000</v>
      </c>
      <c r="M39" s="156">
        <v>0</v>
      </c>
      <c r="N39" s="156">
        <v>0</v>
      </c>
      <c r="O39" s="156">
        <f t="shared" si="7"/>
        <v>11000000</v>
      </c>
      <c r="P39" s="156">
        <f t="shared" si="8"/>
        <v>10000000</v>
      </c>
      <c r="Q39" s="156">
        <f t="shared" si="9"/>
        <v>4000000</v>
      </c>
      <c r="R39" s="156">
        <f t="shared" si="6"/>
        <v>37.740755552500005</v>
      </c>
    </row>
    <row r="40" spans="1:18" x14ac:dyDescent="0.3">
      <c r="A40" s="120">
        <v>37</v>
      </c>
      <c r="B40" s="50" t="s">
        <v>577</v>
      </c>
      <c r="C40" s="264">
        <v>51589494</v>
      </c>
      <c r="D40" s="264">
        <v>0</v>
      </c>
      <c r="E40" s="156">
        <v>0</v>
      </c>
      <c r="F40" s="156">
        <f t="shared" si="1"/>
        <v>386921.2049999999</v>
      </c>
      <c r="G40" s="156">
        <f t="shared" si="2"/>
        <v>51976415.204999998</v>
      </c>
      <c r="H40" s="156">
        <f t="shared" si="3"/>
        <v>0</v>
      </c>
      <c r="I40" s="156">
        <f t="shared" si="4"/>
        <v>0</v>
      </c>
      <c r="J40" s="156">
        <f t="shared" si="5"/>
        <v>51976415.204999998</v>
      </c>
      <c r="K40" s="156">
        <v>6000000</v>
      </c>
      <c r="L40" s="156">
        <v>11200000</v>
      </c>
      <c r="M40" s="156">
        <v>0</v>
      </c>
      <c r="N40" s="156">
        <v>0</v>
      </c>
      <c r="O40" s="156">
        <f t="shared" si="7"/>
        <v>11200000</v>
      </c>
      <c r="P40" s="156">
        <f t="shared" si="8"/>
        <v>10181818.181818182</v>
      </c>
      <c r="Q40" s="156">
        <f t="shared" si="9"/>
        <v>4181818.1818181816</v>
      </c>
      <c r="R40" s="156">
        <f t="shared" si="6"/>
        <v>12.429142766413044</v>
      </c>
    </row>
    <row r="41" spans="1:18" x14ac:dyDescent="0.3">
      <c r="A41" s="120">
        <v>38</v>
      </c>
      <c r="B41" s="50" t="s">
        <v>578</v>
      </c>
      <c r="C41" s="264">
        <v>35720080</v>
      </c>
      <c r="D41" s="264">
        <v>0</v>
      </c>
      <c r="E41" s="156">
        <v>0</v>
      </c>
      <c r="F41" s="156">
        <f t="shared" si="1"/>
        <v>267900.59999999998</v>
      </c>
      <c r="G41" s="156">
        <f t="shared" si="2"/>
        <v>35987980.600000001</v>
      </c>
      <c r="H41" s="156">
        <f t="shared" si="3"/>
        <v>0</v>
      </c>
      <c r="I41" s="156">
        <f t="shared" si="4"/>
        <v>0</v>
      </c>
      <c r="J41" s="156">
        <f t="shared" si="5"/>
        <v>35987980.600000001</v>
      </c>
      <c r="K41" s="156">
        <v>4000000</v>
      </c>
      <c r="L41" s="156">
        <v>7000000</v>
      </c>
      <c r="M41" s="156">
        <v>0</v>
      </c>
      <c r="N41" s="156">
        <v>0</v>
      </c>
      <c r="O41" s="156">
        <f t="shared" si="7"/>
        <v>7000000</v>
      </c>
      <c r="P41" s="156">
        <f t="shared" si="8"/>
        <v>6363636.3636363633</v>
      </c>
      <c r="Q41" s="156">
        <f t="shared" si="9"/>
        <v>2363636.3636363633</v>
      </c>
      <c r="R41" s="156">
        <f t="shared" si="6"/>
        <v>15.225684100000002</v>
      </c>
    </row>
    <row r="42" spans="1:18" x14ac:dyDescent="0.3">
      <c r="A42" s="120">
        <v>39</v>
      </c>
      <c r="B42" s="50" t="s">
        <v>579</v>
      </c>
      <c r="C42" s="264">
        <v>36671580</v>
      </c>
      <c r="D42" s="264">
        <v>0</v>
      </c>
      <c r="E42" s="156">
        <v>0</v>
      </c>
      <c r="F42" s="156">
        <f t="shared" si="1"/>
        <v>275036.84999999998</v>
      </c>
      <c r="G42" s="156">
        <f t="shared" si="2"/>
        <v>36946616.850000001</v>
      </c>
      <c r="H42" s="156">
        <f t="shared" si="3"/>
        <v>0</v>
      </c>
      <c r="I42" s="156">
        <f t="shared" si="4"/>
        <v>0</v>
      </c>
      <c r="J42" s="156">
        <f t="shared" si="5"/>
        <v>36946616.850000001</v>
      </c>
      <c r="K42" s="156">
        <v>4000000</v>
      </c>
      <c r="L42" s="156">
        <v>7000000</v>
      </c>
      <c r="M42" s="156">
        <v>0</v>
      </c>
      <c r="N42" s="156">
        <v>0</v>
      </c>
      <c r="O42" s="156">
        <f t="shared" si="7"/>
        <v>7000000</v>
      </c>
      <c r="P42" s="156">
        <f t="shared" si="8"/>
        <v>6363636.3636363633</v>
      </c>
      <c r="Q42" s="156">
        <f t="shared" si="9"/>
        <v>2363636.3636363633</v>
      </c>
      <c r="R42" s="156">
        <f t="shared" si="6"/>
        <v>15.631260975000004</v>
      </c>
    </row>
    <row r="43" spans="1:18" x14ac:dyDescent="0.3">
      <c r="A43" s="120">
        <v>40</v>
      </c>
      <c r="B43" s="50" t="s">
        <v>580</v>
      </c>
      <c r="C43" s="264">
        <v>87881750</v>
      </c>
      <c r="D43" s="264">
        <v>0</v>
      </c>
      <c r="E43" s="156">
        <v>0</v>
      </c>
      <c r="F43" s="156">
        <f t="shared" si="1"/>
        <v>659113.125</v>
      </c>
      <c r="G43" s="156">
        <f t="shared" si="2"/>
        <v>88540863.125</v>
      </c>
      <c r="H43" s="156">
        <f t="shared" si="3"/>
        <v>0</v>
      </c>
      <c r="I43" s="156">
        <f t="shared" si="4"/>
        <v>0</v>
      </c>
      <c r="J43" s="156">
        <f t="shared" si="5"/>
        <v>88540863.125</v>
      </c>
      <c r="K43" s="156">
        <v>6500000</v>
      </c>
      <c r="L43" s="156">
        <v>10100000</v>
      </c>
      <c r="M43" s="156">
        <v>0</v>
      </c>
      <c r="N43" s="156">
        <v>0</v>
      </c>
      <c r="O43" s="156">
        <f t="shared" si="7"/>
        <v>10100000</v>
      </c>
      <c r="P43" s="156">
        <f t="shared" si="8"/>
        <v>9181818.1818181816</v>
      </c>
      <c r="Q43" s="156">
        <f t="shared" si="9"/>
        <v>2681818.1818181816</v>
      </c>
      <c r="R43" s="156">
        <f t="shared" si="6"/>
        <v>33.015237097457629</v>
      </c>
    </row>
    <row r="44" spans="1:18" x14ac:dyDescent="0.3">
      <c r="A44" s="120">
        <v>41</v>
      </c>
      <c r="B44" s="50" t="s">
        <v>576</v>
      </c>
      <c r="C44" s="264">
        <v>39775776</v>
      </c>
      <c r="D44" s="264">
        <v>0</v>
      </c>
      <c r="E44" s="156">
        <v>0</v>
      </c>
      <c r="F44" s="156">
        <f t="shared" si="1"/>
        <v>298318.32</v>
      </c>
      <c r="G44" s="156">
        <f t="shared" si="2"/>
        <v>40074094.32</v>
      </c>
      <c r="H44" s="156">
        <f t="shared" si="3"/>
        <v>0</v>
      </c>
      <c r="I44" s="156">
        <f t="shared" si="4"/>
        <v>0</v>
      </c>
      <c r="J44" s="156">
        <f t="shared" si="5"/>
        <v>40074094.32</v>
      </c>
      <c r="K44" s="156">
        <v>4300000</v>
      </c>
      <c r="L44" s="156">
        <v>6400000</v>
      </c>
      <c r="M44" s="156">
        <v>0</v>
      </c>
      <c r="N44" s="156">
        <v>0</v>
      </c>
      <c r="O44" s="156">
        <f t="shared" si="7"/>
        <v>6400000</v>
      </c>
      <c r="P44" s="156">
        <f t="shared" si="8"/>
        <v>5818181.8181818174</v>
      </c>
      <c r="Q44" s="156">
        <f t="shared" si="9"/>
        <v>1518181.8181818174</v>
      </c>
      <c r="R44" s="156">
        <f t="shared" si="6"/>
        <v>26.396110031137738</v>
      </c>
    </row>
    <row r="45" spans="1:18" x14ac:dyDescent="0.3">
      <c r="A45" s="120">
        <v>42</v>
      </c>
      <c r="B45" s="50" t="s">
        <v>622</v>
      </c>
      <c r="C45" s="264">
        <v>70388694</v>
      </c>
      <c r="D45" s="264">
        <v>0</v>
      </c>
      <c r="E45" s="156">
        <v>0</v>
      </c>
      <c r="F45" s="156">
        <f t="shared" si="1"/>
        <v>527915.20499999996</v>
      </c>
      <c r="G45" s="156">
        <f t="shared" si="2"/>
        <v>70916609.204999998</v>
      </c>
      <c r="H45" s="156">
        <f t="shared" si="3"/>
        <v>0</v>
      </c>
      <c r="I45" s="156">
        <f t="shared" si="4"/>
        <v>0</v>
      </c>
      <c r="J45" s="156">
        <f t="shared" si="5"/>
        <v>70916609.204999998</v>
      </c>
      <c r="K45" s="156">
        <v>6500000</v>
      </c>
      <c r="L45" s="156">
        <v>10200000</v>
      </c>
      <c r="M45" s="156">
        <v>0</v>
      </c>
      <c r="N45" s="156">
        <v>0</v>
      </c>
      <c r="O45" s="156">
        <f t="shared" si="7"/>
        <v>10200000</v>
      </c>
      <c r="P45" s="156">
        <f t="shared" si="8"/>
        <v>9272727.2727272715</v>
      </c>
      <c r="Q45" s="156">
        <f t="shared" si="9"/>
        <v>2772727.2727272715</v>
      </c>
      <c r="R45" s="156">
        <f t="shared" si="6"/>
        <v>25.576482008360667</v>
      </c>
    </row>
    <row r="46" spans="1:18" x14ac:dyDescent="0.3">
      <c r="A46" s="120">
        <v>43</v>
      </c>
      <c r="B46" s="50" t="s">
        <v>627</v>
      </c>
      <c r="C46" s="264">
        <v>118127844</v>
      </c>
      <c r="D46" s="264">
        <v>0</v>
      </c>
      <c r="E46" s="156">
        <v>0</v>
      </c>
      <c r="F46" s="156">
        <f t="shared" si="1"/>
        <v>885958.83</v>
      </c>
      <c r="G46" s="156">
        <f t="shared" si="2"/>
        <v>119013802.83</v>
      </c>
      <c r="H46" s="156">
        <f t="shared" si="3"/>
        <v>0</v>
      </c>
      <c r="I46" s="156">
        <f t="shared" si="4"/>
        <v>0</v>
      </c>
      <c r="J46" s="156">
        <f t="shared" si="5"/>
        <v>119013802.83</v>
      </c>
      <c r="K46" s="156">
        <v>6000000</v>
      </c>
      <c r="L46" s="156">
        <v>11300000</v>
      </c>
      <c r="M46" s="156">
        <v>0</v>
      </c>
      <c r="N46" s="156">
        <v>0</v>
      </c>
      <c r="O46" s="156">
        <f t="shared" si="7"/>
        <v>11300000</v>
      </c>
      <c r="P46" s="156">
        <f t="shared" si="8"/>
        <v>10272727.272727272</v>
      </c>
      <c r="Q46" s="156">
        <f t="shared" si="9"/>
        <v>4272727.2727272715</v>
      </c>
      <c r="R46" s="156">
        <f t="shared" si="6"/>
        <v>27.85429427936171</v>
      </c>
    </row>
    <row r="47" spans="1:18" x14ac:dyDescent="0.3">
      <c r="A47" s="120">
        <v>44</v>
      </c>
      <c r="B47" s="50" t="s">
        <v>616</v>
      </c>
      <c r="C47" s="264">
        <v>158338280</v>
      </c>
      <c r="D47" s="264">
        <v>0</v>
      </c>
      <c r="E47" s="156">
        <v>0</v>
      </c>
      <c r="F47" s="156">
        <f t="shared" si="1"/>
        <v>1187537.0999999999</v>
      </c>
      <c r="G47" s="156">
        <f t="shared" si="2"/>
        <v>159525817.09999999</v>
      </c>
      <c r="H47" s="156">
        <f t="shared" si="3"/>
        <v>0</v>
      </c>
      <c r="I47" s="156">
        <f t="shared" si="4"/>
        <v>0</v>
      </c>
      <c r="J47" s="156">
        <f t="shared" si="5"/>
        <v>159525817.09999999</v>
      </c>
      <c r="K47" s="156">
        <v>6000000</v>
      </c>
      <c r="L47" s="156">
        <v>12000000</v>
      </c>
      <c r="M47" s="156">
        <v>0</v>
      </c>
      <c r="N47" s="156">
        <v>0</v>
      </c>
      <c r="O47" s="156">
        <f t="shared" si="7"/>
        <v>12000000</v>
      </c>
      <c r="P47" s="156">
        <f t="shared" si="8"/>
        <v>10909090.909090908</v>
      </c>
      <c r="Q47" s="156">
        <f t="shared" si="9"/>
        <v>4909090.9090909082</v>
      </c>
      <c r="R47" s="156">
        <f t="shared" si="6"/>
        <v>32.495999779629635</v>
      </c>
    </row>
    <row r="48" spans="1:18" x14ac:dyDescent="0.3">
      <c r="A48" s="120">
        <v>45</v>
      </c>
      <c r="B48" s="50" t="s">
        <v>644</v>
      </c>
      <c r="C48" s="264">
        <v>36165510</v>
      </c>
      <c r="D48" s="264">
        <v>0</v>
      </c>
      <c r="E48" s="156">
        <v>0</v>
      </c>
      <c r="F48" s="156">
        <f t="shared" si="1"/>
        <v>271241.32500000001</v>
      </c>
      <c r="G48" s="156">
        <f t="shared" si="2"/>
        <v>36436751.325000003</v>
      </c>
      <c r="H48" s="156">
        <f t="shared" si="3"/>
        <v>0</v>
      </c>
      <c r="I48" s="156">
        <f t="shared" si="4"/>
        <v>0</v>
      </c>
      <c r="J48" s="156">
        <f t="shared" si="5"/>
        <v>36436751.325000003</v>
      </c>
      <c r="K48" s="156">
        <v>4000000</v>
      </c>
      <c r="L48" s="156">
        <v>6600000</v>
      </c>
      <c r="M48" s="156">
        <v>0</v>
      </c>
      <c r="N48" s="156">
        <v>0</v>
      </c>
      <c r="O48" s="156">
        <f t="shared" si="7"/>
        <v>6600000</v>
      </c>
      <c r="P48" s="156">
        <f t="shared" si="8"/>
        <v>5999999.9999999991</v>
      </c>
      <c r="Q48" s="156">
        <f t="shared" si="9"/>
        <v>1999999.9999999991</v>
      </c>
      <c r="R48" s="156">
        <f t="shared" si="6"/>
        <v>18.218375662500009</v>
      </c>
    </row>
    <row r="49" spans="1:18" x14ac:dyDescent="0.3">
      <c r="A49" s="120">
        <v>46</v>
      </c>
      <c r="B49" s="50" t="s">
        <v>645</v>
      </c>
      <c r="C49" s="264">
        <v>33300660</v>
      </c>
      <c r="D49" s="264">
        <v>0</v>
      </c>
      <c r="E49" s="156">
        <v>0</v>
      </c>
      <c r="F49" s="156">
        <f t="shared" si="1"/>
        <v>249754.94999999998</v>
      </c>
      <c r="G49" s="156">
        <f t="shared" si="2"/>
        <v>33550414.949999999</v>
      </c>
      <c r="H49" s="156">
        <f t="shared" si="3"/>
        <v>0</v>
      </c>
      <c r="I49" s="156">
        <f t="shared" si="4"/>
        <v>0</v>
      </c>
      <c r="J49" s="156">
        <f t="shared" si="5"/>
        <v>33550414.949999999</v>
      </c>
      <c r="K49" s="156">
        <v>4500000</v>
      </c>
      <c r="L49" s="156">
        <v>6700000</v>
      </c>
      <c r="M49" s="156">
        <v>0</v>
      </c>
      <c r="N49" s="156">
        <v>0</v>
      </c>
      <c r="O49" s="156">
        <f t="shared" si="7"/>
        <v>6700000</v>
      </c>
      <c r="P49" s="156">
        <f t="shared" si="8"/>
        <v>6090909.0909090908</v>
      </c>
      <c r="Q49" s="156">
        <f t="shared" si="9"/>
        <v>1590909.0909090908</v>
      </c>
      <c r="R49" s="156">
        <f t="shared" si="6"/>
        <v>21.088832254285716</v>
      </c>
    </row>
    <row r="50" spans="1:18" x14ac:dyDescent="0.3">
      <c r="A50" s="120">
        <v>47</v>
      </c>
      <c r="B50" s="50" t="s">
        <v>676</v>
      </c>
      <c r="C50" s="264">
        <v>37001880</v>
      </c>
      <c r="D50" s="264">
        <v>0</v>
      </c>
      <c r="E50" s="156">
        <v>0</v>
      </c>
      <c r="F50" s="156">
        <f t="shared" si="1"/>
        <v>277514.09999999998</v>
      </c>
      <c r="G50" s="156">
        <f t="shared" si="2"/>
        <v>37279394.100000001</v>
      </c>
      <c r="H50" s="156">
        <f t="shared" si="3"/>
        <v>0</v>
      </c>
      <c r="I50" s="156">
        <f t="shared" si="4"/>
        <v>0</v>
      </c>
      <c r="J50" s="156">
        <f t="shared" si="5"/>
        <v>37279394.100000001</v>
      </c>
      <c r="K50" s="156">
        <v>4000000</v>
      </c>
      <c r="L50" s="156">
        <v>6500000</v>
      </c>
      <c r="M50" s="156">
        <v>0</v>
      </c>
      <c r="N50" s="156">
        <v>0</v>
      </c>
      <c r="O50" s="156">
        <f t="shared" si="7"/>
        <v>6500000</v>
      </c>
      <c r="P50" s="156">
        <f t="shared" si="8"/>
        <v>5909090.9090909082</v>
      </c>
      <c r="Q50" s="156">
        <f t="shared" si="9"/>
        <v>1909090.9090909082</v>
      </c>
      <c r="R50" s="156">
        <f t="shared" si="6"/>
        <v>19.527301671428582</v>
      </c>
    </row>
    <row r="51" spans="1:18" x14ac:dyDescent="0.3">
      <c r="A51" s="120">
        <v>48</v>
      </c>
      <c r="B51" s="50" t="s">
        <v>677</v>
      </c>
      <c r="C51" s="264">
        <v>37253429.559904575</v>
      </c>
      <c r="D51" s="264">
        <v>0</v>
      </c>
      <c r="E51" s="156">
        <v>0</v>
      </c>
      <c r="F51" s="156">
        <f t="shared" si="1"/>
        <v>279400.72169928433</v>
      </c>
      <c r="G51" s="156">
        <f t="shared" si="2"/>
        <v>37532830.281603858</v>
      </c>
      <c r="H51" s="156">
        <f t="shared" si="3"/>
        <v>0</v>
      </c>
      <c r="I51" s="156">
        <f t="shared" si="4"/>
        <v>0</v>
      </c>
      <c r="J51" s="156">
        <f t="shared" si="5"/>
        <v>37532830.281603858</v>
      </c>
      <c r="K51" s="156">
        <v>4000000</v>
      </c>
      <c r="L51" s="156">
        <v>6700000</v>
      </c>
      <c r="M51" s="156">
        <v>0</v>
      </c>
      <c r="N51" s="156">
        <v>0</v>
      </c>
      <c r="O51" s="156">
        <f t="shared" si="7"/>
        <v>6700000</v>
      </c>
      <c r="P51" s="156">
        <f t="shared" si="8"/>
        <v>6090909.0909090908</v>
      </c>
      <c r="Q51" s="156">
        <f t="shared" si="9"/>
        <v>2090909.0909090908</v>
      </c>
      <c r="R51" s="156">
        <f t="shared" si="6"/>
        <v>17.950484047723585</v>
      </c>
    </row>
    <row r="52" spans="1:18" x14ac:dyDescent="0.3">
      <c r="A52" s="120">
        <v>49</v>
      </c>
      <c r="B52" s="50" t="s">
        <v>678</v>
      </c>
      <c r="C52" s="264">
        <v>39068570</v>
      </c>
      <c r="D52" s="264">
        <v>0</v>
      </c>
      <c r="E52" s="156">
        <v>0</v>
      </c>
      <c r="F52" s="156">
        <f t="shared" si="1"/>
        <v>293014.27499999997</v>
      </c>
      <c r="G52" s="156">
        <f t="shared" si="2"/>
        <v>39361584.274999999</v>
      </c>
      <c r="H52" s="156">
        <f t="shared" si="3"/>
        <v>0</v>
      </c>
      <c r="I52" s="156">
        <f t="shared" si="4"/>
        <v>0</v>
      </c>
      <c r="J52" s="156">
        <f t="shared" si="5"/>
        <v>39361584.274999999</v>
      </c>
      <c r="K52" s="156">
        <v>4000000</v>
      </c>
      <c r="L52" s="156">
        <v>6700000</v>
      </c>
      <c r="M52" s="156">
        <v>0</v>
      </c>
      <c r="N52" s="156">
        <v>0</v>
      </c>
      <c r="O52" s="156">
        <f t="shared" si="7"/>
        <v>6700000</v>
      </c>
      <c r="P52" s="156">
        <f t="shared" si="8"/>
        <v>6090909.0909090908</v>
      </c>
      <c r="Q52" s="156">
        <f t="shared" si="9"/>
        <v>2090909.0909090908</v>
      </c>
      <c r="R52" s="156">
        <f t="shared" si="6"/>
        <v>18.825105522826085</v>
      </c>
    </row>
    <row r="53" spans="1:18" x14ac:dyDescent="0.3">
      <c r="A53" s="120">
        <v>50</v>
      </c>
      <c r="B53" s="50" t="s">
        <v>679</v>
      </c>
      <c r="C53" s="264">
        <v>42202840</v>
      </c>
      <c r="D53" s="264">
        <v>0</v>
      </c>
      <c r="E53" s="156">
        <v>0</v>
      </c>
      <c r="F53" s="156">
        <f t="shared" si="1"/>
        <v>316521.3</v>
      </c>
      <c r="G53" s="156">
        <f t="shared" si="2"/>
        <v>42519361.299999997</v>
      </c>
      <c r="H53" s="156">
        <f t="shared" si="3"/>
        <v>0</v>
      </c>
      <c r="I53" s="156">
        <f t="shared" si="4"/>
        <v>0</v>
      </c>
      <c r="J53" s="156">
        <f t="shared" si="5"/>
        <v>42519361.299999997</v>
      </c>
      <c r="K53" s="156">
        <v>4000000</v>
      </c>
      <c r="L53" s="156">
        <v>6700000</v>
      </c>
      <c r="M53" s="156">
        <v>0</v>
      </c>
      <c r="N53" s="156">
        <v>0</v>
      </c>
      <c r="O53" s="156">
        <f t="shared" si="7"/>
        <v>6700000</v>
      </c>
      <c r="P53" s="156">
        <f t="shared" si="8"/>
        <v>6090909.0909090908</v>
      </c>
      <c r="Q53" s="156">
        <f t="shared" si="9"/>
        <v>2090909.0909090908</v>
      </c>
      <c r="R53" s="156">
        <f t="shared" si="6"/>
        <v>20.335346708695653</v>
      </c>
    </row>
    <row r="54" spans="1:18" x14ac:dyDescent="0.3">
      <c r="A54" s="120">
        <v>51</v>
      </c>
      <c r="B54" s="50" t="s">
        <v>680</v>
      </c>
      <c r="C54" s="264">
        <v>49387054.533519998</v>
      </c>
      <c r="D54" s="264">
        <v>0</v>
      </c>
      <c r="E54" s="156">
        <v>0</v>
      </c>
      <c r="F54" s="156">
        <f t="shared" si="1"/>
        <v>370402.9090014</v>
      </c>
      <c r="G54" s="156">
        <f t="shared" si="2"/>
        <v>49757457.442521401</v>
      </c>
      <c r="H54" s="156">
        <f t="shared" si="3"/>
        <v>0</v>
      </c>
      <c r="I54" s="156">
        <f t="shared" si="4"/>
        <v>0</v>
      </c>
      <c r="J54" s="156">
        <f t="shared" si="5"/>
        <v>49757457.442521401</v>
      </c>
      <c r="K54" s="156">
        <v>4000000</v>
      </c>
      <c r="L54" s="156">
        <v>6600000</v>
      </c>
      <c r="M54" s="156">
        <v>0</v>
      </c>
      <c r="N54" s="156">
        <v>0</v>
      </c>
      <c r="O54" s="156">
        <f t="shared" si="7"/>
        <v>6600000</v>
      </c>
      <c r="P54" s="156">
        <f t="shared" si="8"/>
        <v>5999999.9999999991</v>
      </c>
      <c r="Q54" s="156">
        <f t="shared" si="9"/>
        <v>1999999.9999999991</v>
      </c>
      <c r="R54" s="156">
        <f t="shared" si="6"/>
        <v>24.87872872126071</v>
      </c>
    </row>
    <row r="55" spans="1:18" x14ac:dyDescent="0.3">
      <c r="A55" s="120">
        <v>52</v>
      </c>
      <c r="B55" s="50" t="s">
        <v>710</v>
      </c>
      <c r="C55" s="264">
        <v>141279580</v>
      </c>
      <c r="D55" s="264">
        <v>0</v>
      </c>
      <c r="E55" s="156">
        <v>0</v>
      </c>
      <c r="F55" s="156">
        <f t="shared" si="1"/>
        <v>1059596.8499999999</v>
      </c>
      <c r="G55" s="156">
        <f t="shared" si="2"/>
        <v>142339176.84999999</v>
      </c>
      <c r="H55" s="156">
        <f t="shared" si="3"/>
        <v>0</v>
      </c>
      <c r="I55" s="156">
        <f t="shared" si="4"/>
        <v>0</v>
      </c>
      <c r="J55" s="156">
        <f t="shared" si="5"/>
        <v>142339176.84999999</v>
      </c>
      <c r="K55" s="156">
        <v>5500000</v>
      </c>
      <c r="L55" s="156">
        <v>11300000</v>
      </c>
      <c r="M55" s="156">
        <v>0</v>
      </c>
      <c r="N55" s="156">
        <v>0</v>
      </c>
      <c r="O55" s="156">
        <f t="shared" si="7"/>
        <v>11300000</v>
      </c>
      <c r="P55" s="156">
        <f t="shared" si="8"/>
        <v>10272727.272727272</v>
      </c>
      <c r="Q55" s="156">
        <f t="shared" si="9"/>
        <v>4772727.2727272715</v>
      </c>
      <c r="R55" s="156">
        <f t="shared" si="6"/>
        <v>29.823446578095243</v>
      </c>
    </row>
    <row r="56" spans="1:18" x14ac:dyDescent="0.3">
      <c r="A56" s="120">
        <v>53</v>
      </c>
      <c r="B56" s="50" t="s">
        <v>713</v>
      </c>
      <c r="C56" s="264">
        <v>120106550</v>
      </c>
      <c r="D56" s="264">
        <v>0</v>
      </c>
      <c r="E56" s="156">
        <v>0</v>
      </c>
      <c r="F56" s="156">
        <f t="shared" si="1"/>
        <v>900799.125</v>
      </c>
      <c r="G56" s="156">
        <f t="shared" si="2"/>
        <v>121007349.125</v>
      </c>
      <c r="H56" s="156">
        <f t="shared" si="3"/>
        <v>0</v>
      </c>
      <c r="I56" s="156">
        <f t="shared" si="4"/>
        <v>72000000</v>
      </c>
      <c r="J56" s="156">
        <f t="shared" si="5"/>
        <v>193007349.125</v>
      </c>
      <c r="K56" s="156">
        <v>7000000</v>
      </c>
      <c r="L56" s="156">
        <f>9800000*0.8</f>
        <v>7840000</v>
      </c>
      <c r="M56" s="156">
        <v>0</v>
      </c>
      <c r="N56" s="156">
        <v>8000000</v>
      </c>
      <c r="O56" s="156">
        <f t="shared" si="7"/>
        <v>15840000</v>
      </c>
      <c r="P56" s="156">
        <f t="shared" si="8"/>
        <v>14399999.999999998</v>
      </c>
      <c r="Q56" s="156">
        <f t="shared" si="9"/>
        <v>7399999.9999999981</v>
      </c>
      <c r="R56" s="156">
        <f t="shared" si="6"/>
        <v>26.082074206081089</v>
      </c>
    </row>
    <row r="57" spans="1:18" x14ac:dyDescent="0.3">
      <c r="A57" s="120">
        <v>54</v>
      </c>
      <c r="B57" s="50" t="s">
        <v>716</v>
      </c>
      <c r="C57" s="264">
        <v>91642910</v>
      </c>
      <c r="D57" s="264">
        <v>0</v>
      </c>
      <c r="E57" s="156">
        <v>0</v>
      </c>
      <c r="F57" s="156">
        <f t="shared" si="1"/>
        <v>687321.82499999995</v>
      </c>
      <c r="G57" s="156">
        <f t="shared" si="2"/>
        <v>92330231.825000003</v>
      </c>
      <c r="H57" s="156">
        <f t="shared" si="3"/>
        <v>0</v>
      </c>
      <c r="I57" s="156">
        <f t="shared" si="4"/>
        <v>0</v>
      </c>
      <c r="J57" s="156">
        <f t="shared" si="5"/>
        <v>92330231.825000003</v>
      </c>
      <c r="K57" s="156">
        <v>7500000</v>
      </c>
      <c r="L57" s="156">
        <v>13300000</v>
      </c>
      <c r="M57" s="156">
        <v>0</v>
      </c>
      <c r="N57" s="156">
        <v>0</v>
      </c>
      <c r="O57" s="156">
        <f t="shared" si="7"/>
        <v>13300000</v>
      </c>
      <c r="P57" s="156">
        <f t="shared" si="8"/>
        <v>12090909.09090909</v>
      </c>
      <c r="Q57" s="156">
        <f t="shared" si="9"/>
        <v>4590909.0909090899</v>
      </c>
      <c r="R57" s="156">
        <f t="shared" si="6"/>
        <v>20.111535645049511</v>
      </c>
    </row>
    <row r="58" spans="1:18" x14ac:dyDescent="0.3">
      <c r="A58" s="120">
        <v>55</v>
      </c>
      <c r="B58" s="50" t="s">
        <v>719</v>
      </c>
      <c r="C58" s="264">
        <v>108072480</v>
      </c>
      <c r="D58" s="264">
        <v>0</v>
      </c>
      <c r="E58" s="156">
        <v>0</v>
      </c>
      <c r="F58" s="156">
        <f t="shared" si="1"/>
        <v>810543.6</v>
      </c>
      <c r="G58" s="156">
        <f t="shared" si="2"/>
        <v>108883023.59999999</v>
      </c>
      <c r="H58" s="156">
        <f t="shared" si="3"/>
        <v>0</v>
      </c>
      <c r="I58" s="156">
        <f t="shared" si="4"/>
        <v>0</v>
      </c>
      <c r="J58" s="156">
        <f t="shared" si="5"/>
        <v>108883023.59999999</v>
      </c>
      <c r="K58" s="156">
        <v>5000000</v>
      </c>
      <c r="L58" s="156">
        <v>10000000</v>
      </c>
      <c r="M58" s="156">
        <v>0</v>
      </c>
      <c r="N58" s="156">
        <v>0</v>
      </c>
      <c r="O58" s="156">
        <f t="shared" si="7"/>
        <v>10000000</v>
      </c>
      <c r="P58" s="156">
        <f t="shared" si="8"/>
        <v>9090909.0909090899</v>
      </c>
      <c r="Q58" s="156">
        <f t="shared" si="9"/>
        <v>4090909.0909090899</v>
      </c>
      <c r="R58" s="156">
        <f t="shared" si="6"/>
        <v>26.615850213333339</v>
      </c>
    </row>
    <row r="59" spans="1:18" x14ac:dyDescent="0.3">
      <c r="A59" s="120">
        <v>56</v>
      </c>
      <c r="B59" s="50" t="s">
        <v>731</v>
      </c>
      <c r="C59" s="264">
        <v>82592868</v>
      </c>
      <c r="D59" s="264">
        <v>0</v>
      </c>
      <c r="E59" s="156">
        <v>0</v>
      </c>
      <c r="F59" s="156">
        <f t="shared" si="1"/>
        <v>619446.51</v>
      </c>
      <c r="G59" s="156">
        <f t="shared" si="2"/>
        <v>83212314.510000005</v>
      </c>
      <c r="H59" s="156">
        <f t="shared" si="3"/>
        <v>0</v>
      </c>
      <c r="I59" s="156">
        <f t="shared" si="4"/>
        <v>0</v>
      </c>
      <c r="J59" s="156">
        <f t="shared" si="5"/>
        <v>83212314.510000005</v>
      </c>
      <c r="K59" s="156">
        <v>5000000</v>
      </c>
      <c r="L59" s="156">
        <v>9500000</v>
      </c>
      <c r="M59" s="156">
        <v>0</v>
      </c>
      <c r="N59" s="156">
        <v>0</v>
      </c>
      <c r="O59" s="156">
        <f t="shared" si="7"/>
        <v>9500000</v>
      </c>
      <c r="P59" s="156">
        <f t="shared" si="8"/>
        <v>8636363.6363636348</v>
      </c>
      <c r="Q59" s="156">
        <f t="shared" si="9"/>
        <v>3636363.6363636348</v>
      </c>
      <c r="R59" s="156">
        <f t="shared" si="6"/>
        <v>22.883386490250011</v>
      </c>
    </row>
    <row r="60" spans="1:18" x14ac:dyDescent="0.3">
      <c r="A60" s="120">
        <v>57</v>
      </c>
      <c r="B60" s="50" t="s">
        <v>731</v>
      </c>
      <c r="C60" s="264">
        <v>82592868</v>
      </c>
      <c r="D60" s="264">
        <v>0</v>
      </c>
      <c r="E60" s="156">
        <v>0</v>
      </c>
      <c r="F60" s="156">
        <f t="shared" si="1"/>
        <v>619446.51</v>
      </c>
      <c r="G60" s="156">
        <f t="shared" si="2"/>
        <v>83212314.510000005</v>
      </c>
      <c r="H60" s="156">
        <f t="shared" si="3"/>
        <v>0</v>
      </c>
      <c r="I60" s="156">
        <f t="shared" si="4"/>
        <v>50400000</v>
      </c>
      <c r="J60" s="156">
        <f t="shared" si="5"/>
        <v>133612314.51000001</v>
      </c>
      <c r="K60" s="156">
        <v>5000000</v>
      </c>
      <c r="L60" s="156">
        <f>9500000*0.8</f>
        <v>7600000</v>
      </c>
      <c r="M60" s="156">
        <v>0</v>
      </c>
      <c r="N60" s="156">
        <v>5600000</v>
      </c>
      <c r="O60" s="156">
        <f t="shared" si="7"/>
        <v>13200000</v>
      </c>
      <c r="P60" s="156">
        <f t="shared" si="8"/>
        <v>11999999.999999998</v>
      </c>
      <c r="Q60" s="156">
        <f t="shared" si="9"/>
        <v>6999999.9999999981</v>
      </c>
      <c r="R60" s="156">
        <f t="shared" si="6"/>
        <v>19.087473501428576</v>
      </c>
    </row>
    <row r="61" spans="1:18" x14ac:dyDescent="0.3">
      <c r="A61" s="120">
        <v>58</v>
      </c>
      <c r="B61" s="50" t="s">
        <v>738</v>
      </c>
      <c r="C61" s="264">
        <v>37582700</v>
      </c>
      <c r="D61" s="264">
        <v>0</v>
      </c>
      <c r="E61" s="156">
        <v>0</v>
      </c>
      <c r="F61" s="156">
        <f t="shared" si="1"/>
        <v>281870.25</v>
      </c>
      <c r="G61" s="156">
        <f t="shared" si="2"/>
        <v>37864570.25</v>
      </c>
      <c r="H61" s="156">
        <f t="shared" si="3"/>
        <v>0</v>
      </c>
      <c r="I61" s="156">
        <f t="shared" si="4"/>
        <v>0</v>
      </c>
      <c r="J61" s="156">
        <f t="shared" si="5"/>
        <v>37864570.25</v>
      </c>
      <c r="K61" s="156">
        <v>4000000</v>
      </c>
      <c r="L61" s="156">
        <v>6400000</v>
      </c>
      <c r="M61" s="156">
        <v>0</v>
      </c>
      <c r="N61" s="156">
        <v>0</v>
      </c>
      <c r="O61" s="156">
        <f t="shared" si="7"/>
        <v>6400000</v>
      </c>
      <c r="P61" s="156">
        <f t="shared" si="8"/>
        <v>5818181.8181818174</v>
      </c>
      <c r="Q61" s="156">
        <f t="shared" si="9"/>
        <v>1818181.8181818174</v>
      </c>
      <c r="R61" s="156">
        <f t="shared" si="6"/>
        <v>20.825513637500009</v>
      </c>
    </row>
    <row r="62" spans="1:18" x14ac:dyDescent="0.3">
      <c r="A62" s="120">
        <v>59</v>
      </c>
      <c r="B62" s="50" t="s">
        <v>748</v>
      </c>
      <c r="C62" s="264">
        <v>110700000</v>
      </c>
      <c r="D62" s="264">
        <v>0</v>
      </c>
      <c r="E62" s="156">
        <v>0</v>
      </c>
      <c r="F62" s="156">
        <f t="shared" si="1"/>
        <v>830250</v>
      </c>
      <c r="G62" s="156">
        <f t="shared" si="2"/>
        <v>111530250</v>
      </c>
      <c r="H62" s="156">
        <f t="shared" si="3"/>
        <v>0</v>
      </c>
      <c r="I62" s="156">
        <f t="shared" si="4"/>
        <v>0</v>
      </c>
      <c r="J62" s="156">
        <f t="shared" si="5"/>
        <v>111530250</v>
      </c>
      <c r="K62" s="156">
        <v>5000000</v>
      </c>
      <c r="L62" s="156">
        <v>9000000</v>
      </c>
      <c r="M62" s="156">
        <v>0</v>
      </c>
      <c r="N62" s="156">
        <v>0</v>
      </c>
      <c r="O62" s="156">
        <f t="shared" si="7"/>
        <v>9000000</v>
      </c>
      <c r="P62" s="156">
        <f t="shared" si="8"/>
        <v>8181818.1818181807</v>
      </c>
      <c r="Q62" s="156">
        <f t="shared" si="9"/>
        <v>3181818.1818181807</v>
      </c>
      <c r="R62" s="156">
        <f t="shared" si="6"/>
        <v>35.052364285714297</v>
      </c>
    </row>
    <row r="63" spans="1:18" x14ac:dyDescent="0.3">
      <c r="A63" s="120">
        <v>60</v>
      </c>
      <c r="B63" s="50" t="s">
        <v>749</v>
      </c>
      <c r="C63" s="264">
        <v>44223000</v>
      </c>
      <c r="D63" s="264">
        <v>0</v>
      </c>
      <c r="E63" s="156">
        <v>0</v>
      </c>
      <c r="F63" s="156">
        <f t="shared" si="1"/>
        <v>331672.5</v>
      </c>
      <c r="G63" s="156">
        <f t="shared" si="2"/>
        <v>44554672.5</v>
      </c>
      <c r="H63" s="156">
        <f t="shared" si="3"/>
        <v>0</v>
      </c>
      <c r="I63" s="156">
        <f t="shared" si="4"/>
        <v>0</v>
      </c>
      <c r="J63" s="156">
        <f t="shared" si="5"/>
        <v>44554672.5</v>
      </c>
      <c r="K63" s="156">
        <v>4500000</v>
      </c>
      <c r="L63" s="156">
        <v>6400000</v>
      </c>
      <c r="M63" s="156">
        <v>0</v>
      </c>
      <c r="N63" s="156">
        <v>0</v>
      </c>
      <c r="O63" s="156">
        <f t="shared" si="7"/>
        <v>6400000</v>
      </c>
      <c r="P63" s="156">
        <f t="shared" si="8"/>
        <v>5818181.8181818174</v>
      </c>
      <c r="Q63" s="156">
        <f t="shared" si="9"/>
        <v>1318181.8181818174</v>
      </c>
      <c r="R63" s="156">
        <f t="shared" si="6"/>
        <v>33.800096379310361</v>
      </c>
    </row>
    <row r="64" spans="1:18" x14ac:dyDescent="0.3">
      <c r="A64" s="120">
        <v>61</v>
      </c>
      <c r="B64" s="50" t="s">
        <v>750</v>
      </c>
      <c r="C64" s="264">
        <v>117252198</v>
      </c>
      <c r="D64" s="264">
        <v>0</v>
      </c>
      <c r="E64" s="156">
        <v>0</v>
      </c>
      <c r="F64" s="156">
        <f t="shared" si="1"/>
        <v>879391.48499999999</v>
      </c>
      <c r="G64" s="156">
        <f t="shared" si="2"/>
        <v>118131589.485</v>
      </c>
      <c r="H64" s="156">
        <f t="shared" si="3"/>
        <v>0</v>
      </c>
      <c r="I64" s="156">
        <f t="shared" si="4"/>
        <v>0</v>
      </c>
      <c r="J64" s="156">
        <f t="shared" si="5"/>
        <v>118131589.485</v>
      </c>
      <c r="K64" s="156">
        <v>5500000</v>
      </c>
      <c r="L64" s="156">
        <v>9400000</v>
      </c>
      <c r="M64" s="156">
        <v>0</v>
      </c>
      <c r="N64" s="156">
        <v>0</v>
      </c>
      <c r="O64" s="156">
        <f t="shared" si="7"/>
        <v>9400000</v>
      </c>
      <c r="P64" s="156">
        <f t="shared" si="8"/>
        <v>8545454.5454545449</v>
      </c>
      <c r="Q64" s="156">
        <f t="shared" si="9"/>
        <v>3045454.5454545449</v>
      </c>
      <c r="R64" s="156">
        <f t="shared" si="6"/>
        <v>38.789477144328366</v>
      </c>
    </row>
    <row r="65" spans="1:18" x14ac:dyDescent="0.3">
      <c r="A65" s="120">
        <v>62</v>
      </c>
      <c r="B65" s="50" t="s">
        <v>751</v>
      </c>
      <c r="C65" s="264">
        <v>110700000</v>
      </c>
      <c r="D65" s="264">
        <v>0</v>
      </c>
      <c r="E65" s="156">
        <v>0</v>
      </c>
      <c r="F65" s="156">
        <f t="shared" si="1"/>
        <v>830250</v>
      </c>
      <c r="G65" s="156">
        <f t="shared" si="2"/>
        <v>111530250</v>
      </c>
      <c r="H65" s="156">
        <f t="shared" si="3"/>
        <v>0</v>
      </c>
      <c r="I65" s="156">
        <f t="shared" si="4"/>
        <v>0</v>
      </c>
      <c r="J65" s="156">
        <f t="shared" si="5"/>
        <v>111530250</v>
      </c>
      <c r="K65" s="156">
        <v>5000000</v>
      </c>
      <c r="L65" s="156">
        <v>9400000</v>
      </c>
      <c r="M65" s="156">
        <v>0</v>
      </c>
      <c r="N65" s="156">
        <v>0</v>
      </c>
      <c r="O65" s="156">
        <f t="shared" si="7"/>
        <v>9400000</v>
      </c>
      <c r="P65" s="156">
        <f t="shared" si="8"/>
        <v>8545454.5454545449</v>
      </c>
      <c r="Q65" s="156">
        <f t="shared" si="9"/>
        <v>3545454.5454545449</v>
      </c>
      <c r="R65" s="156">
        <f t="shared" si="6"/>
        <v>31.457250000000005</v>
      </c>
    </row>
    <row r="66" spans="1:18" x14ac:dyDescent="0.3">
      <c r="A66" s="120">
        <v>63</v>
      </c>
      <c r="B66" s="50" t="s">
        <v>746</v>
      </c>
      <c r="C66" s="264">
        <v>40000000</v>
      </c>
      <c r="D66" s="264">
        <v>0</v>
      </c>
      <c r="E66" s="156">
        <v>0</v>
      </c>
      <c r="F66" s="156">
        <f t="shared" si="1"/>
        <v>300000</v>
      </c>
      <c r="G66" s="156">
        <f t="shared" si="2"/>
        <v>40300000</v>
      </c>
      <c r="H66" s="156">
        <f t="shared" si="3"/>
        <v>0</v>
      </c>
      <c r="I66" s="156">
        <f t="shared" si="4"/>
        <v>0</v>
      </c>
      <c r="J66" s="156">
        <f t="shared" si="5"/>
        <v>40300000</v>
      </c>
      <c r="K66" s="156">
        <v>4000000</v>
      </c>
      <c r="L66" s="156">
        <v>6700000</v>
      </c>
      <c r="M66" s="156">
        <v>0</v>
      </c>
      <c r="N66" s="156">
        <v>0</v>
      </c>
      <c r="O66" s="156">
        <f t="shared" si="7"/>
        <v>6700000</v>
      </c>
      <c r="P66" s="156">
        <f t="shared" si="8"/>
        <v>6090909.0909090908</v>
      </c>
      <c r="Q66" s="156">
        <f t="shared" si="9"/>
        <v>2090909.0909090908</v>
      </c>
      <c r="R66" s="156">
        <f t="shared" si="6"/>
        <v>19.273913043478263</v>
      </c>
    </row>
    <row r="67" spans="1:18" x14ac:dyDescent="0.3">
      <c r="A67" s="120">
        <v>64</v>
      </c>
      <c r="B67" s="50" t="s">
        <v>615</v>
      </c>
      <c r="C67" s="264">
        <v>40000000</v>
      </c>
      <c r="D67" s="264">
        <v>0</v>
      </c>
      <c r="E67" s="156">
        <v>0</v>
      </c>
      <c r="F67" s="156">
        <f t="shared" si="1"/>
        <v>300000</v>
      </c>
      <c r="G67" s="156">
        <f t="shared" si="2"/>
        <v>40300000</v>
      </c>
      <c r="H67" s="156">
        <f t="shared" si="3"/>
        <v>0</v>
      </c>
      <c r="I67" s="156">
        <f t="shared" si="4"/>
        <v>0</v>
      </c>
      <c r="J67" s="156">
        <f t="shared" si="5"/>
        <v>40300000</v>
      </c>
      <c r="K67" s="156">
        <v>5500000</v>
      </c>
      <c r="L67" s="156">
        <v>7500000</v>
      </c>
      <c r="M67" s="156">
        <v>0</v>
      </c>
      <c r="N67" s="156">
        <v>0</v>
      </c>
      <c r="O67" s="156">
        <f t="shared" si="7"/>
        <v>7500000</v>
      </c>
      <c r="P67" s="156">
        <f t="shared" si="8"/>
        <v>6818181.8181818174</v>
      </c>
      <c r="Q67" s="156">
        <f t="shared" si="9"/>
        <v>1318181.8181818174</v>
      </c>
      <c r="R67" s="156">
        <f t="shared" si="6"/>
        <v>30.572413793103465</v>
      </c>
    </row>
    <row r="68" spans="1:18" x14ac:dyDescent="0.3">
      <c r="A68" s="120">
        <v>65</v>
      </c>
      <c r="B68" s="50" t="s">
        <v>780</v>
      </c>
      <c r="C68" s="264">
        <v>115000000</v>
      </c>
      <c r="D68" s="264">
        <v>0</v>
      </c>
      <c r="E68" s="156">
        <v>0</v>
      </c>
      <c r="F68" s="156">
        <f t="shared" ref="F68:F92" si="10">(C68*12%+(C68/2)*12%)/24</f>
        <v>862500</v>
      </c>
      <c r="G68" s="156">
        <f t="shared" ref="G68:G92" si="11">SUM(C68:F68)</f>
        <v>115862500</v>
      </c>
      <c r="H68" s="156">
        <f t="shared" ref="H68:H92" si="12">M68*6/1.1</f>
        <v>0</v>
      </c>
      <c r="I68" s="156">
        <f t="shared" ref="I68:I92" si="13">N68*9</f>
        <v>0</v>
      </c>
      <c r="J68" s="156">
        <f t="shared" ref="J68:J92" si="14">G68+H68+I68</f>
        <v>115862500</v>
      </c>
      <c r="K68" s="156">
        <v>6000000</v>
      </c>
      <c r="L68" s="156">
        <v>10500000</v>
      </c>
      <c r="M68" s="156">
        <v>0</v>
      </c>
      <c r="N68" s="156">
        <v>0</v>
      </c>
      <c r="O68" s="156">
        <f t="shared" si="7"/>
        <v>10500000</v>
      </c>
      <c r="P68" s="156">
        <f t="shared" si="8"/>
        <v>9545454.5454545449</v>
      </c>
      <c r="Q68" s="156">
        <f t="shared" si="9"/>
        <v>3545454.5454545449</v>
      </c>
      <c r="R68" s="156">
        <f t="shared" ref="R68:R92" si="15">J68/Q68</f>
        <v>32.679166666666674</v>
      </c>
    </row>
    <row r="69" spans="1:18" x14ac:dyDescent="0.3">
      <c r="A69" s="120">
        <v>66</v>
      </c>
      <c r="B69" s="268" t="s">
        <v>787</v>
      </c>
      <c r="C69" s="264">
        <v>40000000</v>
      </c>
      <c r="D69" s="264">
        <v>0</v>
      </c>
      <c r="E69" s="156">
        <v>0</v>
      </c>
      <c r="F69" s="156">
        <f t="shared" si="10"/>
        <v>300000</v>
      </c>
      <c r="G69" s="156">
        <f t="shared" si="11"/>
        <v>40300000</v>
      </c>
      <c r="H69" s="156">
        <f t="shared" si="12"/>
        <v>0</v>
      </c>
      <c r="I69" s="156">
        <f t="shared" si="13"/>
        <v>0</v>
      </c>
      <c r="J69" s="156">
        <f t="shared" si="14"/>
        <v>40300000</v>
      </c>
      <c r="K69" s="156">
        <v>4000000</v>
      </c>
      <c r="L69" s="95">
        <v>6400000</v>
      </c>
      <c r="M69" s="156">
        <v>0</v>
      </c>
      <c r="N69" s="156">
        <v>0</v>
      </c>
      <c r="O69" s="156">
        <f t="shared" ref="O69:O92" si="16">SUM(L69:N69)</f>
        <v>6400000</v>
      </c>
      <c r="P69" s="156">
        <f t="shared" ref="P69:P92" si="17">O69/1.1</f>
        <v>5818181.8181818174</v>
      </c>
      <c r="Q69" s="156">
        <f t="shared" ref="Q69:Q92" si="18">P69-K69</f>
        <v>1818181.8181818174</v>
      </c>
      <c r="R69" s="156">
        <f t="shared" si="15"/>
        <v>22.16500000000001</v>
      </c>
    </row>
    <row r="70" spans="1:18" x14ac:dyDescent="0.3">
      <c r="A70" s="120">
        <v>67</v>
      </c>
      <c r="B70" s="268" t="s">
        <v>796</v>
      </c>
      <c r="C70" s="264">
        <v>115000000</v>
      </c>
      <c r="D70" s="264">
        <v>0</v>
      </c>
      <c r="E70" s="156">
        <v>0</v>
      </c>
      <c r="F70" s="156">
        <f t="shared" si="10"/>
        <v>862500</v>
      </c>
      <c r="G70" s="156">
        <f t="shared" si="11"/>
        <v>115862500</v>
      </c>
      <c r="H70" s="156">
        <f t="shared" si="12"/>
        <v>0</v>
      </c>
      <c r="I70" s="156">
        <f t="shared" si="13"/>
        <v>0</v>
      </c>
      <c r="J70" s="156">
        <f t="shared" si="14"/>
        <v>115862500</v>
      </c>
      <c r="K70" s="156">
        <v>7000000</v>
      </c>
      <c r="L70" s="156">
        <v>11400000</v>
      </c>
      <c r="M70" s="156">
        <v>0</v>
      </c>
      <c r="N70" s="156">
        <v>0</v>
      </c>
      <c r="O70" s="156">
        <f t="shared" si="16"/>
        <v>11400000</v>
      </c>
      <c r="P70" s="156">
        <f t="shared" si="17"/>
        <v>10363636.363636363</v>
      </c>
      <c r="Q70" s="156">
        <f t="shared" si="18"/>
        <v>3363636.3636363633</v>
      </c>
      <c r="R70" s="156">
        <f t="shared" si="15"/>
        <v>34.445608108108111</v>
      </c>
    </row>
    <row r="71" spans="1:18" x14ac:dyDescent="0.3">
      <c r="A71" s="120">
        <v>68</v>
      </c>
      <c r="B71" s="268" t="s">
        <v>800</v>
      </c>
      <c r="C71" s="264">
        <v>40000000</v>
      </c>
      <c r="D71" s="264">
        <v>0</v>
      </c>
      <c r="E71" s="156">
        <v>0</v>
      </c>
      <c r="F71" s="156">
        <f t="shared" si="10"/>
        <v>300000</v>
      </c>
      <c r="G71" s="156">
        <f t="shared" si="11"/>
        <v>40300000</v>
      </c>
      <c r="H71" s="156">
        <f t="shared" si="12"/>
        <v>0</v>
      </c>
      <c r="I71" s="156">
        <f t="shared" si="13"/>
        <v>0</v>
      </c>
      <c r="J71" s="156">
        <f t="shared" si="14"/>
        <v>40300000</v>
      </c>
      <c r="K71" s="156">
        <v>4000000</v>
      </c>
      <c r="L71" s="95">
        <v>6400000</v>
      </c>
      <c r="M71" s="156">
        <v>0</v>
      </c>
      <c r="N71" s="156">
        <v>0</v>
      </c>
      <c r="O71" s="156">
        <f t="shared" si="16"/>
        <v>6400000</v>
      </c>
      <c r="P71" s="156">
        <f t="shared" si="17"/>
        <v>5818181.8181818174</v>
      </c>
      <c r="Q71" s="156">
        <f t="shared" si="18"/>
        <v>1818181.8181818174</v>
      </c>
      <c r="R71" s="156">
        <f t="shared" si="15"/>
        <v>22.16500000000001</v>
      </c>
    </row>
    <row r="72" spans="1:18" x14ac:dyDescent="0.3">
      <c r="A72" s="120">
        <v>69</v>
      </c>
      <c r="B72" s="268" t="s">
        <v>801</v>
      </c>
      <c r="C72" s="264">
        <v>40000000</v>
      </c>
      <c r="D72" s="264">
        <v>0</v>
      </c>
      <c r="E72" s="156">
        <v>0</v>
      </c>
      <c r="F72" s="156">
        <f t="shared" si="10"/>
        <v>300000</v>
      </c>
      <c r="G72" s="156">
        <f t="shared" si="11"/>
        <v>40300000</v>
      </c>
      <c r="H72" s="156">
        <f t="shared" si="12"/>
        <v>0</v>
      </c>
      <c r="I72" s="156">
        <f t="shared" si="13"/>
        <v>0</v>
      </c>
      <c r="J72" s="156">
        <f t="shared" si="14"/>
        <v>40300000</v>
      </c>
      <c r="K72" s="156">
        <v>4000000</v>
      </c>
      <c r="L72" s="95">
        <v>6400000</v>
      </c>
      <c r="M72" s="156">
        <v>0</v>
      </c>
      <c r="N72" s="156">
        <v>0</v>
      </c>
      <c r="O72" s="156">
        <f t="shared" si="16"/>
        <v>6400000</v>
      </c>
      <c r="P72" s="156">
        <f t="shared" si="17"/>
        <v>5818181.8181818174</v>
      </c>
      <c r="Q72" s="156">
        <f t="shared" si="18"/>
        <v>1818181.8181818174</v>
      </c>
      <c r="R72" s="156">
        <f t="shared" si="15"/>
        <v>22.16500000000001</v>
      </c>
    </row>
    <row r="73" spans="1:18" x14ac:dyDescent="0.3">
      <c r="A73" s="120">
        <v>70</v>
      </c>
      <c r="B73" s="263" t="s">
        <v>254</v>
      </c>
      <c r="C73" s="264">
        <v>201971209.00000003</v>
      </c>
      <c r="D73" s="264">
        <v>0</v>
      </c>
      <c r="E73" s="156">
        <v>0</v>
      </c>
      <c r="F73" s="156">
        <f t="shared" si="10"/>
        <v>1514784.0675000001</v>
      </c>
      <c r="G73" s="156">
        <f t="shared" si="11"/>
        <v>203485993.06750003</v>
      </c>
      <c r="H73" s="156">
        <f t="shared" si="12"/>
        <v>36000000</v>
      </c>
      <c r="I73" s="156">
        <f t="shared" si="13"/>
        <v>63000000</v>
      </c>
      <c r="J73" s="156">
        <f t="shared" si="14"/>
        <v>302485993.0675</v>
      </c>
      <c r="K73" s="156">
        <v>8300000</v>
      </c>
      <c r="L73" s="156">
        <f>11900000*0.7</f>
        <v>8329999.9999999991</v>
      </c>
      <c r="M73" s="156">
        <v>6600000</v>
      </c>
      <c r="N73" s="156">
        <v>7000000</v>
      </c>
      <c r="O73" s="156">
        <f t="shared" si="16"/>
        <v>21930000</v>
      </c>
      <c r="P73" s="156">
        <f t="shared" si="17"/>
        <v>19936363.636363633</v>
      </c>
      <c r="Q73" s="156">
        <f t="shared" si="18"/>
        <v>11636363.636363633</v>
      </c>
      <c r="R73" s="156">
        <f t="shared" si="15"/>
        <v>25.994890029238288</v>
      </c>
    </row>
    <row r="74" spans="1:18" x14ac:dyDescent="0.3">
      <c r="A74" s="120">
        <v>71</v>
      </c>
      <c r="B74" s="263" t="s">
        <v>812</v>
      </c>
      <c r="C74" s="264">
        <v>104301307.5</v>
      </c>
      <c r="D74" s="264">
        <v>0</v>
      </c>
      <c r="E74" s="156">
        <v>0</v>
      </c>
      <c r="F74" s="156">
        <f t="shared" si="10"/>
        <v>782259.80625000002</v>
      </c>
      <c r="G74" s="156">
        <f t="shared" si="11"/>
        <v>105083567.30625001</v>
      </c>
      <c r="H74" s="156">
        <f t="shared" si="12"/>
        <v>0</v>
      </c>
      <c r="I74" s="156">
        <f t="shared" si="13"/>
        <v>0</v>
      </c>
      <c r="J74" s="156">
        <f t="shared" si="14"/>
        <v>105083567.30625001</v>
      </c>
      <c r="K74" s="156">
        <v>5000000</v>
      </c>
      <c r="L74" s="156">
        <v>9300000</v>
      </c>
      <c r="M74" s="156">
        <v>0</v>
      </c>
      <c r="N74" s="156">
        <v>0</v>
      </c>
      <c r="O74" s="156">
        <f t="shared" si="16"/>
        <v>9300000</v>
      </c>
      <c r="P74" s="156">
        <f t="shared" si="17"/>
        <v>8454545.4545454532</v>
      </c>
      <c r="Q74" s="156">
        <f t="shared" si="18"/>
        <v>3454545.4545454532</v>
      </c>
      <c r="R74" s="156">
        <f t="shared" si="15"/>
        <v>30.418927378125012</v>
      </c>
    </row>
    <row r="75" spans="1:18" x14ac:dyDescent="0.3">
      <c r="A75" s="120">
        <v>72</v>
      </c>
      <c r="B75" s="263" t="s">
        <v>823</v>
      </c>
      <c r="C75" s="264">
        <v>8750000</v>
      </c>
      <c r="D75" s="264">
        <v>0</v>
      </c>
      <c r="E75" s="156">
        <v>0</v>
      </c>
      <c r="F75" s="156">
        <f t="shared" si="10"/>
        <v>65625</v>
      </c>
      <c r="G75" s="156">
        <f t="shared" si="11"/>
        <v>8815625</v>
      </c>
      <c r="H75" s="156">
        <f t="shared" si="12"/>
        <v>0</v>
      </c>
      <c r="I75" s="156">
        <f t="shared" si="13"/>
        <v>0</v>
      </c>
      <c r="J75" s="156">
        <f t="shared" si="14"/>
        <v>8815625</v>
      </c>
      <c r="K75" s="156">
        <v>0</v>
      </c>
      <c r="L75" s="156">
        <v>1500000</v>
      </c>
      <c r="M75" s="156">
        <v>0</v>
      </c>
      <c r="N75" s="156">
        <v>0</v>
      </c>
      <c r="O75" s="156">
        <f t="shared" si="16"/>
        <v>1500000</v>
      </c>
      <c r="P75" s="156">
        <f t="shared" si="17"/>
        <v>1363636.3636363635</v>
      </c>
      <c r="Q75" s="156">
        <f t="shared" si="18"/>
        <v>1363636.3636363635</v>
      </c>
      <c r="R75" s="156">
        <f t="shared" si="15"/>
        <v>6.4647916666666676</v>
      </c>
    </row>
    <row r="76" spans="1:18" x14ac:dyDescent="0.3">
      <c r="A76" s="120">
        <v>73</v>
      </c>
      <c r="B76" s="263" t="s">
        <v>824</v>
      </c>
      <c r="C76" s="264">
        <v>8750000</v>
      </c>
      <c r="D76" s="264">
        <v>0</v>
      </c>
      <c r="E76" s="156">
        <v>0</v>
      </c>
      <c r="F76" s="156">
        <f t="shared" si="10"/>
        <v>65625</v>
      </c>
      <c r="G76" s="156">
        <f t="shared" si="11"/>
        <v>8815625</v>
      </c>
      <c r="H76" s="156">
        <f t="shared" si="12"/>
        <v>0</v>
      </c>
      <c r="I76" s="156">
        <f t="shared" si="13"/>
        <v>0</v>
      </c>
      <c r="J76" s="156">
        <f t="shared" si="14"/>
        <v>8815625</v>
      </c>
      <c r="K76" s="156">
        <v>0</v>
      </c>
      <c r="L76" s="156">
        <v>1500000</v>
      </c>
      <c r="M76" s="156">
        <v>0</v>
      </c>
      <c r="N76" s="156">
        <v>0</v>
      </c>
      <c r="O76" s="156">
        <f t="shared" si="16"/>
        <v>1500000</v>
      </c>
      <c r="P76" s="156">
        <f t="shared" si="17"/>
        <v>1363636.3636363635</v>
      </c>
      <c r="Q76" s="156">
        <f t="shared" si="18"/>
        <v>1363636.3636363635</v>
      </c>
      <c r="R76" s="156">
        <f t="shared" si="15"/>
        <v>6.4647916666666676</v>
      </c>
    </row>
    <row r="77" spans="1:18" x14ac:dyDescent="0.3">
      <c r="A77" s="120">
        <v>74</v>
      </c>
      <c r="B77" s="263" t="s">
        <v>825</v>
      </c>
      <c r="C77" s="264">
        <v>8750000</v>
      </c>
      <c r="D77" s="264">
        <v>0</v>
      </c>
      <c r="E77" s="156">
        <v>0</v>
      </c>
      <c r="F77" s="156">
        <f t="shared" si="10"/>
        <v>65625</v>
      </c>
      <c r="G77" s="156">
        <f t="shared" si="11"/>
        <v>8815625</v>
      </c>
      <c r="H77" s="156">
        <f t="shared" si="12"/>
        <v>0</v>
      </c>
      <c r="I77" s="156">
        <f t="shared" si="13"/>
        <v>0</v>
      </c>
      <c r="J77" s="156">
        <f t="shared" si="14"/>
        <v>8815625</v>
      </c>
      <c r="K77" s="156">
        <v>0</v>
      </c>
      <c r="L77" s="156">
        <v>1500000</v>
      </c>
      <c r="M77" s="156">
        <v>0</v>
      </c>
      <c r="N77" s="156">
        <v>0</v>
      </c>
      <c r="O77" s="156">
        <f t="shared" si="16"/>
        <v>1500000</v>
      </c>
      <c r="P77" s="156">
        <f t="shared" si="17"/>
        <v>1363636.3636363635</v>
      </c>
      <c r="Q77" s="156">
        <f t="shared" si="18"/>
        <v>1363636.3636363635</v>
      </c>
      <c r="R77" s="156">
        <f t="shared" si="15"/>
        <v>6.4647916666666676</v>
      </c>
    </row>
    <row r="78" spans="1:18" x14ac:dyDescent="0.3">
      <c r="A78" s="120">
        <v>75</v>
      </c>
      <c r="B78" s="263" t="s">
        <v>826</v>
      </c>
      <c r="C78" s="264">
        <v>8750000</v>
      </c>
      <c r="D78" s="264">
        <v>0</v>
      </c>
      <c r="E78" s="156">
        <v>0</v>
      </c>
      <c r="F78" s="156">
        <f t="shared" si="10"/>
        <v>65625</v>
      </c>
      <c r="G78" s="156">
        <f t="shared" si="11"/>
        <v>8815625</v>
      </c>
      <c r="H78" s="156">
        <f t="shared" si="12"/>
        <v>0</v>
      </c>
      <c r="I78" s="156">
        <f t="shared" si="13"/>
        <v>0</v>
      </c>
      <c r="J78" s="156">
        <f t="shared" si="14"/>
        <v>8815625</v>
      </c>
      <c r="K78" s="156">
        <v>0</v>
      </c>
      <c r="L78" s="156">
        <v>1500000</v>
      </c>
      <c r="M78" s="156">
        <v>0</v>
      </c>
      <c r="N78" s="156">
        <v>0</v>
      </c>
      <c r="O78" s="156">
        <f t="shared" si="16"/>
        <v>1500000</v>
      </c>
      <c r="P78" s="156">
        <f t="shared" si="17"/>
        <v>1363636.3636363635</v>
      </c>
      <c r="Q78" s="156">
        <f t="shared" si="18"/>
        <v>1363636.3636363635</v>
      </c>
      <c r="R78" s="156">
        <f t="shared" si="15"/>
        <v>6.4647916666666676</v>
      </c>
    </row>
    <row r="79" spans="1:18" x14ac:dyDescent="0.3">
      <c r="A79" s="120">
        <v>76</v>
      </c>
      <c r="B79" s="263" t="s">
        <v>827</v>
      </c>
      <c r="C79" s="264">
        <v>8750000</v>
      </c>
      <c r="D79" s="264">
        <v>0</v>
      </c>
      <c r="E79" s="156">
        <v>0</v>
      </c>
      <c r="F79" s="156">
        <f t="shared" si="10"/>
        <v>65625</v>
      </c>
      <c r="G79" s="156">
        <f t="shared" si="11"/>
        <v>8815625</v>
      </c>
      <c r="H79" s="156">
        <f t="shared" si="12"/>
        <v>0</v>
      </c>
      <c r="I79" s="156">
        <f t="shared" si="13"/>
        <v>0</v>
      </c>
      <c r="J79" s="156">
        <f t="shared" si="14"/>
        <v>8815625</v>
      </c>
      <c r="K79" s="156">
        <v>0</v>
      </c>
      <c r="L79" s="156">
        <v>1500000</v>
      </c>
      <c r="M79" s="156">
        <v>0</v>
      </c>
      <c r="N79" s="156">
        <v>0</v>
      </c>
      <c r="O79" s="156">
        <f t="shared" si="16"/>
        <v>1500000</v>
      </c>
      <c r="P79" s="156">
        <f t="shared" si="17"/>
        <v>1363636.3636363635</v>
      </c>
      <c r="Q79" s="156">
        <f t="shared" si="18"/>
        <v>1363636.3636363635</v>
      </c>
      <c r="R79" s="156">
        <f t="shared" si="15"/>
        <v>6.4647916666666676</v>
      </c>
    </row>
    <row r="80" spans="1:18" x14ac:dyDescent="0.3">
      <c r="A80" s="120">
        <v>77</v>
      </c>
      <c r="B80" s="263" t="s">
        <v>828</v>
      </c>
      <c r="C80" s="264">
        <v>8750000</v>
      </c>
      <c r="D80" s="264">
        <v>0</v>
      </c>
      <c r="E80" s="156">
        <v>0</v>
      </c>
      <c r="F80" s="156">
        <f t="shared" si="10"/>
        <v>65625</v>
      </c>
      <c r="G80" s="156">
        <f t="shared" si="11"/>
        <v>8815625</v>
      </c>
      <c r="H80" s="156">
        <f t="shared" si="12"/>
        <v>0</v>
      </c>
      <c r="I80" s="156">
        <f t="shared" si="13"/>
        <v>0</v>
      </c>
      <c r="J80" s="156">
        <f t="shared" si="14"/>
        <v>8815625</v>
      </c>
      <c r="K80" s="156">
        <v>0</v>
      </c>
      <c r="L80" s="156">
        <v>1500000</v>
      </c>
      <c r="M80" s="156">
        <v>0</v>
      </c>
      <c r="N80" s="156">
        <v>0</v>
      </c>
      <c r="O80" s="156">
        <f t="shared" si="16"/>
        <v>1500000</v>
      </c>
      <c r="P80" s="156">
        <f t="shared" si="17"/>
        <v>1363636.3636363635</v>
      </c>
      <c r="Q80" s="156">
        <f t="shared" si="18"/>
        <v>1363636.3636363635</v>
      </c>
      <c r="R80" s="156">
        <f t="shared" si="15"/>
        <v>6.4647916666666676</v>
      </c>
    </row>
    <row r="81" spans="1:18" x14ac:dyDescent="0.3">
      <c r="A81" s="120">
        <v>78</v>
      </c>
      <c r="B81" s="263" t="s">
        <v>829</v>
      </c>
      <c r="C81" s="264">
        <v>8750000</v>
      </c>
      <c r="D81" s="264">
        <v>0</v>
      </c>
      <c r="E81" s="156">
        <v>0</v>
      </c>
      <c r="F81" s="156">
        <f t="shared" si="10"/>
        <v>65625</v>
      </c>
      <c r="G81" s="156">
        <f t="shared" si="11"/>
        <v>8815625</v>
      </c>
      <c r="H81" s="156">
        <f t="shared" si="12"/>
        <v>0</v>
      </c>
      <c r="I81" s="156">
        <f t="shared" si="13"/>
        <v>0</v>
      </c>
      <c r="J81" s="156">
        <f t="shared" si="14"/>
        <v>8815625</v>
      </c>
      <c r="K81" s="156">
        <v>0</v>
      </c>
      <c r="L81" s="156">
        <v>1500000</v>
      </c>
      <c r="M81" s="156">
        <v>0</v>
      </c>
      <c r="N81" s="156">
        <v>0</v>
      </c>
      <c r="O81" s="156">
        <f t="shared" si="16"/>
        <v>1500000</v>
      </c>
      <c r="P81" s="156">
        <f t="shared" si="17"/>
        <v>1363636.3636363635</v>
      </c>
      <c r="Q81" s="156">
        <f t="shared" si="18"/>
        <v>1363636.3636363635</v>
      </c>
      <c r="R81" s="156">
        <f t="shared" si="15"/>
        <v>6.4647916666666676</v>
      </c>
    </row>
    <row r="82" spans="1:18" x14ac:dyDescent="0.3">
      <c r="A82" s="120">
        <v>79</v>
      </c>
      <c r="B82" s="263" t="s">
        <v>830</v>
      </c>
      <c r="C82" s="264">
        <v>8750000</v>
      </c>
      <c r="D82" s="264">
        <v>0</v>
      </c>
      <c r="E82" s="156">
        <v>0</v>
      </c>
      <c r="F82" s="156">
        <f t="shared" si="10"/>
        <v>65625</v>
      </c>
      <c r="G82" s="156">
        <f t="shared" si="11"/>
        <v>8815625</v>
      </c>
      <c r="H82" s="156">
        <f t="shared" si="12"/>
        <v>0</v>
      </c>
      <c r="I82" s="156">
        <f t="shared" si="13"/>
        <v>0</v>
      </c>
      <c r="J82" s="156">
        <f t="shared" si="14"/>
        <v>8815625</v>
      </c>
      <c r="K82" s="156">
        <v>0</v>
      </c>
      <c r="L82" s="156">
        <v>1500000</v>
      </c>
      <c r="M82" s="156">
        <v>0</v>
      </c>
      <c r="N82" s="156">
        <v>0</v>
      </c>
      <c r="O82" s="156">
        <f t="shared" si="16"/>
        <v>1500000</v>
      </c>
      <c r="P82" s="156">
        <f t="shared" si="17"/>
        <v>1363636.3636363635</v>
      </c>
      <c r="Q82" s="156">
        <f t="shared" si="18"/>
        <v>1363636.3636363635</v>
      </c>
      <c r="R82" s="156">
        <f t="shared" si="15"/>
        <v>6.4647916666666676</v>
      </c>
    </row>
    <row r="83" spans="1:18" x14ac:dyDescent="0.3">
      <c r="A83" s="120">
        <v>80</v>
      </c>
      <c r="B83" s="263" t="s">
        <v>831</v>
      </c>
      <c r="C83" s="264">
        <v>10000000</v>
      </c>
      <c r="D83" s="264">
        <v>0</v>
      </c>
      <c r="E83" s="156">
        <v>0</v>
      </c>
      <c r="F83" s="156">
        <f t="shared" si="10"/>
        <v>75000</v>
      </c>
      <c r="G83" s="156">
        <f t="shared" si="11"/>
        <v>10075000</v>
      </c>
      <c r="H83" s="156">
        <f t="shared" si="12"/>
        <v>0</v>
      </c>
      <c r="I83" s="156">
        <f t="shared" si="13"/>
        <v>0</v>
      </c>
      <c r="J83" s="156">
        <f t="shared" si="14"/>
        <v>10075000</v>
      </c>
      <c r="K83" s="156">
        <v>250000</v>
      </c>
      <c r="L83" s="156">
        <v>2200000</v>
      </c>
      <c r="M83" s="156">
        <v>0</v>
      </c>
      <c r="N83" s="156">
        <v>0</v>
      </c>
      <c r="O83" s="156">
        <f t="shared" si="16"/>
        <v>2200000</v>
      </c>
      <c r="P83" s="156">
        <f t="shared" si="17"/>
        <v>1999999.9999999998</v>
      </c>
      <c r="Q83" s="156">
        <f t="shared" si="18"/>
        <v>1749999.9999999998</v>
      </c>
      <c r="R83" s="156">
        <f t="shared" si="15"/>
        <v>5.757142857142858</v>
      </c>
    </row>
    <row r="84" spans="1:18" x14ac:dyDescent="0.3">
      <c r="A84" s="120">
        <v>81</v>
      </c>
      <c r="B84" s="263" t="s">
        <v>832</v>
      </c>
      <c r="C84" s="264">
        <v>10000000</v>
      </c>
      <c r="D84" s="264">
        <v>0</v>
      </c>
      <c r="E84" s="156">
        <v>0</v>
      </c>
      <c r="F84" s="156">
        <f t="shared" si="10"/>
        <v>75000</v>
      </c>
      <c r="G84" s="156">
        <f t="shared" si="11"/>
        <v>10075000</v>
      </c>
      <c r="H84" s="156">
        <f t="shared" si="12"/>
        <v>0</v>
      </c>
      <c r="I84" s="156">
        <f t="shared" si="13"/>
        <v>0</v>
      </c>
      <c r="J84" s="156">
        <f t="shared" si="14"/>
        <v>10075000</v>
      </c>
      <c r="K84" s="156">
        <v>250000</v>
      </c>
      <c r="L84" s="156">
        <v>2200000</v>
      </c>
      <c r="M84" s="156">
        <v>0</v>
      </c>
      <c r="N84" s="156">
        <v>0</v>
      </c>
      <c r="O84" s="156">
        <f t="shared" si="16"/>
        <v>2200000</v>
      </c>
      <c r="P84" s="156">
        <f t="shared" si="17"/>
        <v>1999999.9999999998</v>
      </c>
      <c r="Q84" s="156">
        <f t="shared" si="18"/>
        <v>1749999.9999999998</v>
      </c>
      <c r="R84" s="156">
        <f t="shared" si="15"/>
        <v>5.757142857142858</v>
      </c>
    </row>
    <row r="85" spans="1:18" x14ac:dyDescent="0.3">
      <c r="A85" s="120">
        <v>82</v>
      </c>
      <c r="B85" s="263" t="s">
        <v>833</v>
      </c>
      <c r="C85" s="264">
        <v>10000000</v>
      </c>
      <c r="D85" s="264">
        <v>0</v>
      </c>
      <c r="E85" s="156">
        <v>0</v>
      </c>
      <c r="F85" s="156">
        <f t="shared" si="10"/>
        <v>75000</v>
      </c>
      <c r="G85" s="156">
        <f t="shared" si="11"/>
        <v>10075000</v>
      </c>
      <c r="H85" s="156">
        <f t="shared" si="12"/>
        <v>0</v>
      </c>
      <c r="I85" s="156">
        <f t="shared" si="13"/>
        <v>0</v>
      </c>
      <c r="J85" s="156">
        <f t="shared" si="14"/>
        <v>10075000</v>
      </c>
      <c r="K85" s="156">
        <v>250000</v>
      </c>
      <c r="L85" s="156">
        <v>2200000</v>
      </c>
      <c r="M85" s="156">
        <v>0</v>
      </c>
      <c r="N85" s="156">
        <v>0</v>
      </c>
      <c r="O85" s="156">
        <f t="shared" si="16"/>
        <v>2200000</v>
      </c>
      <c r="P85" s="156">
        <f t="shared" si="17"/>
        <v>1999999.9999999998</v>
      </c>
      <c r="Q85" s="156">
        <f t="shared" si="18"/>
        <v>1749999.9999999998</v>
      </c>
      <c r="R85" s="156">
        <f t="shared" si="15"/>
        <v>5.757142857142858</v>
      </c>
    </row>
    <row r="86" spans="1:18" x14ac:dyDescent="0.3">
      <c r="A86" s="120">
        <v>83</v>
      </c>
      <c r="B86" s="263" t="s">
        <v>834</v>
      </c>
      <c r="C86" s="264">
        <v>10000000</v>
      </c>
      <c r="D86" s="264">
        <v>0</v>
      </c>
      <c r="E86" s="156">
        <v>0</v>
      </c>
      <c r="F86" s="156">
        <f t="shared" si="10"/>
        <v>75000</v>
      </c>
      <c r="G86" s="156">
        <f t="shared" si="11"/>
        <v>10075000</v>
      </c>
      <c r="H86" s="156">
        <f t="shared" si="12"/>
        <v>0</v>
      </c>
      <c r="I86" s="156">
        <f t="shared" si="13"/>
        <v>0</v>
      </c>
      <c r="J86" s="156">
        <f t="shared" si="14"/>
        <v>10075000</v>
      </c>
      <c r="K86" s="156">
        <v>250000</v>
      </c>
      <c r="L86" s="156">
        <v>2200000</v>
      </c>
      <c r="M86" s="156">
        <v>0</v>
      </c>
      <c r="N86" s="156">
        <v>0</v>
      </c>
      <c r="O86" s="156">
        <f t="shared" si="16"/>
        <v>2200000</v>
      </c>
      <c r="P86" s="156">
        <f t="shared" si="17"/>
        <v>1999999.9999999998</v>
      </c>
      <c r="Q86" s="156">
        <f t="shared" si="18"/>
        <v>1749999.9999999998</v>
      </c>
      <c r="R86" s="156">
        <f t="shared" si="15"/>
        <v>5.757142857142858</v>
      </c>
    </row>
    <row r="87" spans="1:18" x14ac:dyDescent="0.3">
      <c r="A87" s="120">
        <v>84</v>
      </c>
      <c r="B87" s="263" t="s">
        <v>840</v>
      </c>
      <c r="C87" s="264">
        <v>108495654.625</v>
      </c>
      <c r="D87" s="264">
        <v>0</v>
      </c>
      <c r="E87" s="156">
        <v>0</v>
      </c>
      <c r="F87" s="156">
        <f t="shared" si="10"/>
        <v>813717.40968749998</v>
      </c>
      <c r="G87" s="156">
        <f t="shared" si="11"/>
        <v>109309372.0346875</v>
      </c>
      <c r="H87" s="156">
        <f t="shared" si="12"/>
        <v>0</v>
      </c>
      <c r="I87" s="156">
        <f t="shared" si="13"/>
        <v>0</v>
      </c>
      <c r="J87" s="156">
        <f t="shared" si="14"/>
        <v>109309372.0346875</v>
      </c>
      <c r="K87" s="156">
        <v>5000000</v>
      </c>
      <c r="L87" s="156">
        <v>9100000</v>
      </c>
      <c r="M87" s="156">
        <v>0</v>
      </c>
      <c r="N87" s="156">
        <v>0</v>
      </c>
      <c r="O87" s="156">
        <f t="shared" si="16"/>
        <v>9100000</v>
      </c>
      <c r="P87" s="156">
        <f t="shared" si="17"/>
        <v>8272727.2727272725</v>
      </c>
      <c r="Q87" s="156">
        <f t="shared" si="18"/>
        <v>3272727.2727272725</v>
      </c>
      <c r="R87" s="156">
        <f t="shared" si="15"/>
        <v>33.400085899487848</v>
      </c>
    </row>
    <row r="88" spans="1:18" x14ac:dyDescent="0.3">
      <c r="A88" s="120">
        <v>85</v>
      </c>
      <c r="B88" s="263" t="s">
        <v>842</v>
      </c>
      <c r="C88" s="264">
        <v>81125117.5</v>
      </c>
      <c r="D88" s="264">
        <v>0</v>
      </c>
      <c r="E88" s="156">
        <v>0</v>
      </c>
      <c r="F88" s="156">
        <f t="shared" si="10"/>
        <v>608438.38124999998</v>
      </c>
      <c r="G88" s="156">
        <f t="shared" si="11"/>
        <v>81733555.881249994</v>
      </c>
      <c r="H88" s="156">
        <f t="shared" si="12"/>
        <v>0</v>
      </c>
      <c r="I88" s="156">
        <f t="shared" si="13"/>
        <v>0</v>
      </c>
      <c r="J88" s="156">
        <f t="shared" si="14"/>
        <v>81733555.881249994</v>
      </c>
      <c r="K88" s="156">
        <v>5000000</v>
      </c>
      <c r="L88" s="156">
        <v>9900000</v>
      </c>
      <c r="M88" s="156">
        <v>0</v>
      </c>
      <c r="N88" s="156">
        <v>0</v>
      </c>
      <c r="O88" s="156">
        <f t="shared" si="16"/>
        <v>9900000</v>
      </c>
      <c r="P88" s="156">
        <f t="shared" si="17"/>
        <v>9000000</v>
      </c>
      <c r="Q88" s="156">
        <f t="shared" si="18"/>
        <v>4000000</v>
      </c>
      <c r="R88" s="156">
        <f t="shared" si="15"/>
        <v>20.4333889703125</v>
      </c>
    </row>
    <row r="89" spans="1:18" x14ac:dyDescent="0.3">
      <c r="A89" s="120">
        <v>86</v>
      </c>
      <c r="B89" s="263" t="s">
        <v>844</v>
      </c>
      <c r="C89" s="264">
        <v>43669980</v>
      </c>
      <c r="D89" s="264">
        <v>0</v>
      </c>
      <c r="E89" s="156">
        <v>0</v>
      </c>
      <c r="F89" s="156">
        <f t="shared" si="10"/>
        <v>327524.84999999998</v>
      </c>
      <c r="G89" s="156">
        <f t="shared" si="11"/>
        <v>43997504.850000001</v>
      </c>
      <c r="H89" s="156">
        <f t="shared" si="12"/>
        <v>0</v>
      </c>
      <c r="I89" s="156">
        <f t="shared" si="13"/>
        <v>0</v>
      </c>
      <c r="J89" s="156">
        <f t="shared" si="14"/>
        <v>43997504.850000001</v>
      </c>
      <c r="K89" s="156">
        <v>4000000</v>
      </c>
      <c r="L89" s="156">
        <v>6250000</v>
      </c>
      <c r="M89" s="156">
        <v>0</v>
      </c>
      <c r="N89" s="156">
        <v>0</v>
      </c>
      <c r="O89" s="156">
        <f t="shared" si="16"/>
        <v>6250000</v>
      </c>
      <c r="P89" s="156">
        <f t="shared" si="17"/>
        <v>5681818.1818181816</v>
      </c>
      <c r="Q89" s="156">
        <f t="shared" si="18"/>
        <v>1681818.1818181816</v>
      </c>
      <c r="R89" s="156">
        <f t="shared" si="15"/>
        <v>26.160678559459463</v>
      </c>
    </row>
    <row r="90" spans="1:18" ht="28.8" x14ac:dyDescent="0.3">
      <c r="A90" s="120">
        <v>87</v>
      </c>
      <c r="B90" s="263" t="s">
        <v>987</v>
      </c>
      <c r="C90" s="264">
        <v>48646730</v>
      </c>
      <c r="D90" s="264">
        <v>0</v>
      </c>
      <c r="E90" s="156">
        <v>0</v>
      </c>
      <c r="F90" s="156">
        <f t="shared" si="10"/>
        <v>364850.47499999992</v>
      </c>
      <c r="G90" s="156">
        <f t="shared" si="11"/>
        <v>49011580.475000001</v>
      </c>
      <c r="H90" s="156">
        <f t="shared" si="12"/>
        <v>0</v>
      </c>
      <c r="I90" s="156">
        <f t="shared" si="13"/>
        <v>0</v>
      </c>
      <c r="J90" s="156">
        <f t="shared" si="14"/>
        <v>49011580.475000001</v>
      </c>
      <c r="K90" s="156">
        <v>4000000</v>
      </c>
      <c r="L90" s="156">
        <v>6400000</v>
      </c>
      <c r="M90" s="156">
        <v>0</v>
      </c>
      <c r="N90" s="156">
        <v>0</v>
      </c>
      <c r="O90" s="156">
        <f t="shared" si="16"/>
        <v>6400000</v>
      </c>
      <c r="P90" s="156">
        <f t="shared" si="17"/>
        <v>5818181.8181818174</v>
      </c>
      <c r="Q90" s="156">
        <f t="shared" si="18"/>
        <v>1818181.8181818174</v>
      </c>
      <c r="R90" s="156">
        <f t="shared" si="15"/>
        <v>26.956369261250011</v>
      </c>
    </row>
    <row r="91" spans="1:18" x14ac:dyDescent="0.3">
      <c r="A91" s="120">
        <v>88</v>
      </c>
      <c r="B91" s="263" t="s">
        <v>817</v>
      </c>
      <c r="C91" s="264">
        <f>439479545.0825+80000000</f>
        <v>519479545.08249998</v>
      </c>
      <c r="D91" s="264">
        <v>0</v>
      </c>
      <c r="E91" s="156">
        <v>0</v>
      </c>
      <c r="F91" s="156">
        <f t="shared" si="10"/>
        <v>3896096.5881187492</v>
      </c>
      <c r="G91" s="156">
        <f t="shared" si="11"/>
        <v>523375641.67061871</v>
      </c>
      <c r="H91" s="156">
        <f t="shared" si="12"/>
        <v>0</v>
      </c>
      <c r="I91" s="156">
        <f t="shared" si="13"/>
        <v>0</v>
      </c>
      <c r="J91" s="156">
        <f t="shared" si="14"/>
        <v>523375641.67061871</v>
      </c>
      <c r="K91" s="156">
        <v>3000000</v>
      </c>
      <c r="L91" s="156">
        <v>13400000</v>
      </c>
      <c r="M91" s="156">
        <v>0</v>
      </c>
      <c r="N91" s="156">
        <v>0</v>
      </c>
      <c r="O91" s="156">
        <f t="shared" si="16"/>
        <v>13400000</v>
      </c>
      <c r="P91" s="156">
        <f t="shared" si="17"/>
        <v>12181818.181818182</v>
      </c>
      <c r="Q91" s="156">
        <f t="shared" si="18"/>
        <v>9181818.1818181816</v>
      </c>
      <c r="R91" s="156">
        <f t="shared" si="15"/>
        <v>57.001307508681244</v>
      </c>
    </row>
    <row r="92" spans="1:18" x14ac:dyDescent="0.3">
      <c r="A92" s="120">
        <v>89</v>
      </c>
      <c r="B92" s="263" t="s">
        <v>843</v>
      </c>
      <c r="C92" s="264">
        <v>54733838</v>
      </c>
      <c r="D92" s="264">
        <v>0</v>
      </c>
      <c r="E92" s="156">
        <v>0</v>
      </c>
      <c r="F92" s="156">
        <f t="shared" si="10"/>
        <v>410503.78499999997</v>
      </c>
      <c r="G92" s="156">
        <f t="shared" si="11"/>
        <v>55144341.784999996</v>
      </c>
      <c r="H92" s="156">
        <f t="shared" si="12"/>
        <v>0</v>
      </c>
      <c r="I92" s="156">
        <f t="shared" si="13"/>
        <v>0</v>
      </c>
      <c r="J92" s="156">
        <f t="shared" si="14"/>
        <v>55144341.784999996</v>
      </c>
      <c r="K92" s="156">
        <v>5000000</v>
      </c>
      <c r="L92" s="156">
        <v>6800000</v>
      </c>
      <c r="M92" s="156">
        <v>0</v>
      </c>
      <c r="N92" s="156">
        <v>0</v>
      </c>
      <c r="O92" s="156">
        <f t="shared" si="16"/>
        <v>6800000</v>
      </c>
      <c r="P92" s="156">
        <f t="shared" si="17"/>
        <v>6181818.1818181816</v>
      </c>
      <c r="Q92" s="156">
        <f t="shared" si="18"/>
        <v>1181818.1818181816</v>
      </c>
      <c r="R92" s="156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69" t="s">
        <v>671</v>
      </c>
      <c r="B5" s="270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71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72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72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72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72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72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72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72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72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72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73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4" t="s">
        <v>1</v>
      </c>
      <c r="M1" s="274"/>
      <c r="N1" s="274"/>
      <c r="O1" s="274"/>
      <c r="P1" s="274"/>
      <c r="Q1" s="275" t="s">
        <v>2</v>
      </c>
      <c r="R1" s="275"/>
      <c r="S1" s="275"/>
      <c r="T1" s="275"/>
      <c r="U1" s="275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2026-04-16T17:12:57Z</dcterms:modified>
</cp:coreProperties>
</file>