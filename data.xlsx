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3E56817F-CB6D-4719-B467-A42DE35C12DE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7" i="24" l="1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<sst xmlns="http://schemas.openxmlformats.org/spreadsheetml/2006/main" count="3247" uniqueCount="1153">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</sst>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tabSelected="1" zoomScale="70" zoomScaleNormal="70" workbookViewId="0">
      <pane xSplit="3" ySplit="3" topLeftCell="D29" activePane="bottomRight" state="frozen"/>
      <selection pane="topRight" activeCell="D1" sqref="D1"/>
      <selection pane="bottomLeft" activeCell="A4" sqref="A4"/>
      <selection pane="bottomRight" activeCell="G38" sqref="G38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903</v>
      </c>
      <c r="H1" s="8" t="s">
        <v>904</v>
      </c>
      <c r="I1" s="31" t="s">
        <v>2</v>
      </c>
      <c r="J1" s="8" t="s">
        <v>145</v>
      </c>
      <c r="K1" s="8" t="s">
        <v>927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925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905</v>
      </c>
      <c r="I4" s="33" t="s">
        <v>905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905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986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905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905</v>
      </c>
      <c r="I10" s="31" t="s">
        <v>906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906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905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905</v>
      </c>
      <c r="I15" s="35" t="s">
        <v>905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905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905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905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905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905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905</v>
      </c>
      <c r="I25" s="35" t="s">
        <v>905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905</v>
      </c>
      <c r="I27" s="25" t="s">
        <v>901</v>
      </c>
      <c r="J27" s="97" t="s">
        <v>907</v>
      </c>
      <c r="K27" s="97" t="s">
        <v>907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905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905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907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905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923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905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924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905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909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356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907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907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910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907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907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905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907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907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907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911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1151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907</v>
      </c>
      <c r="K47" s="125" t="s">
        <v>907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912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913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907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907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914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907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907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907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907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907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907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907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907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907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907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915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916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905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917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907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918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905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919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907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920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907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907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907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907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907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907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907</v>
      </c>
      <c r="K76" s="125" t="s">
        <v>907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907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907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907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907</v>
      </c>
      <c r="K79" s="125" t="s">
        <v>907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907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907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902</v>
      </c>
      <c r="H81" s="27" t="s">
        <v>901</v>
      </c>
      <c r="I81" s="25" t="s">
        <v>901</v>
      </c>
      <c r="J81" s="125" t="s">
        <v>907</v>
      </c>
      <c r="K81" s="125" t="s">
        <v>907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907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908</v>
      </c>
      <c r="AG81" s="120"/>
      <c r="AH81" s="121" t="s">
        <v>908</v>
      </c>
      <c r="AI81" s="121" t="s">
        <v>908</v>
      </c>
      <c r="AJ81" s="121" t="s">
        <v>908</v>
      </c>
      <c r="AK81" s="121" t="s">
        <v>908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902</v>
      </c>
      <c r="H82" s="27" t="s">
        <v>901</v>
      </c>
      <c r="I82" s="25" t="s">
        <v>901</v>
      </c>
      <c r="J82" s="125" t="s">
        <v>907</v>
      </c>
      <c r="K82" s="125" t="s">
        <v>907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907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908</v>
      </c>
      <c r="AG82" s="120"/>
      <c r="AH82" s="121" t="s">
        <v>908</v>
      </c>
      <c r="AI82" s="121" t="s">
        <v>908</v>
      </c>
      <c r="AJ82" s="121" t="s">
        <v>908</v>
      </c>
      <c r="AK82" s="121" t="s">
        <v>908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902</v>
      </c>
      <c r="H83" s="27" t="s">
        <v>901</v>
      </c>
      <c r="I83" s="25" t="s">
        <v>901</v>
      </c>
      <c r="J83" s="125" t="s">
        <v>907</v>
      </c>
      <c r="K83" s="125" t="s">
        <v>907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907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908</v>
      </c>
      <c r="AG83" s="120"/>
      <c r="AH83" s="121" t="s">
        <v>908</v>
      </c>
      <c r="AI83" s="121" t="s">
        <v>908</v>
      </c>
      <c r="AJ83" s="121" t="s">
        <v>908</v>
      </c>
      <c r="AK83" s="121" t="s">
        <v>908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902</v>
      </c>
      <c r="H84" s="27" t="s">
        <v>901</v>
      </c>
      <c r="I84" s="25" t="s">
        <v>901</v>
      </c>
      <c r="J84" s="125" t="s">
        <v>907</v>
      </c>
      <c r="K84" s="125" t="s">
        <v>907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907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908</v>
      </c>
      <c r="AG84" s="120"/>
      <c r="AH84" s="121" t="s">
        <v>908</v>
      </c>
      <c r="AI84" s="121" t="s">
        <v>908</v>
      </c>
      <c r="AJ84" s="121" t="s">
        <v>908</v>
      </c>
      <c r="AK84" s="121" t="s">
        <v>908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902</v>
      </c>
      <c r="H85" s="27" t="s">
        <v>901</v>
      </c>
      <c r="I85" s="25" t="s">
        <v>901</v>
      </c>
      <c r="J85" s="125" t="s">
        <v>907</v>
      </c>
      <c r="K85" s="125" t="s">
        <v>907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907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908</v>
      </c>
      <c r="AG85" s="120"/>
      <c r="AH85" s="121" t="s">
        <v>908</v>
      </c>
      <c r="AI85" s="121" t="s">
        <v>908</v>
      </c>
      <c r="AJ85" s="121" t="s">
        <v>908</v>
      </c>
      <c r="AK85" s="121" t="s">
        <v>908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902</v>
      </c>
      <c r="H86" s="27" t="s">
        <v>901</v>
      </c>
      <c r="I86" s="25" t="s">
        <v>901</v>
      </c>
      <c r="J86" s="125" t="s">
        <v>907</v>
      </c>
      <c r="K86" s="125" t="s">
        <v>907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907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908</v>
      </c>
      <c r="AG86" s="120"/>
      <c r="AH86" s="121" t="s">
        <v>908</v>
      </c>
      <c r="AI86" s="121" t="s">
        <v>908</v>
      </c>
      <c r="AJ86" s="121" t="s">
        <v>908</v>
      </c>
      <c r="AK86" s="121" t="s">
        <v>908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902</v>
      </c>
      <c r="H87" s="27" t="s">
        <v>901</v>
      </c>
      <c r="I87" s="25" t="s">
        <v>901</v>
      </c>
      <c r="J87" s="125" t="s">
        <v>907</v>
      </c>
      <c r="K87" s="125" t="s">
        <v>907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907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908</v>
      </c>
      <c r="AG87" s="120"/>
      <c r="AH87" s="121" t="s">
        <v>908</v>
      </c>
      <c r="AI87" s="121" t="s">
        <v>908</v>
      </c>
      <c r="AJ87" s="121" t="s">
        <v>908</v>
      </c>
      <c r="AK87" s="121" t="s">
        <v>908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902</v>
      </c>
      <c r="H88" s="27" t="s">
        <v>901</v>
      </c>
      <c r="I88" s="25" t="s">
        <v>901</v>
      </c>
      <c r="J88" s="125" t="s">
        <v>907</v>
      </c>
      <c r="K88" s="125" t="s">
        <v>907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907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908</v>
      </c>
      <c r="AG88" s="120"/>
      <c r="AH88" s="121" t="s">
        <v>908</v>
      </c>
      <c r="AI88" s="121" t="s">
        <v>908</v>
      </c>
      <c r="AJ88" s="121" t="s">
        <v>908</v>
      </c>
      <c r="AK88" s="121" t="s">
        <v>908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902</v>
      </c>
      <c r="H89" s="27" t="s">
        <v>901</v>
      </c>
      <c r="I89" s="25" t="s">
        <v>901</v>
      </c>
      <c r="J89" s="125" t="s">
        <v>907</v>
      </c>
      <c r="K89" s="125" t="s">
        <v>907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907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926</v>
      </c>
      <c r="AG89" s="120"/>
      <c r="AH89" s="121" t="s">
        <v>908</v>
      </c>
      <c r="AI89" s="121" t="s">
        <v>908</v>
      </c>
      <c r="AJ89" s="121" t="s">
        <v>908</v>
      </c>
      <c r="AK89" s="121" t="s">
        <v>908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902</v>
      </c>
      <c r="H90" s="27" t="s">
        <v>901</v>
      </c>
      <c r="I90" s="25" t="s">
        <v>901</v>
      </c>
      <c r="J90" s="125" t="s">
        <v>907</v>
      </c>
      <c r="K90" s="125" t="s">
        <v>907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907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926</v>
      </c>
      <c r="AG90" s="120"/>
      <c r="AH90" s="121" t="s">
        <v>908</v>
      </c>
      <c r="AI90" s="121" t="s">
        <v>908</v>
      </c>
      <c r="AJ90" s="121" t="s">
        <v>908</v>
      </c>
      <c r="AK90" s="121" t="s">
        <v>908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902</v>
      </c>
      <c r="H91" s="27" t="s">
        <v>901</v>
      </c>
      <c r="I91" s="25" t="s">
        <v>901</v>
      </c>
      <c r="J91" s="125" t="s">
        <v>907</v>
      </c>
      <c r="K91" s="125" t="s">
        <v>907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907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926</v>
      </c>
      <c r="AG91" s="120"/>
      <c r="AH91" s="121" t="s">
        <v>908</v>
      </c>
      <c r="AI91" s="121" t="s">
        <v>908</v>
      </c>
      <c r="AJ91" s="121" t="s">
        <v>908</v>
      </c>
      <c r="AK91" s="121" t="s">
        <v>908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902</v>
      </c>
      <c r="H92" s="27" t="s">
        <v>901</v>
      </c>
      <c r="I92" s="25" t="s">
        <v>901</v>
      </c>
      <c r="J92" s="125" t="s">
        <v>907</v>
      </c>
      <c r="K92" s="125" t="s">
        <v>907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907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926</v>
      </c>
      <c r="AG92" s="120"/>
      <c r="AH92" s="121" t="s">
        <v>908</v>
      </c>
      <c r="AI92" s="121" t="s">
        <v>908</v>
      </c>
      <c r="AJ92" s="121" t="s">
        <v>908</v>
      </c>
      <c r="AK92" s="121" t="s">
        <v>908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921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907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907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987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907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922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907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907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1045</v>
      </c>
      <c r="C101" s="2" t="s">
        <v>402</v>
      </c>
      <c r="D101" s="2">
        <v>106.60477</v>
      </c>
      <c r="E101" s="2">
        <v>10.977980000000001</v>
      </c>
      <c r="F101" s="2" t="s">
        <v>1140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1141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1142</v>
      </c>
      <c r="AI101" s="2" t="s">
        <v>1141</v>
      </c>
      <c r="AJ101" s="2" t="s">
        <v>406</v>
      </c>
      <c r="AK101" s="2" t="s">
        <v>1143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1144</v>
      </c>
      <c r="C102" s="2" t="s">
        <v>15</v>
      </c>
      <c r="D102" s="2">
        <v>106.63862</v>
      </c>
      <c r="E102" s="2">
        <v>10.901565</v>
      </c>
      <c r="F102" s="2" t="s">
        <v>1145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1146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1147</v>
      </c>
      <c r="AI102" s="2" t="s">
        <v>1146</v>
      </c>
      <c r="AJ102" s="41" t="s">
        <v>1148</v>
      </c>
      <c r="AK102" s="2" t="s">
        <v>1149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B20" sqref="B20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928</v>
      </c>
      <c r="D1" s="157" t="s">
        <v>929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930</v>
      </c>
      <c r="J1" s="157" t="s">
        <v>993</v>
      </c>
      <c r="K1" s="157" t="s">
        <v>931</v>
      </c>
      <c r="L1" s="157" t="s">
        <v>932</v>
      </c>
      <c r="M1" s="157" t="s">
        <v>933</v>
      </c>
      <c r="N1" s="157" t="s">
        <v>934</v>
      </c>
      <c r="O1" s="157" t="s">
        <v>935</v>
      </c>
      <c r="P1" s="157" t="s">
        <v>936</v>
      </c>
      <c r="Q1" s="157" t="s">
        <v>937</v>
      </c>
      <c r="R1" s="157" t="s">
        <v>938</v>
      </c>
      <c r="S1" s="157" t="s">
        <v>939</v>
      </c>
      <c r="T1" s="159" t="s">
        <v>940</v>
      </c>
      <c r="U1" s="159" t="s">
        <v>941</v>
      </c>
      <c r="V1" s="159" t="s">
        <v>942</v>
      </c>
      <c r="W1" s="159" t="s">
        <v>943</v>
      </c>
      <c r="X1" s="159" t="s">
        <v>944</v>
      </c>
      <c r="Y1" s="159" t="s">
        <v>945</v>
      </c>
      <c r="Z1" s="159" t="s">
        <v>946</v>
      </c>
      <c r="AA1" s="159" t="s">
        <v>947</v>
      </c>
      <c r="AB1" s="159" t="s">
        <v>947</v>
      </c>
      <c r="AC1" s="159" t="s">
        <v>988</v>
      </c>
      <c r="AD1" s="159" t="s">
        <v>989</v>
      </c>
      <c r="AE1" s="159" t="s">
        <v>990</v>
      </c>
      <c r="AF1" s="159" t="s">
        <v>991</v>
      </c>
      <c r="AG1" s="159" t="s">
        <v>992</v>
      </c>
      <c r="AH1" s="160" t="s">
        <v>948</v>
      </c>
      <c r="AI1" s="157" t="s">
        <v>949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29</v>
      </c>
      <c r="AI4" s="172">
        <f>3*D4</f>
        <v>19500000</v>
      </c>
      <c r="AJ4" s="164" t="s">
        <v>950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64</v>
      </c>
      <c r="AI5" s="175">
        <f>3*D5</f>
        <v>21000000</v>
      </c>
      <c r="AJ5" s="173" t="s">
        <v>951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28</v>
      </c>
      <c r="AI6" s="172">
        <f>3*D6</f>
        <v>17625000</v>
      </c>
      <c r="AJ6" s="164" t="s">
        <v>952</v>
      </c>
    </row>
    <row r="7" spans="1:36" x14ac:dyDescent="0.2">
      <c r="A7" s="173">
        <v>4</v>
      </c>
      <c r="B7" s="173" t="s">
        <v>986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-1</v>
      </c>
      <c r="AI7" s="175">
        <f>6*D7</f>
        <v>24000000</v>
      </c>
      <c r="AJ7" s="173" t="s">
        <v>953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59</v>
      </c>
      <c r="AI8" s="166">
        <f>3*D8</f>
        <v>14250000</v>
      </c>
      <c r="AJ8" s="164" t="s">
        <v>952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43</v>
      </c>
      <c r="AI9" s="166">
        <f>3*D9</f>
        <v>24900000</v>
      </c>
      <c r="AJ9" s="164" t="s">
        <v>954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-1</v>
      </c>
      <c r="AI10" s="166">
        <f>D10*3</f>
        <v>18000000</v>
      </c>
      <c r="AJ10" s="164" t="s">
        <v>952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-8</v>
      </c>
      <c r="AI11" s="189">
        <f>D11*3</f>
        <v>21000000</v>
      </c>
      <c r="AJ11" s="165" t="s">
        <v>952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-1</v>
      </c>
      <c r="AI12" s="166">
        <f>3*D12</f>
        <v>19500000</v>
      </c>
      <c r="AJ12" s="164" t="s">
        <v>955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956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0</v>
      </c>
      <c r="AI13" s="166">
        <f>3*7000000</f>
        <v>21000000</v>
      </c>
      <c r="AJ13" s="164" t="s">
        <v>952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9</v>
      </c>
      <c r="AI14" s="166">
        <f>3*D14</f>
        <v>18000000</v>
      </c>
      <c r="AJ14" s="164" t="s">
        <v>955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140</v>
      </c>
      <c r="AI15" s="166">
        <f>6*D15</f>
        <v>42000000</v>
      </c>
      <c r="AJ15" s="164" t="s">
        <v>953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53</v>
      </c>
      <c r="AI16" s="166">
        <f>6*D16</f>
        <v>39600000</v>
      </c>
      <c r="AJ16" s="164" t="s">
        <v>953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957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60</v>
      </c>
      <c r="AI17" s="166">
        <f>3*D17</f>
        <v>21000000</v>
      </c>
      <c r="AJ17" s="164" t="s">
        <v>952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74</v>
      </c>
      <c r="AI18" s="166">
        <f>6*D18</f>
        <v>31800000</v>
      </c>
      <c r="AJ18" s="164" t="s">
        <v>953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40</v>
      </c>
      <c r="AI19" s="166">
        <f>3*D19</f>
        <v>18000000</v>
      </c>
      <c r="AJ19" s="164" t="s">
        <v>955</v>
      </c>
    </row>
    <row r="20" spans="1:36" x14ac:dyDescent="0.2">
      <c r="A20" s="164" t="s">
        <v>1152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152</v>
      </c>
      <c r="AI20" s="175">
        <f>6*D20</f>
        <v>30000000</v>
      </c>
      <c r="AJ20" s="173" t="s">
        <v>953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64</v>
      </c>
      <c r="AI21" s="166">
        <f>3*D21</f>
        <v>19500000</v>
      </c>
      <c r="AJ21" s="164" t="s">
        <v>952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128</v>
      </c>
      <c r="AI22" s="166">
        <f>6*D22</f>
        <v>24000000</v>
      </c>
      <c r="AJ22" s="164" t="s">
        <v>953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958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128</v>
      </c>
      <c r="AI23" s="166">
        <f>D23*6</f>
        <v>36000000</v>
      </c>
      <c r="AJ23" s="164" t="s">
        <v>953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81</v>
      </c>
      <c r="AI24" s="189">
        <f>3*D24</f>
        <v>15000000</v>
      </c>
      <c r="AJ24" s="164" t="s">
        <v>959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960</v>
      </c>
      <c r="F25" s="175" t="s">
        <v>961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43</v>
      </c>
      <c r="AI25" s="175">
        <f>3*D25</f>
        <v>19500000</v>
      </c>
      <c r="AJ25" s="173" t="s">
        <v>955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-1</v>
      </c>
      <c r="AI26" s="166">
        <f>6*D26</f>
        <v>36000000</v>
      </c>
      <c r="AJ26" s="164" t="s">
        <v>962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963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29</v>
      </c>
      <c r="AI27" s="166">
        <f>3*D27</f>
        <v>15000000</v>
      </c>
      <c r="AJ27" s="164" t="s">
        <v>955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75</v>
      </c>
      <c r="AI28" s="175">
        <f>6*D28</f>
        <v>34500000</v>
      </c>
      <c r="AJ28" s="173" t="s">
        <v>953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1150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90</v>
      </c>
      <c r="AI29" s="203">
        <f>D29*6</f>
        <v>42000000</v>
      </c>
      <c r="AJ29" s="164" t="s">
        <v>964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33</v>
      </c>
      <c r="AI30" s="203">
        <f>D30*3</f>
        <v>9000000</v>
      </c>
      <c r="AJ30" s="164" t="s">
        <v>959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161</v>
      </c>
      <c r="AI31" s="196">
        <f>D31*6</f>
        <v>51000000</v>
      </c>
      <c r="AJ31" s="173" t="s">
        <v>953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69</v>
      </c>
      <c r="AI32" s="203">
        <f t="shared" ref="AI32:AI36" si="40">D32*3</f>
        <v>15000000</v>
      </c>
      <c r="AJ32" s="164" t="s">
        <v>959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26</v>
      </c>
      <c r="AI33" s="207">
        <f t="shared" si="40"/>
        <v>21000000</v>
      </c>
      <c r="AJ33" s="164" t="s">
        <v>959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53</v>
      </c>
      <c r="AI34" s="196">
        <f t="shared" si="40"/>
        <v>15000000</v>
      </c>
      <c r="AJ34" s="173" t="s">
        <v>959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59</v>
      </c>
      <c r="AI35" s="203">
        <f t="shared" si="40"/>
        <v>15000000</v>
      </c>
      <c r="AJ35" s="164" t="s">
        <v>959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59</v>
      </c>
      <c r="AI36" s="203">
        <f t="shared" si="40"/>
        <v>16500000</v>
      </c>
      <c r="AJ36" s="164" t="s">
        <v>959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60</v>
      </c>
      <c r="AI37" s="203">
        <f>D37*6</f>
        <v>46200000</v>
      </c>
      <c r="AJ37" s="164" t="s">
        <v>962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60</v>
      </c>
      <c r="AI38" s="203">
        <f>D38*6</f>
        <v>36000000</v>
      </c>
      <c r="AJ38" s="164" t="s">
        <v>962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74</v>
      </c>
      <c r="AI39" s="203">
        <f>D39*6</f>
        <v>42000000</v>
      </c>
      <c r="AJ39" s="164" t="s">
        <v>962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74</v>
      </c>
      <c r="AI40" s="203">
        <f>D40*3</f>
        <v>24000000</v>
      </c>
      <c r="AJ40" s="164" t="s">
        <v>959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-8</v>
      </c>
      <c r="AI41" s="203">
        <f>D41*3</f>
        <v>21000000</v>
      </c>
      <c r="AJ41" s="164" t="s">
        <v>965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29</v>
      </c>
      <c r="AI42" s="203">
        <f t="shared" ref="AI42:AI43" si="49">D42*3</f>
        <v>19500000</v>
      </c>
      <c r="AJ42" s="164" t="s">
        <v>966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43</v>
      </c>
      <c r="AI43" s="196">
        <f t="shared" si="49"/>
        <v>18000000</v>
      </c>
      <c r="AJ43" s="173" t="s">
        <v>966</v>
      </c>
    </row>
    <row r="44" spans="1:36" x14ac:dyDescent="0.2">
      <c r="A44" s="164" t="s">
        <v>1152</v>
      </c>
      <c r="B44" s="164" t="s">
        <v>1151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967</v>
      </c>
      <c r="K44" s="169" t="s">
        <v>967</v>
      </c>
      <c r="L44" s="169" t="s">
        <v>967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29</v>
      </c>
      <c r="AI44" s="203">
        <f>D44*6</f>
        <v>36000000</v>
      </c>
      <c r="AJ44" s="164" t="s">
        <v>968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161</v>
      </c>
      <c r="AI45" s="196">
        <f>D45*6</f>
        <v>25800000</v>
      </c>
      <c r="AJ45" s="173" t="s">
        <v>969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13</v>
      </c>
      <c r="AI46" s="203">
        <f>D46*1</f>
        <v>6000000</v>
      </c>
      <c r="AJ46" s="164" t="s">
        <v>970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135</v>
      </c>
      <c r="AI47" s="203">
        <v>24000000</v>
      </c>
      <c r="AJ47" s="164" t="s">
        <v>969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135</v>
      </c>
      <c r="AI48" s="203">
        <v>24000000</v>
      </c>
      <c r="AJ48" s="164" t="s">
        <v>969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151</v>
      </c>
      <c r="AI49" s="203">
        <f>D49*6</f>
        <v>39000000</v>
      </c>
      <c r="AJ49" s="164" t="s">
        <v>969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29</v>
      </c>
      <c r="AI50" s="203">
        <f>D50*6</f>
        <v>36000000</v>
      </c>
      <c r="AJ50" s="164" t="s">
        <v>971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972</v>
      </c>
      <c r="F51" s="175" t="s">
        <v>629</v>
      </c>
      <c r="G51" s="175" t="s">
        <v>973</v>
      </c>
      <c r="H51" s="175" t="s">
        <v>974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111</v>
      </c>
      <c r="AI51" s="196">
        <f t="shared" ref="AI51:AI60" si="56">D51*6</f>
        <v>36000000</v>
      </c>
      <c r="AJ51" s="173" t="s">
        <v>971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975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90</v>
      </c>
      <c r="AI52" s="203">
        <f>D52*6</f>
        <v>39000000</v>
      </c>
      <c r="AJ52" s="164" t="s">
        <v>971</v>
      </c>
    </row>
    <row r="53" spans="1:36" x14ac:dyDescent="0.2">
      <c r="A53" s="173">
        <v>50</v>
      </c>
      <c r="B53" s="164" t="s">
        <v>645</v>
      </c>
      <c r="C53" s="165" t="s">
        <v>976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86</v>
      </c>
      <c r="AI53" s="203">
        <f t="shared" si="56"/>
        <v>27000000</v>
      </c>
      <c r="AJ53" s="164" t="s">
        <v>971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85</v>
      </c>
      <c r="AI54" s="203">
        <f t="shared" si="56"/>
        <v>24000000</v>
      </c>
      <c r="AJ54" s="164" t="s">
        <v>971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121</v>
      </c>
      <c r="AI55" s="203">
        <f t="shared" si="56"/>
        <v>33000000</v>
      </c>
      <c r="AJ55" s="164" t="s">
        <v>969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-5</v>
      </c>
      <c r="AI56" s="203">
        <f t="shared" si="56"/>
        <v>24000000</v>
      </c>
      <c r="AJ56" s="164" t="s">
        <v>977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8</v>
      </c>
      <c r="AI57" s="203">
        <f t="shared" si="56"/>
        <v>24000000</v>
      </c>
      <c r="AJ57" s="164" t="s">
        <v>978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156</v>
      </c>
      <c r="AI58" s="203">
        <f t="shared" si="56"/>
        <v>24000000</v>
      </c>
      <c r="AJ58" s="164" t="s">
        <v>971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29</v>
      </c>
      <c r="AI59" s="203">
        <f t="shared" si="56"/>
        <v>24000000</v>
      </c>
      <c r="AJ59" s="164" t="s">
        <v>978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29</v>
      </c>
      <c r="AI60" s="203">
        <f t="shared" si="56"/>
        <v>24000000</v>
      </c>
      <c r="AJ60" s="164" t="s">
        <v>978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20</v>
      </c>
      <c r="AI61" s="203">
        <f>D61*6</f>
        <v>24000000</v>
      </c>
      <c r="AJ61" s="164" t="s">
        <v>978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979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65</v>
      </c>
      <c r="AI62" s="203">
        <f t="shared" ref="AI62:AI85" si="61">D62*6</f>
        <v>24000000</v>
      </c>
      <c r="AJ62" s="164" t="s">
        <v>978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74</v>
      </c>
      <c r="AI63" s="203">
        <f t="shared" si="61"/>
        <v>30000000</v>
      </c>
      <c r="AJ63" s="164" t="s">
        <v>978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69</v>
      </c>
      <c r="AI64" s="203">
        <f>D64*6</f>
        <v>33000000</v>
      </c>
      <c r="AJ64" s="164" t="s">
        <v>978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79</v>
      </c>
      <c r="AI65" s="203">
        <f t="shared" si="61"/>
        <v>42000000</v>
      </c>
      <c r="AJ65" s="164" t="s">
        <v>978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980</v>
      </c>
      <c r="H66" s="166" t="s">
        <v>718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99</v>
      </c>
      <c r="AI66" s="203">
        <f>D66*6</f>
        <v>45000000</v>
      </c>
      <c r="AJ66" s="173" t="s">
        <v>978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107</v>
      </c>
      <c r="AI67" s="203">
        <f t="shared" si="61"/>
        <v>30000000</v>
      </c>
      <c r="AJ67" s="164" t="s">
        <v>978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161</v>
      </c>
      <c r="AI68" s="203">
        <f t="shared" si="61"/>
        <v>33000000</v>
      </c>
      <c r="AJ68" s="164" t="s">
        <v>978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161</v>
      </c>
      <c r="AI69" s="203">
        <f t="shared" si="61"/>
        <v>30000000</v>
      </c>
      <c r="AJ69" s="164" t="s">
        <v>978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16</v>
      </c>
      <c r="AI70" s="203">
        <f t="shared" si="61"/>
        <v>30000000</v>
      </c>
      <c r="AJ70" s="164" t="s">
        <v>977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146</v>
      </c>
      <c r="AI71" s="203">
        <f t="shared" si="61"/>
        <v>27000000</v>
      </c>
      <c r="AJ71" s="164" t="s">
        <v>978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54</v>
      </c>
      <c r="AI72" s="203">
        <f t="shared" si="61"/>
        <v>36000000</v>
      </c>
      <c r="AJ72" s="164" t="s">
        <v>981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72</v>
      </c>
      <c r="AI73" s="203">
        <f t="shared" si="61"/>
        <v>24000000</v>
      </c>
      <c r="AJ73" s="164" t="s">
        <v>981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109</v>
      </c>
      <c r="AI74" s="203">
        <f t="shared" si="61"/>
        <v>42000000</v>
      </c>
      <c r="AJ74" s="164" t="s">
        <v>977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115</v>
      </c>
      <c r="AI75" s="203">
        <f t="shared" si="61"/>
        <v>24000000</v>
      </c>
      <c r="AJ75" s="164" t="s">
        <v>977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107</v>
      </c>
      <c r="AI76" s="203">
        <f t="shared" si="61"/>
        <v>24000000</v>
      </c>
      <c r="AJ76" s="164" t="s">
        <v>977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137</v>
      </c>
      <c r="AI77" s="203">
        <f t="shared" si="61"/>
        <v>30000000</v>
      </c>
      <c r="AJ77" s="164" t="s">
        <v>977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982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50</v>
      </c>
      <c r="AI78" s="203">
        <f t="shared" si="61"/>
        <v>18000000</v>
      </c>
      <c r="AJ78" s="164" t="s">
        <v>983</v>
      </c>
    </row>
    <row r="79" spans="1:36" x14ac:dyDescent="0.2">
      <c r="A79" s="164">
        <v>77</v>
      </c>
      <c r="B79" s="164" t="s">
        <v>987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984</v>
      </c>
      <c r="H79" s="164" t="s">
        <v>822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55</v>
      </c>
      <c r="AI79" s="203">
        <f t="shared" si="61"/>
        <v>24000000</v>
      </c>
      <c r="AJ79" s="164" t="s">
        <v>983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108</v>
      </c>
      <c r="AI80" s="203">
        <f t="shared" si="61"/>
        <v>30000000</v>
      </c>
      <c r="AJ80" s="222" t="s">
        <v>983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121</v>
      </c>
      <c r="AI81" s="203">
        <f t="shared" si="61"/>
        <v>30000000</v>
      </c>
      <c r="AJ81" s="164" t="s">
        <v>983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97</v>
      </c>
      <c r="AI82" s="203">
        <f t="shared" si="61"/>
        <v>24000000</v>
      </c>
      <c r="AJ82" s="222" t="s">
        <v>983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98</v>
      </c>
      <c r="AI83" s="203">
        <f t="shared" si="61"/>
        <v>30000000</v>
      </c>
      <c r="AJ83" s="164" t="s">
        <v>983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156</v>
      </c>
      <c r="AI84" s="203">
        <f t="shared" si="61"/>
        <v>24000000</v>
      </c>
      <c r="AJ84" s="164" t="s">
        <v>983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7"/>
        <v>46296</v>
      </c>
      <c r="M85" s="184">
        <f t="shared" si="67"/>
        <v>46478</v>
      </c>
      <c r="N85" s="184">
        <f t="shared" si="67"/>
        <v>46661</v>
      </c>
      <c r="O85" s="184">
        <f t="shared" si="67"/>
        <v>46844</v>
      </c>
      <c r="P85" s="184">
        <f t="shared" si="67"/>
        <v>47027</v>
      </c>
      <c r="Q85" s="184">
        <f t="shared" si="67"/>
        <v>47209</v>
      </c>
      <c r="R85" s="184">
        <f t="shared" si="67"/>
        <v>47392</v>
      </c>
      <c r="S85" s="184">
        <f t="shared" si="67"/>
        <v>47574</v>
      </c>
      <c r="T85" s="184">
        <f t="shared" si="67"/>
        <v>47757</v>
      </c>
      <c r="U85" s="184">
        <f t="shared" si="67"/>
        <v>47939</v>
      </c>
      <c r="V85" s="184">
        <f t="shared" si="67"/>
        <v>48122</v>
      </c>
      <c r="W85" s="184">
        <f t="shared" si="66"/>
        <v>48305</v>
      </c>
      <c r="X85" s="184">
        <f t="shared" si="66"/>
        <v>48488</v>
      </c>
      <c r="Y85" s="184">
        <f t="shared" si="66"/>
        <v>48670</v>
      </c>
      <c r="Z85" s="184">
        <f t="shared" si="66"/>
        <v>48853</v>
      </c>
      <c r="AA85" s="184">
        <f t="shared" si="66"/>
        <v>49035</v>
      </c>
      <c r="AB85" s="184">
        <f t="shared" si="66"/>
        <v>49218</v>
      </c>
      <c r="AC85" s="184">
        <f t="shared" si="66"/>
        <v>49400</v>
      </c>
      <c r="AD85" s="184">
        <f t="shared" si="66"/>
        <v>49583</v>
      </c>
      <c r="AE85" s="184">
        <f t="shared" si="66"/>
        <v>49766</v>
      </c>
      <c r="AF85" s="184">
        <f t="shared" si="66"/>
        <v>49949</v>
      </c>
      <c r="AG85" s="184">
        <f t="shared" si="66"/>
        <v>50131</v>
      </c>
      <c r="AH85" s="188">
        <f ca="1">K85-TODAY()</f>
        <v>-1</v>
      </c>
      <c r="AI85" s="203">
        <f t="shared" si="61"/>
        <v>36000000</v>
      </c>
      <c r="AJ85" s="164" t="s">
        <v>985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A87" sqref="A87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1061</v>
      </c>
      <c r="D1" s="157" t="s">
        <v>994</v>
      </c>
      <c r="E1" s="157" t="s">
        <v>995</v>
      </c>
      <c r="F1" s="157" t="s">
        <v>1062</v>
      </c>
      <c r="G1" s="230" t="s">
        <v>996</v>
      </c>
      <c r="H1" s="230" t="s">
        <v>997</v>
      </c>
      <c r="I1" s="230" t="s">
        <v>998</v>
      </c>
      <c r="J1" s="230" t="s">
        <v>999</v>
      </c>
      <c r="K1" s="230" t="s">
        <v>1000</v>
      </c>
      <c r="L1" s="230" t="s">
        <v>1001</v>
      </c>
      <c r="M1" s="230" t="s">
        <v>1002</v>
      </c>
      <c r="N1" s="230" t="s">
        <v>1003</v>
      </c>
      <c r="O1" s="230" t="s">
        <v>1003</v>
      </c>
      <c r="P1" s="230" t="s">
        <v>1004</v>
      </c>
      <c r="Q1" s="230" t="s">
        <v>1004</v>
      </c>
      <c r="R1" s="230" t="s">
        <v>1053</v>
      </c>
      <c r="S1" s="230" t="s">
        <v>1054</v>
      </c>
      <c r="T1" s="230" t="s">
        <v>1055</v>
      </c>
      <c r="U1" s="230" t="s">
        <v>1056</v>
      </c>
      <c r="V1" s="230" t="s">
        <v>1057</v>
      </c>
      <c r="W1" s="230" t="s">
        <v>1058</v>
      </c>
      <c r="X1" s="230" t="s">
        <v>1059</v>
      </c>
      <c r="Y1" s="230" t="s">
        <v>1060</v>
      </c>
      <c r="Z1" s="231" t="s">
        <v>1005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1006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1006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1006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986</v>
      </c>
      <c r="C7" s="189">
        <v>6300000</v>
      </c>
      <c r="D7" s="189"/>
      <c r="E7" s="164" t="s">
        <v>1006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1152</v>
      </c>
      <c r="B8" s="165" t="s">
        <v>95</v>
      </c>
      <c r="C8" s="189">
        <v>7680000</v>
      </c>
      <c r="D8" s="189"/>
      <c r="E8" s="164" t="s">
        <v>1007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1006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1006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1008</v>
      </c>
      <c r="E11" s="164" t="s">
        <v>1006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1006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1006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1009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1006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1006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1006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1010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1011</v>
      </c>
      <c r="E19" s="173" t="s">
        <v>1012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1013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1014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1015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1016</v>
      </c>
      <c r="E23" s="164" t="s">
        <v>1017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1018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1019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1020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1021</v>
      </c>
      <c r="E29" s="164" t="s">
        <v>1022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1023</v>
      </c>
      <c r="E32" s="173" t="s">
        <v>1024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1025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1026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1027</v>
      </c>
      <c r="E36" s="173" t="s">
        <v>1022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1028</v>
      </c>
      <c r="E37" s="164" t="s">
        <v>1029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1152</v>
      </c>
      <c r="B38" s="212" t="s">
        <v>1030</v>
      </c>
      <c r="C38" s="189">
        <v>8030000</v>
      </c>
      <c r="D38" s="189"/>
      <c r="E38" s="164" t="s">
        <v>1031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1032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1152</v>
      </c>
      <c r="B41" s="241" t="s">
        <v>1151</v>
      </c>
      <c r="C41" s="208">
        <v>10700000</v>
      </c>
      <c r="D41" s="208"/>
      <c r="E41" s="173" t="s">
        <v>1033</v>
      </c>
      <c r="F41" s="234" t="s">
        <v>968</v>
      </c>
      <c r="G41" s="234" t="s">
        <v>968</v>
      </c>
      <c r="H41" s="234" t="s">
        <v>968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1019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1034</v>
      </c>
      <c r="E43" s="173" t="s">
        <v>1019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1152</v>
      </c>
      <c r="B44" s="235" t="s">
        <v>565</v>
      </c>
      <c r="C44" s="189">
        <v>6500000</v>
      </c>
      <c r="D44" s="189"/>
      <c r="E44" s="164" t="s">
        <v>1019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1035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1036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1037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1037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1038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1039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1152</v>
      </c>
      <c r="B51" s="165" t="s">
        <v>1040</v>
      </c>
      <c r="C51" s="189">
        <v>8000000</v>
      </c>
      <c r="D51" s="189"/>
      <c r="E51" s="164" t="s">
        <v>1041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1042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1043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1044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1152</v>
      </c>
      <c r="B62" s="236" t="s">
        <v>1045</v>
      </c>
      <c r="C62" s="189">
        <v>12000000</v>
      </c>
      <c r="D62" s="189"/>
      <c r="E62" s="222" t="s">
        <v>1046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1047</v>
      </c>
      <c r="E64" s="222" t="s">
        <v>1048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1049</v>
      </c>
      <c r="E67" s="222" t="s">
        <v>1050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1019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1051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987</v>
      </c>
      <c r="C84" s="189">
        <v>6400000</v>
      </c>
      <c r="D84" s="189"/>
      <c r="E84" s="222" t="s">
        <v>1019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1152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1052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1144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1019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R23" sqref="R23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366</v>
      </c>
      <c r="C1" s="225" t="s">
        <v>1063</v>
      </c>
      <c r="D1" s="225" t="s">
        <v>1064</v>
      </c>
      <c r="E1" s="225" t="s">
        <v>1065</v>
      </c>
      <c r="F1" s="225" t="s">
        <v>1096</v>
      </c>
      <c r="G1" s="225" t="s">
        <v>1095</v>
      </c>
      <c r="H1" s="225" t="s">
        <v>1097</v>
      </c>
      <c r="I1" s="225" t="s">
        <v>996</v>
      </c>
      <c r="J1" s="225" t="s">
        <v>997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1004</v>
      </c>
      <c r="R1" s="225" t="s">
        <v>1053</v>
      </c>
      <c r="S1" s="225" t="s">
        <v>1054</v>
      </c>
      <c r="T1" s="225" t="s">
        <v>1055</v>
      </c>
      <c r="U1" s="225" t="s">
        <v>1056</v>
      </c>
      <c r="V1" s="225" t="s">
        <v>1057</v>
      </c>
      <c r="W1" s="225" t="s">
        <v>1057</v>
      </c>
      <c r="X1" s="225" t="s">
        <v>1058</v>
      </c>
      <c r="Y1" s="225" t="s">
        <v>1059</v>
      </c>
      <c r="Z1" s="225" t="s">
        <v>1060</v>
      </c>
      <c r="AA1" s="225" t="s">
        <v>1099</v>
      </c>
      <c r="AB1" s="225" t="s">
        <v>1100</v>
      </c>
      <c r="AC1" s="225" t="s">
        <v>1101</v>
      </c>
      <c r="AD1" s="225" t="s">
        <v>1102</v>
      </c>
      <c r="AE1" s="225" t="s">
        <v>1103</v>
      </c>
      <c r="AF1" s="249" t="s">
        <v>1098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1152</v>
      </c>
      <c r="B4" s="226" t="s">
        <v>1066</v>
      </c>
      <c r="C4" s="226" t="s">
        <v>1067</v>
      </c>
      <c r="D4" s="226" t="s">
        <v>1068</v>
      </c>
      <c r="E4" s="250" t="s">
        <v>1069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1152</v>
      </c>
    </row>
    <row r="5" spans="1:33" x14ac:dyDescent="0.3">
      <c r="A5" s="226">
        <v>2</v>
      </c>
      <c r="B5" s="226" t="s">
        <v>190</v>
      </c>
      <c r="C5" s="226" t="s">
        <v>1070</v>
      </c>
      <c r="D5" s="226" t="s">
        <v>1071</v>
      </c>
      <c r="E5" s="250" t="s">
        <v>1072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260</v>
      </c>
      <c r="C6" s="226" t="s">
        <v>1073</v>
      </c>
      <c r="D6" s="226" t="s">
        <v>1074</v>
      </c>
      <c r="E6" s="250" t="s">
        <v>1075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1076</v>
      </c>
      <c r="C7" s="226" t="s">
        <v>1077</v>
      </c>
      <c r="D7" s="226" t="s">
        <v>1078</v>
      </c>
      <c r="E7" s="250" t="s">
        <v>1079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1080</v>
      </c>
      <c r="C8" s="226" t="s">
        <v>385</v>
      </c>
      <c r="D8" s="226" t="s">
        <v>1081</v>
      </c>
      <c r="E8" s="250" t="s">
        <v>1082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1083</v>
      </c>
      <c r="C9" s="226" t="s">
        <v>386</v>
      </c>
      <c r="D9" s="226" t="s">
        <v>1084</v>
      </c>
      <c r="E9" s="250" t="s">
        <v>1082</v>
      </c>
      <c r="F9" s="227">
        <v>11330000</v>
      </c>
      <c r="G9" s="226" t="s">
        <v>77</v>
      </c>
      <c r="H9" s="250" t="s">
        <v>1085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1152</v>
      </c>
      <c r="B10" s="226" t="s">
        <v>1086</v>
      </c>
      <c r="C10" s="226" t="s">
        <v>427</v>
      </c>
      <c r="D10" s="226" t="s">
        <v>1087</v>
      </c>
      <c r="E10" s="250" t="s">
        <v>1088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1152</v>
      </c>
    </row>
    <row r="11" spans="1:33" x14ac:dyDescent="0.3">
      <c r="A11" s="226">
        <v>8</v>
      </c>
      <c r="B11" s="226" t="s">
        <v>316</v>
      </c>
      <c r="C11" s="226" t="s">
        <v>1089</v>
      </c>
      <c r="D11" s="226" t="s">
        <v>1090</v>
      </c>
      <c r="E11" s="250" t="s">
        <v>1091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1092</v>
      </c>
      <c r="D12" s="226" t="s">
        <v>1093</v>
      </c>
      <c r="E12" s="250" t="s">
        <v>1094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12" sqref="B12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1104</v>
      </c>
      <c r="D1" s="225" t="s">
        <v>1105</v>
      </c>
      <c r="E1" s="225" t="s">
        <v>1065</v>
      </c>
      <c r="F1" s="225" t="s">
        <v>366</v>
      </c>
      <c r="G1" s="225" t="s">
        <v>1106</v>
      </c>
      <c r="H1" s="225" t="s">
        <v>1139</v>
      </c>
      <c r="I1" s="225" t="s">
        <v>1107</v>
      </c>
      <c r="J1" s="225" t="s">
        <v>1108</v>
      </c>
      <c r="K1" s="225" t="s">
        <v>996</v>
      </c>
      <c r="L1" s="225" t="s">
        <v>997</v>
      </c>
      <c r="M1" s="225" t="s">
        <v>998</v>
      </c>
      <c r="N1" s="225" t="s">
        <v>999</v>
      </c>
      <c r="O1" s="225" t="s">
        <v>1000</v>
      </c>
      <c r="P1" s="225" t="s">
        <v>1001</v>
      </c>
      <c r="Q1" s="225" t="s">
        <v>1001</v>
      </c>
      <c r="R1" s="225" t="s">
        <v>1001</v>
      </c>
      <c r="S1" s="225" t="s">
        <v>1002</v>
      </c>
      <c r="T1" s="225" t="s">
        <v>1002</v>
      </c>
      <c r="U1" s="225" t="s">
        <v>1003</v>
      </c>
      <c r="V1" s="225" t="s">
        <v>1004</v>
      </c>
      <c r="W1" s="225" t="s">
        <v>1053</v>
      </c>
      <c r="X1" s="225" t="s">
        <v>1054</v>
      </c>
      <c r="Y1" s="254" t="s">
        <v>1109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1110</v>
      </c>
      <c r="D4" s="41" t="s">
        <v>1111</v>
      </c>
      <c r="E4" s="255" t="s">
        <v>1112</v>
      </c>
      <c r="F4" s="226" t="s">
        <v>1110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1113</v>
      </c>
      <c r="E5" s="255" t="s">
        <v>1114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1115</v>
      </c>
      <c r="D6" s="41" t="s">
        <v>1116</v>
      </c>
      <c r="E6" s="41" t="s">
        <v>1117</v>
      </c>
      <c r="F6" s="226" t="s">
        <v>1118</v>
      </c>
      <c r="G6" s="41" t="s">
        <v>1115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1119</v>
      </c>
      <c r="D7" s="41" t="s">
        <v>1120</v>
      </c>
      <c r="E7" s="255" t="s">
        <v>1121</v>
      </c>
      <c r="F7" s="226" t="s">
        <v>1122</v>
      </c>
      <c r="G7" s="41" t="s">
        <v>1119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1123</v>
      </c>
      <c r="C8" s="226" t="s">
        <v>1124</v>
      </c>
      <c r="D8" s="41" t="s">
        <v>1125</v>
      </c>
      <c r="E8" s="255" t="s">
        <v>1126</v>
      </c>
      <c r="F8" s="226" t="s">
        <v>1124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1127</v>
      </c>
      <c r="D9" s="41" t="s">
        <v>1128</v>
      </c>
      <c r="E9" s="255" t="s">
        <v>1129</v>
      </c>
      <c r="F9" s="226" t="s">
        <v>1130</v>
      </c>
      <c r="G9" s="41" t="s">
        <v>1127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1131</v>
      </c>
      <c r="D10" s="41" t="s">
        <v>1132</v>
      </c>
      <c r="E10" s="255" t="s">
        <v>1133</v>
      </c>
      <c r="F10" s="226"/>
      <c r="G10" s="41" t="s">
        <v>1131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1134</v>
      </c>
      <c r="C11" s="226" t="s">
        <v>1135</v>
      </c>
      <c r="D11" s="41" t="s">
        <v>1136</v>
      </c>
      <c r="E11" s="255" t="s">
        <v>1133</v>
      </c>
      <c r="F11" s="226"/>
      <c r="G11" s="41" t="s">
        <v>1135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1137</v>
      </c>
      <c r="D12" s="41" t="s">
        <v>1138</v>
      </c>
      <c r="E12" s="255" t="s">
        <v>1133</v>
      </c>
      <c r="F12" s="226"/>
      <c r="G12" s="41" t="s">
        <v>1137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671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2026-04-01T17:09:59Z</dcterms:modified>
</cp:coreProperties>
</file>