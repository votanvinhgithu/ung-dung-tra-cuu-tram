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filterPrivacy="1"/>
  <xr:revisionPtr revIDLastSave="0" documentId="13_ncr:1_{7A039970-61F2-45F4-8B43-043236DA2481}" xr6:coauthVersionLast="47" xr6:coauthVersionMax="47" xr10:uidLastSave="{00000000-0000-0000-0000-000000000000}"/>
  <bookViews>
    <workbookView xWindow="-108" yWindow="-108" windowWidth="23256" windowHeight="12456" tabRatio="822" activeTab="3" xr2:uid="{00000000-000D-0000-FFFF-FFFF00000000}"/>
  </bookViews>
  <sheets>
    <sheet name="Theo dõi HĐ_Chi tiết" sheetId="2" r:id="rId1"/>
    <sheet name="Theo dõi thanh toán chủ nhà" sheetId="24" r:id="rId2"/>
    <sheet name="Trạm Viettel thanh toán" sheetId="25" r:id="rId3"/>
    <sheet name="Trạm Vina thanh toán" sheetId="26" r:id="rId4"/>
    <sheet name="Trạm Mobi thanh toán" sheetId="27" r:id="rId5"/>
    <sheet name="Sheet 6_time hoàn vốn" sheetId="28" r:id="rId6"/>
    <sheet name="Tính tiền đóng" sheetId="12" state="hidden" r:id="rId7"/>
    <sheet name="Sheet3" sheetId="14" state="hidden" r:id="rId8"/>
    <sheet name="Sheet4" sheetId="15" state="hidden" r:id="rId9"/>
    <sheet name="Sheet5" sheetId="16" state="hidden" r:id="rId10"/>
    <sheet name="Sheet6" sheetId="17" state="hidden" r:id="rId11"/>
    <sheet name="Sheet7" sheetId="18" state="hidden" r:id="rId12"/>
    <sheet name="Sheet8" sheetId="20" state="hidden" r:id="rId13"/>
    <sheet name="Sheet9" sheetId="21" state="hidden" r:id="rId14"/>
    <sheet name="Dulich" sheetId="23" state="hidden" r:id="rId15"/>
    <sheet name="Phân công" sheetId="6" state="hidden" r:id="rId16"/>
    <sheet name="DS chủ nhà nok_Tham khảo" sheetId="3" state="hidden" r:id="rId17"/>
    <sheet name="Sheet2" sheetId="7" state="hidden" r:id="rId18"/>
    <sheet name="Báo giá DD" sheetId="8" state="hidden" r:id="rId19"/>
    <sheet name="Sheet1" sheetId="1" state="hidden" r:id="rId20"/>
  </sheets>
  <definedNames>
    <definedName name="_xlnm._FilterDatabase" localSheetId="15" hidden="1">'Phân công'!$A$1:$H$28</definedName>
    <definedName name="_xlnm._FilterDatabase" localSheetId="5" hidden="1">'Sheet 6_time hoàn vốn'!$A$3:$R$92</definedName>
    <definedName name="_xlnm._FilterDatabase" localSheetId="0" hidden="1">'Theo dõi HĐ_Chi tiết'!$A$3:$AS$102</definedName>
    <definedName name="_xlnm._FilterDatabase" localSheetId="1" hidden="1">'Theo dõi thanh toán chủ nhà'!$A$3:$AL$85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19" i="26" l="1"/>
  <c r="AF18" i="26"/>
  <c r="AF17" i="26"/>
  <c r="AF16" i="26"/>
  <c r="AF13" i="26"/>
  <c r="K19" i="26"/>
  <c r="L19" i="26" s="1"/>
  <c r="M19" i="26" s="1"/>
  <c r="N19" i="26" s="1"/>
  <c r="O19" i="26" s="1"/>
  <c r="P19" i="26" s="1"/>
  <c r="Q19" i="26" s="1"/>
  <c r="R19" i="26" s="1"/>
  <c r="S19" i="26" s="1"/>
  <c r="T19" i="26" s="1"/>
  <c r="U19" i="26" s="1"/>
  <c r="V19" i="26" s="1"/>
  <c r="W19" i="26" s="1"/>
  <c r="X19" i="26" s="1"/>
  <c r="Y19" i="26" s="1"/>
  <c r="Z19" i="26" s="1"/>
  <c r="AA19" i="26" s="1"/>
  <c r="AB19" i="26" s="1"/>
  <c r="AC19" i="26" s="1"/>
  <c r="AD19" i="26" s="1"/>
  <c r="AE19" i="26" s="1"/>
  <c r="K18" i="26"/>
  <c r="L18" i="26" s="1"/>
  <c r="M18" i="26" s="1"/>
  <c r="N18" i="26" s="1"/>
  <c r="O18" i="26" s="1"/>
  <c r="P18" i="26" s="1"/>
  <c r="Q18" i="26" s="1"/>
  <c r="R18" i="26" s="1"/>
  <c r="S18" i="26" s="1"/>
  <c r="T18" i="26" s="1"/>
  <c r="U18" i="26" s="1"/>
  <c r="V18" i="26" s="1"/>
  <c r="W18" i="26" s="1"/>
  <c r="X18" i="26" s="1"/>
  <c r="Y18" i="26" s="1"/>
  <c r="Z18" i="26" s="1"/>
  <c r="AA18" i="26" s="1"/>
  <c r="AB18" i="26" s="1"/>
  <c r="AC18" i="26" s="1"/>
  <c r="AD18" i="26" s="1"/>
  <c r="AE18" i="26" s="1"/>
  <c r="K17" i="26"/>
  <c r="L17" i="26" s="1"/>
  <c r="M17" i="26" s="1"/>
  <c r="N17" i="26" s="1"/>
  <c r="O17" i="26" s="1"/>
  <c r="P17" i="26" s="1"/>
  <c r="Q17" i="26" s="1"/>
  <c r="R17" i="26" s="1"/>
  <c r="S17" i="26" s="1"/>
  <c r="T17" i="26" s="1"/>
  <c r="U17" i="26" s="1"/>
  <c r="V17" i="26" s="1"/>
  <c r="W17" i="26" s="1"/>
  <c r="X17" i="26" s="1"/>
  <c r="Y17" i="26" s="1"/>
  <c r="Z17" i="26" s="1"/>
  <c r="AA17" i="26" s="1"/>
  <c r="AB17" i="26" s="1"/>
  <c r="AC17" i="26" s="1"/>
  <c r="AD17" i="26" s="1"/>
  <c r="AE17" i="26" s="1"/>
  <c r="K16" i="26"/>
  <c r="L16" i="26" s="1"/>
  <c r="M16" i="26" s="1"/>
  <c r="N16" i="26" s="1"/>
  <c r="O16" i="26" s="1"/>
  <c r="P16" i="26" s="1"/>
  <c r="Q16" i="26" s="1"/>
  <c r="R16" i="26" s="1"/>
  <c r="S16" i="26" s="1"/>
  <c r="T16" i="26" s="1"/>
  <c r="U16" i="26" s="1"/>
  <c r="V16" i="26" s="1"/>
  <c r="W16" i="26" s="1"/>
  <c r="X16" i="26" s="1"/>
  <c r="Y16" i="26" s="1"/>
  <c r="Z16" i="26" s="1"/>
  <c r="AA16" i="26" s="1"/>
  <c r="AB16" i="26" s="1"/>
  <c r="AC16" i="26" s="1"/>
  <c r="AD16" i="26" s="1"/>
  <c r="AE16" i="26" s="1"/>
  <c r="K13" i="26"/>
  <c r="L13" i="26" s="1"/>
  <c r="M13" i="26" s="1"/>
  <c r="N13" i="26" s="1"/>
  <c r="O13" i="26" s="1"/>
  <c r="P13" i="26" s="1"/>
  <c r="Q13" i="26" s="1"/>
  <c r="R13" i="26" s="1"/>
  <c r="S13" i="26" s="1"/>
  <c r="T13" i="26" s="1"/>
  <c r="U13" i="26" s="1"/>
  <c r="V13" i="26" s="1"/>
  <c r="W13" i="26" s="1"/>
  <c r="X13" i="26" s="1"/>
  <c r="Y13" i="26" s="1"/>
  <c r="Z13" i="26" s="1"/>
  <c r="AA13" i="26" s="1"/>
  <c r="AB13" i="26" s="1"/>
  <c r="AC13" i="26" s="1"/>
  <c r="AD13" i="26" s="1"/>
  <c r="AE13" i="26" s="1"/>
  <c r="J19" i="26"/>
  <c r="J18" i="26"/>
  <c r="J17" i="26"/>
  <c r="J16" i="26"/>
  <c r="J13" i="26"/>
  <c r="Y14" i="27" l="1"/>
  <c r="U9" i="27"/>
  <c r="V9" i="27" s="1"/>
  <c r="W9" i="27" s="1"/>
  <c r="X9" i="27" s="1"/>
  <c r="Y13" i="27"/>
  <c r="Y15" i="27"/>
  <c r="U14" i="27"/>
  <c r="V14" i="27" s="1"/>
  <c r="W14" i="27" s="1"/>
  <c r="X14" i="27" s="1"/>
  <c r="U13" i="27"/>
  <c r="V13" i="27" s="1"/>
  <c r="W13" i="27" s="1"/>
  <c r="X13" i="27" s="1"/>
  <c r="U12" i="27"/>
  <c r="V12" i="27" s="1"/>
  <c r="W12" i="27" s="1"/>
  <c r="X12" i="27" s="1"/>
  <c r="U11" i="27"/>
  <c r="V11" i="27" s="1"/>
  <c r="W11" i="27" s="1"/>
  <c r="X11" i="27" s="1"/>
  <c r="U10" i="27"/>
  <c r="V10" i="27" s="1"/>
  <c r="W10" i="27" s="1"/>
  <c r="X10" i="27" s="1"/>
  <c r="L14" i="27"/>
  <c r="M14" i="27" s="1"/>
  <c r="N14" i="27" s="1"/>
  <c r="O14" i="27" s="1"/>
  <c r="P14" i="27" s="1"/>
  <c r="Q14" i="27" s="1"/>
  <c r="R14" i="27" s="1"/>
  <c r="S14" i="27" s="1"/>
  <c r="T14" i="27" s="1"/>
  <c r="L13" i="27"/>
  <c r="M13" i="27" s="1"/>
  <c r="N13" i="27" s="1"/>
  <c r="O13" i="27" s="1"/>
  <c r="P13" i="27" s="1"/>
  <c r="Q13" i="27" s="1"/>
  <c r="R13" i="27" s="1"/>
  <c r="S13" i="27" s="1"/>
  <c r="T13" i="27" s="1"/>
  <c r="M12" i="27"/>
  <c r="N12" i="27" s="1"/>
  <c r="O12" i="27" s="1"/>
  <c r="P12" i="27" s="1"/>
  <c r="Q12" i="27" s="1"/>
  <c r="R12" i="27" s="1"/>
  <c r="S12" i="27" s="1"/>
  <c r="T12" i="27" s="1"/>
  <c r="M11" i="27"/>
  <c r="N11" i="27" s="1"/>
  <c r="O11" i="27" s="1"/>
  <c r="P11" i="27" s="1"/>
  <c r="Q11" i="27" s="1"/>
  <c r="R11" i="27" s="1"/>
  <c r="S11" i="27" s="1"/>
  <c r="T11" i="27" s="1"/>
  <c r="M10" i="27"/>
  <c r="N10" i="27" s="1"/>
  <c r="O10" i="27" s="1"/>
  <c r="P10" i="27" s="1"/>
  <c r="Q10" i="27" s="1"/>
  <c r="R10" i="27" s="1"/>
  <c r="S10" i="27" s="1"/>
  <c r="T10" i="27" s="1"/>
  <c r="M9" i="27"/>
  <c r="N9" i="27" s="1"/>
  <c r="O9" i="27" s="1"/>
  <c r="P9" i="27" s="1"/>
  <c r="Q9" i="27" s="1"/>
  <c r="R9" i="27" s="1"/>
  <c r="S9" i="27" s="1"/>
  <c r="T9" i="27" s="1"/>
  <c r="Q69" i="24"/>
  <c r="L18" i="2"/>
  <c r="F2" i="24"/>
  <c r="E2" i="24"/>
  <c r="L2" i="2"/>
  <c r="K2" i="2"/>
  <c r="J2" i="2"/>
  <c r="I91" i="25"/>
  <c r="H91" i="25"/>
  <c r="H84" i="25"/>
  <c r="R5" i="28"/>
  <c r="R6" i="28"/>
  <c r="R7" i="28"/>
  <c r="R8" i="28"/>
  <c r="R9" i="28"/>
  <c r="R10" i="28"/>
  <c r="R11" i="28"/>
  <c r="R12" i="28"/>
  <c r="R13" i="28"/>
  <c r="R14" i="28"/>
  <c r="R15" i="28"/>
  <c r="R16" i="28"/>
  <c r="R17" i="28"/>
  <c r="R18" i="28"/>
  <c r="R19" i="28"/>
  <c r="R20" i="28"/>
  <c r="R21" i="28"/>
  <c r="R22" i="28"/>
  <c r="R23" i="28"/>
  <c r="R24" i="28"/>
  <c r="R25" i="28"/>
  <c r="R26" i="28"/>
  <c r="R27" i="28"/>
  <c r="R28" i="28"/>
  <c r="R29" i="28"/>
  <c r="R30" i="28"/>
  <c r="R31" i="28"/>
  <c r="R32" i="28"/>
  <c r="R33" i="28"/>
  <c r="R34" i="28"/>
  <c r="R35" i="28"/>
  <c r="R36" i="28"/>
  <c r="R37" i="28"/>
  <c r="R38" i="28"/>
  <c r="R39" i="28"/>
  <c r="R40" i="28"/>
  <c r="R41" i="28"/>
  <c r="R42" i="28"/>
  <c r="R43" i="28"/>
  <c r="R44" i="28"/>
  <c r="R45" i="28"/>
  <c r="R46" i="28"/>
  <c r="R47" i="28"/>
  <c r="R48" i="28"/>
  <c r="R49" i="28"/>
  <c r="R50" i="28"/>
  <c r="R51" i="28"/>
  <c r="R52" i="28"/>
  <c r="R53" i="28"/>
  <c r="R54" i="28"/>
  <c r="R55" i="28"/>
  <c r="R56" i="28"/>
  <c r="R57" i="28"/>
  <c r="R58" i="28"/>
  <c r="R59" i="28"/>
  <c r="R60" i="28"/>
  <c r="R61" i="28"/>
  <c r="R62" i="28"/>
  <c r="R63" i="28"/>
  <c r="R64" i="28"/>
  <c r="R65" i="28"/>
  <c r="R66" i="28"/>
  <c r="R67" i="28"/>
  <c r="R68" i="28"/>
  <c r="R69" i="28"/>
  <c r="R70" i="28"/>
  <c r="R71" i="28"/>
  <c r="R72" i="28"/>
  <c r="R73" i="28"/>
  <c r="R74" i="28"/>
  <c r="R75" i="28"/>
  <c r="R76" i="28"/>
  <c r="R77" i="28"/>
  <c r="R78" i="28"/>
  <c r="R79" i="28"/>
  <c r="R80" i="28"/>
  <c r="R81" i="28"/>
  <c r="R82" i="28"/>
  <c r="R83" i="28"/>
  <c r="R84" i="28"/>
  <c r="R85" i="28"/>
  <c r="R86" i="28"/>
  <c r="R87" i="28"/>
  <c r="R88" i="28"/>
  <c r="R89" i="28"/>
  <c r="R90" i="28"/>
  <c r="R91" i="28"/>
  <c r="R92" i="28"/>
  <c r="Q5" i="28"/>
  <c r="Q6" i="28"/>
  <c r="Q7" i="28"/>
  <c r="Q8" i="28"/>
  <c r="Q9" i="28"/>
  <c r="Q10" i="28"/>
  <c r="Q11" i="28"/>
  <c r="Q12" i="28"/>
  <c r="Q13" i="28"/>
  <c r="Q14" i="28"/>
  <c r="Q15" i="28"/>
  <c r="Q16" i="28"/>
  <c r="Q17" i="28"/>
  <c r="Q18" i="28"/>
  <c r="Q19" i="28"/>
  <c r="Q20" i="28"/>
  <c r="Q21" i="28"/>
  <c r="Q22" i="28"/>
  <c r="Q23" i="28"/>
  <c r="Q24" i="28"/>
  <c r="Q25" i="28"/>
  <c r="Q26" i="28"/>
  <c r="Q27" i="28"/>
  <c r="Q28" i="28"/>
  <c r="Q29" i="28"/>
  <c r="Q30" i="28"/>
  <c r="Q31" i="28"/>
  <c r="Q32" i="28"/>
  <c r="Q33" i="28"/>
  <c r="Q34" i="28"/>
  <c r="Q35" i="28"/>
  <c r="Q36" i="28"/>
  <c r="Q37" i="28"/>
  <c r="Q38" i="28"/>
  <c r="Q39" i="28"/>
  <c r="Q40" i="28"/>
  <c r="Q41" i="28"/>
  <c r="Q42" i="28"/>
  <c r="Q43" i="28"/>
  <c r="Q44" i="28"/>
  <c r="Q45" i="28"/>
  <c r="Q46" i="28"/>
  <c r="Q47" i="28"/>
  <c r="Q48" i="28"/>
  <c r="Q49" i="28"/>
  <c r="Q50" i="28"/>
  <c r="Q51" i="28"/>
  <c r="Q52" i="28"/>
  <c r="Q53" i="28"/>
  <c r="Q54" i="28"/>
  <c r="Q55" i="28"/>
  <c r="Q56" i="28"/>
  <c r="Q57" i="28"/>
  <c r="Q58" i="28"/>
  <c r="Q59" i="28"/>
  <c r="Q60" i="28"/>
  <c r="Q61" i="28"/>
  <c r="Q62" i="28"/>
  <c r="Q63" i="28"/>
  <c r="Q64" i="28"/>
  <c r="Q65" i="28"/>
  <c r="Q66" i="28"/>
  <c r="Q67" i="28"/>
  <c r="Q68" i="28"/>
  <c r="Q69" i="28"/>
  <c r="Q70" i="28"/>
  <c r="Q71" i="28"/>
  <c r="Q72" i="28"/>
  <c r="Q73" i="28"/>
  <c r="Q74" i="28"/>
  <c r="Q75" i="28"/>
  <c r="Q76" i="28"/>
  <c r="Q77" i="28"/>
  <c r="Q78" i="28"/>
  <c r="Q79" i="28"/>
  <c r="Q80" i="28"/>
  <c r="Q81" i="28"/>
  <c r="Q82" i="28"/>
  <c r="Q83" i="28"/>
  <c r="Q84" i="28"/>
  <c r="Q85" i="28"/>
  <c r="Q86" i="28"/>
  <c r="Q87" i="28"/>
  <c r="Q88" i="28"/>
  <c r="Q89" i="28"/>
  <c r="Q90" i="28"/>
  <c r="Q91" i="28"/>
  <c r="Q92" i="28"/>
  <c r="P5" i="28"/>
  <c r="P6" i="28"/>
  <c r="P7" i="28"/>
  <c r="P8" i="28"/>
  <c r="P9" i="28"/>
  <c r="P10" i="28"/>
  <c r="P11" i="28"/>
  <c r="P12" i="28"/>
  <c r="P13" i="28"/>
  <c r="P14" i="28"/>
  <c r="P15" i="28"/>
  <c r="P16" i="28"/>
  <c r="P17" i="28"/>
  <c r="P18" i="28"/>
  <c r="P19" i="28"/>
  <c r="P20" i="28"/>
  <c r="P21" i="28"/>
  <c r="P22" i="28"/>
  <c r="P23" i="28"/>
  <c r="P24" i="28"/>
  <c r="P25" i="28"/>
  <c r="P26" i="28"/>
  <c r="P27" i="28"/>
  <c r="P28" i="28"/>
  <c r="P29" i="28"/>
  <c r="P30" i="28"/>
  <c r="P31" i="28"/>
  <c r="P32" i="28"/>
  <c r="P33" i="28"/>
  <c r="P34" i="28"/>
  <c r="P35" i="28"/>
  <c r="P36" i="28"/>
  <c r="P37" i="28"/>
  <c r="P38" i="28"/>
  <c r="P39" i="28"/>
  <c r="P40" i="28"/>
  <c r="P41" i="28"/>
  <c r="P42" i="28"/>
  <c r="P43" i="28"/>
  <c r="P44" i="28"/>
  <c r="P45" i="28"/>
  <c r="P46" i="28"/>
  <c r="P47" i="28"/>
  <c r="P48" i="28"/>
  <c r="P49" i="28"/>
  <c r="P50" i="28"/>
  <c r="P51" i="28"/>
  <c r="P52" i="28"/>
  <c r="P53" i="28"/>
  <c r="P54" i="28"/>
  <c r="P55" i="28"/>
  <c r="P56" i="28"/>
  <c r="P57" i="28"/>
  <c r="P58" i="28"/>
  <c r="P59" i="28"/>
  <c r="P60" i="28"/>
  <c r="P61" i="28"/>
  <c r="P62" i="28"/>
  <c r="P63" i="28"/>
  <c r="P64" i="28"/>
  <c r="P65" i="28"/>
  <c r="P66" i="28"/>
  <c r="P67" i="28"/>
  <c r="P68" i="28"/>
  <c r="P69" i="28"/>
  <c r="P70" i="28"/>
  <c r="P71" i="28"/>
  <c r="P72" i="28"/>
  <c r="P73" i="28"/>
  <c r="P74" i="28"/>
  <c r="P75" i="28"/>
  <c r="P76" i="28"/>
  <c r="P77" i="28"/>
  <c r="P78" i="28"/>
  <c r="P79" i="28"/>
  <c r="P80" i="28"/>
  <c r="P81" i="28"/>
  <c r="P82" i="28"/>
  <c r="P83" i="28"/>
  <c r="P84" i="28"/>
  <c r="P85" i="28"/>
  <c r="P86" i="28"/>
  <c r="P87" i="28"/>
  <c r="P88" i="28"/>
  <c r="P89" i="28"/>
  <c r="P90" i="28"/>
  <c r="P91" i="28"/>
  <c r="P92" i="28"/>
  <c r="O5" i="28"/>
  <c r="O6" i="28"/>
  <c r="O7" i="28"/>
  <c r="O8" i="28"/>
  <c r="O9" i="28"/>
  <c r="O10" i="28"/>
  <c r="O11" i="28"/>
  <c r="O12" i="28"/>
  <c r="O13" i="28"/>
  <c r="O14" i="28"/>
  <c r="O15" i="28"/>
  <c r="O16" i="28"/>
  <c r="O17" i="28"/>
  <c r="O18" i="28"/>
  <c r="O19" i="28"/>
  <c r="O20" i="28"/>
  <c r="O21" i="28"/>
  <c r="O22" i="28"/>
  <c r="O23" i="28"/>
  <c r="O24" i="28"/>
  <c r="O25" i="28"/>
  <c r="O26" i="28"/>
  <c r="O27" i="28"/>
  <c r="O28" i="28"/>
  <c r="O29" i="28"/>
  <c r="O30" i="28"/>
  <c r="O31" i="28"/>
  <c r="O32" i="28"/>
  <c r="O33" i="28"/>
  <c r="O34" i="28"/>
  <c r="O35" i="28"/>
  <c r="O36" i="28"/>
  <c r="O37" i="28"/>
  <c r="O38" i="28"/>
  <c r="O39" i="28"/>
  <c r="O40" i="28"/>
  <c r="O41" i="28"/>
  <c r="O42" i="28"/>
  <c r="O43" i="28"/>
  <c r="O44" i="28"/>
  <c r="O45" i="28"/>
  <c r="O46" i="28"/>
  <c r="O47" i="28"/>
  <c r="O48" i="28"/>
  <c r="O49" i="28"/>
  <c r="O50" i="28"/>
  <c r="O51" i="28"/>
  <c r="O52" i="28"/>
  <c r="O53" i="28"/>
  <c r="O54" i="28"/>
  <c r="O55" i="28"/>
  <c r="O56" i="28"/>
  <c r="O57" i="28"/>
  <c r="O58" i="28"/>
  <c r="O59" i="28"/>
  <c r="O60" i="28"/>
  <c r="O61" i="28"/>
  <c r="O62" i="28"/>
  <c r="O63" i="28"/>
  <c r="O64" i="28"/>
  <c r="O65" i="28"/>
  <c r="O66" i="28"/>
  <c r="O67" i="28"/>
  <c r="O68" i="28"/>
  <c r="O69" i="28"/>
  <c r="O70" i="28"/>
  <c r="O71" i="28"/>
  <c r="O72" i="28"/>
  <c r="O73" i="28"/>
  <c r="O74" i="28"/>
  <c r="O75" i="28"/>
  <c r="O76" i="28"/>
  <c r="O77" i="28"/>
  <c r="O78" i="28"/>
  <c r="O79" i="28"/>
  <c r="O80" i="28"/>
  <c r="O81" i="28"/>
  <c r="O82" i="28"/>
  <c r="O83" i="28"/>
  <c r="O84" i="28"/>
  <c r="O85" i="28"/>
  <c r="O86" i="28"/>
  <c r="O87" i="28"/>
  <c r="O88" i="28"/>
  <c r="O89" i="28"/>
  <c r="O90" i="28"/>
  <c r="O91" i="28"/>
  <c r="O92" i="28"/>
  <c r="I5" i="28"/>
  <c r="I6" i="28"/>
  <c r="I7" i="28"/>
  <c r="I8" i="28"/>
  <c r="I9" i="28"/>
  <c r="I10" i="28"/>
  <c r="I11" i="28"/>
  <c r="I12" i="28"/>
  <c r="I13" i="28"/>
  <c r="I14" i="28"/>
  <c r="I15" i="28"/>
  <c r="I16" i="28"/>
  <c r="I17" i="28"/>
  <c r="I18" i="28"/>
  <c r="I19" i="28"/>
  <c r="I20" i="28"/>
  <c r="I21" i="28"/>
  <c r="I22" i="28"/>
  <c r="I23" i="28"/>
  <c r="I24" i="28"/>
  <c r="I25" i="28"/>
  <c r="I26" i="28"/>
  <c r="I27" i="28"/>
  <c r="I28" i="28"/>
  <c r="I29" i="28"/>
  <c r="I30" i="28"/>
  <c r="I31" i="28"/>
  <c r="I32" i="28"/>
  <c r="I33" i="28"/>
  <c r="I34" i="28"/>
  <c r="I35" i="28"/>
  <c r="I36" i="28"/>
  <c r="I37" i="28"/>
  <c r="I38" i="28"/>
  <c r="I39" i="28"/>
  <c r="I40" i="28"/>
  <c r="I41" i="28"/>
  <c r="I42" i="28"/>
  <c r="I43" i="28"/>
  <c r="I44" i="28"/>
  <c r="I45" i="28"/>
  <c r="I46" i="28"/>
  <c r="I47" i="28"/>
  <c r="I48" i="28"/>
  <c r="I49" i="28"/>
  <c r="I50" i="28"/>
  <c r="I51" i="28"/>
  <c r="I52" i="28"/>
  <c r="I53" i="28"/>
  <c r="I54" i="28"/>
  <c r="I55" i="28"/>
  <c r="I56" i="28"/>
  <c r="I57" i="28"/>
  <c r="I58" i="28"/>
  <c r="I59" i="28"/>
  <c r="I60" i="28"/>
  <c r="I61" i="28"/>
  <c r="I62" i="28"/>
  <c r="I63" i="28"/>
  <c r="I64" i="28"/>
  <c r="I65" i="28"/>
  <c r="I66" i="28"/>
  <c r="I67" i="28"/>
  <c r="I68" i="28"/>
  <c r="I69" i="28"/>
  <c r="I70" i="28"/>
  <c r="I71" i="28"/>
  <c r="I72" i="28"/>
  <c r="I73" i="28"/>
  <c r="I74" i="28"/>
  <c r="I75" i="28"/>
  <c r="I76" i="28"/>
  <c r="I77" i="28"/>
  <c r="I78" i="28"/>
  <c r="I79" i="28"/>
  <c r="I80" i="28"/>
  <c r="I81" i="28"/>
  <c r="I82" i="28"/>
  <c r="I83" i="28"/>
  <c r="I84" i="28"/>
  <c r="I85" i="28"/>
  <c r="I86" i="28"/>
  <c r="I87" i="28"/>
  <c r="I88" i="28"/>
  <c r="I89" i="28"/>
  <c r="I90" i="28"/>
  <c r="I91" i="28"/>
  <c r="I92" i="28"/>
  <c r="H5" i="28"/>
  <c r="H6" i="28"/>
  <c r="H7" i="28"/>
  <c r="H8" i="28"/>
  <c r="H9" i="28"/>
  <c r="H10" i="28"/>
  <c r="H11" i="28"/>
  <c r="H12" i="28"/>
  <c r="H13" i="28"/>
  <c r="H14" i="28"/>
  <c r="H15" i="28"/>
  <c r="H16" i="28"/>
  <c r="H17" i="28"/>
  <c r="H18" i="28"/>
  <c r="H19" i="28"/>
  <c r="H20" i="28"/>
  <c r="H21" i="28"/>
  <c r="H22" i="28"/>
  <c r="H23" i="28"/>
  <c r="H24" i="28"/>
  <c r="H25" i="28"/>
  <c r="H26" i="28"/>
  <c r="H27" i="28"/>
  <c r="H28" i="28"/>
  <c r="H29" i="28"/>
  <c r="H30" i="28"/>
  <c r="H31" i="28"/>
  <c r="H32" i="28"/>
  <c r="H33" i="28"/>
  <c r="H34" i="28"/>
  <c r="H35" i="28"/>
  <c r="H36" i="28"/>
  <c r="H37" i="28"/>
  <c r="H38" i="28"/>
  <c r="H39" i="28"/>
  <c r="H40" i="28"/>
  <c r="H41" i="28"/>
  <c r="H42" i="28"/>
  <c r="H43" i="28"/>
  <c r="H44" i="28"/>
  <c r="H45" i="28"/>
  <c r="H46" i="28"/>
  <c r="H47" i="28"/>
  <c r="H48" i="28"/>
  <c r="H49" i="28"/>
  <c r="H50" i="28"/>
  <c r="H51" i="28"/>
  <c r="H52" i="28"/>
  <c r="H53" i="28"/>
  <c r="H54" i="28"/>
  <c r="H55" i="28"/>
  <c r="H56" i="28"/>
  <c r="H57" i="28"/>
  <c r="H58" i="28"/>
  <c r="H59" i="28"/>
  <c r="H60" i="28"/>
  <c r="H61" i="28"/>
  <c r="H62" i="28"/>
  <c r="H63" i="28"/>
  <c r="H64" i="28"/>
  <c r="H65" i="28"/>
  <c r="H66" i="28"/>
  <c r="H67" i="28"/>
  <c r="H68" i="28"/>
  <c r="H69" i="28"/>
  <c r="H70" i="28"/>
  <c r="H71" i="28"/>
  <c r="H72" i="28"/>
  <c r="H73" i="28"/>
  <c r="H74" i="28"/>
  <c r="H75" i="28"/>
  <c r="H76" i="28"/>
  <c r="H77" i="28"/>
  <c r="H78" i="28"/>
  <c r="H79" i="28"/>
  <c r="H80" i="28"/>
  <c r="H81" i="28"/>
  <c r="H82" i="28"/>
  <c r="H83" i="28"/>
  <c r="H84" i="28"/>
  <c r="H85" i="28"/>
  <c r="H86" i="28"/>
  <c r="H87" i="28"/>
  <c r="H88" i="28"/>
  <c r="H89" i="28"/>
  <c r="H90" i="28"/>
  <c r="H91" i="28"/>
  <c r="H92" i="28"/>
  <c r="G16" i="28"/>
  <c r="G41" i="28"/>
  <c r="J41" i="28" s="1"/>
  <c r="G85" i="28"/>
  <c r="F5" i="28"/>
  <c r="G5" i="28" s="1"/>
  <c r="J5" i="28" s="1"/>
  <c r="F6" i="28"/>
  <c r="G6" i="28" s="1"/>
  <c r="J6" i="28" s="1"/>
  <c r="F7" i="28"/>
  <c r="G7" i="28" s="1"/>
  <c r="F8" i="28"/>
  <c r="G8" i="28" s="1"/>
  <c r="F9" i="28"/>
  <c r="G9" i="28" s="1"/>
  <c r="F10" i="28"/>
  <c r="G10" i="28" s="1"/>
  <c r="F11" i="28"/>
  <c r="G11" i="28" s="1"/>
  <c r="F12" i="28"/>
  <c r="G12" i="28" s="1"/>
  <c r="F13" i="28"/>
  <c r="G13" i="28" s="1"/>
  <c r="F14" i="28"/>
  <c r="G14" i="28" s="1"/>
  <c r="F15" i="28"/>
  <c r="G15" i="28" s="1"/>
  <c r="F16" i="28"/>
  <c r="F17" i="28"/>
  <c r="G17" i="28" s="1"/>
  <c r="J17" i="28" s="1"/>
  <c r="F18" i="28"/>
  <c r="G18" i="28" s="1"/>
  <c r="F19" i="28"/>
  <c r="G19" i="28" s="1"/>
  <c r="F20" i="28"/>
  <c r="G20" i="28" s="1"/>
  <c r="F21" i="28"/>
  <c r="G21" i="28" s="1"/>
  <c r="F22" i="28"/>
  <c r="G22" i="28" s="1"/>
  <c r="F23" i="28"/>
  <c r="G23" i="28" s="1"/>
  <c r="F24" i="28"/>
  <c r="G24" i="28" s="1"/>
  <c r="F25" i="28"/>
  <c r="G25" i="28" s="1"/>
  <c r="F26" i="28"/>
  <c r="G26" i="28" s="1"/>
  <c r="F27" i="28"/>
  <c r="G27" i="28" s="1"/>
  <c r="F28" i="28"/>
  <c r="G28" i="28" s="1"/>
  <c r="F29" i="28"/>
  <c r="G29" i="28" s="1"/>
  <c r="F30" i="28"/>
  <c r="G30" i="28" s="1"/>
  <c r="F31" i="28"/>
  <c r="G31" i="28" s="1"/>
  <c r="F32" i="28"/>
  <c r="G32" i="28" s="1"/>
  <c r="F33" i="28"/>
  <c r="G33" i="28" s="1"/>
  <c r="F34" i="28"/>
  <c r="G34" i="28" s="1"/>
  <c r="F35" i="28"/>
  <c r="G35" i="28" s="1"/>
  <c r="F36" i="28"/>
  <c r="G36" i="28" s="1"/>
  <c r="F37" i="28"/>
  <c r="G37" i="28" s="1"/>
  <c r="F38" i="28"/>
  <c r="G38" i="28" s="1"/>
  <c r="F39" i="28"/>
  <c r="G39" i="28" s="1"/>
  <c r="F40" i="28"/>
  <c r="G40" i="28" s="1"/>
  <c r="F41" i="28"/>
  <c r="F42" i="28"/>
  <c r="G42" i="28" s="1"/>
  <c r="F43" i="28"/>
  <c r="G43" i="28" s="1"/>
  <c r="F44" i="28"/>
  <c r="G44" i="28" s="1"/>
  <c r="F45" i="28"/>
  <c r="G45" i="28" s="1"/>
  <c r="F46" i="28"/>
  <c r="G46" i="28" s="1"/>
  <c r="F47" i="28"/>
  <c r="G47" i="28" s="1"/>
  <c r="F48" i="28"/>
  <c r="G48" i="28" s="1"/>
  <c r="F49" i="28"/>
  <c r="G49" i="28" s="1"/>
  <c r="F50" i="28"/>
  <c r="G50" i="28" s="1"/>
  <c r="F51" i="28"/>
  <c r="G51" i="28" s="1"/>
  <c r="F52" i="28"/>
  <c r="G52" i="28" s="1"/>
  <c r="F53" i="28"/>
  <c r="G53" i="28" s="1"/>
  <c r="J53" i="28" s="1"/>
  <c r="F54" i="28"/>
  <c r="G54" i="28" s="1"/>
  <c r="J54" i="28" s="1"/>
  <c r="F55" i="28"/>
  <c r="G55" i="28" s="1"/>
  <c r="F56" i="28"/>
  <c r="G56" i="28" s="1"/>
  <c r="F57" i="28"/>
  <c r="G57" i="28" s="1"/>
  <c r="F58" i="28"/>
  <c r="G58" i="28" s="1"/>
  <c r="F59" i="28"/>
  <c r="G59" i="28" s="1"/>
  <c r="F60" i="28"/>
  <c r="G60" i="28" s="1"/>
  <c r="F61" i="28"/>
  <c r="G61" i="28" s="1"/>
  <c r="F62" i="28"/>
  <c r="G62" i="28" s="1"/>
  <c r="F63" i="28"/>
  <c r="G63" i="28" s="1"/>
  <c r="F64" i="28"/>
  <c r="G64" i="28" s="1"/>
  <c r="F65" i="28"/>
  <c r="G65" i="28" s="1"/>
  <c r="F66" i="28"/>
  <c r="G66" i="28" s="1"/>
  <c r="F67" i="28"/>
  <c r="G67" i="28" s="1"/>
  <c r="F68" i="28"/>
  <c r="G68" i="28" s="1"/>
  <c r="F69" i="28"/>
  <c r="G69" i="28" s="1"/>
  <c r="F70" i="28"/>
  <c r="G70" i="28" s="1"/>
  <c r="F71" i="28"/>
  <c r="G71" i="28" s="1"/>
  <c r="F72" i="28"/>
  <c r="G72" i="28" s="1"/>
  <c r="F73" i="28"/>
  <c r="G73" i="28" s="1"/>
  <c r="F74" i="28"/>
  <c r="G74" i="28" s="1"/>
  <c r="F75" i="28"/>
  <c r="G75" i="28" s="1"/>
  <c r="F76" i="28"/>
  <c r="G76" i="28" s="1"/>
  <c r="F77" i="28"/>
  <c r="G77" i="28" s="1"/>
  <c r="J77" i="28" s="1"/>
  <c r="F78" i="28"/>
  <c r="G78" i="28" s="1"/>
  <c r="J78" i="28" s="1"/>
  <c r="F79" i="28"/>
  <c r="G79" i="28" s="1"/>
  <c r="F80" i="28"/>
  <c r="G80" i="28" s="1"/>
  <c r="F81" i="28"/>
  <c r="G81" i="28" s="1"/>
  <c r="F82" i="28"/>
  <c r="G82" i="28" s="1"/>
  <c r="F83" i="28"/>
  <c r="G83" i="28" s="1"/>
  <c r="F84" i="28"/>
  <c r="G84" i="28" s="1"/>
  <c r="F85" i="28"/>
  <c r="F86" i="28"/>
  <c r="G86" i="28" s="1"/>
  <c r="F87" i="28"/>
  <c r="G87" i="28" s="1"/>
  <c r="F88" i="28"/>
  <c r="G88" i="28" s="1"/>
  <c r="F89" i="28"/>
  <c r="G89" i="28" s="1"/>
  <c r="J89" i="28" s="1"/>
  <c r="F90" i="28"/>
  <c r="G90" i="28" s="1"/>
  <c r="F91" i="28"/>
  <c r="G91" i="28" s="1"/>
  <c r="F92" i="28"/>
  <c r="G92" i="28" s="1"/>
  <c r="C91" i="28"/>
  <c r="L73" i="28"/>
  <c r="L60" i="28"/>
  <c r="L56" i="28"/>
  <c r="L37" i="28"/>
  <c r="L33" i="28"/>
  <c r="L27" i="28"/>
  <c r="L25" i="28"/>
  <c r="L24" i="28"/>
  <c r="L21" i="28"/>
  <c r="C20" i="28"/>
  <c r="L18" i="28"/>
  <c r="L15" i="28"/>
  <c r="L13" i="28"/>
  <c r="L12" i="28"/>
  <c r="L11" i="28"/>
  <c r="L10" i="28"/>
  <c r="L5" i="28"/>
  <c r="C5" i="28"/>
  <c r="O4" i="28"/>
  <c r="P4" i="28" s="1"/>
  <c r="I4" i="28"/>
  <c r="H4" i="28"/>
  <c r="F4" i="28"/>
  <c r="N2" i="28"/>
  <c r="E2" i="28"/>
  <c r="D2" i="28"/>
  <c r="M85" i="24"/>
  <c r="AJ85" i="24" s="1"/>
  <c r="Z91" i="25"/>
  <c r="Z90" i="25"/>
  <c r="R90" i="25"/>
  <c r="S90" i="25" s="1"/>
  <c r="T90" i="25" s="1"/>
  <c r="U90" i="25" s="1"/>
  <c r="V90" i="25" s="1"/>
  <c r="W90" i="25" s="1"/>
  <c r="X90" i="25" s="1"/>
  <c r="Y90" i="25" s="1"/>
  <c r="G91" i="25"/>
  <c r="J91" i="25" s="1"/>
  <c r="K91" i="25" s="1"/>
  <c r="L91" i="25" s="1"/>
  <c r="M91" i="25" s="1"/>
  <c r="N91" i="25" s="1"/>
  <c r="O91" i="25" s="1"/>
  <c r="P91" i="25" s="1"/>
  <c r="Q91" i="25" s="1"/>
  <c r="R91" i="25" s="1"/>
  <c r="S91" i="25" s="1"/>
  <c r="T91" i="25" s="1"/>
  <c r="U91" i="25" s="1"/>
  <c r="V91" i="25" s="1"/>
  <c r="W91" i="25" s="1"/>
  <c r="X91" i="25" s="1"/>
  <c r="Y91" i="25" s="1"/>
  <c r="G90" i="25"/>
  <c r="H90" i="25" s="1"/>
  <c r="I90" i="25" s="1"/>
  <c r="J90" i="25" s="1"/>
  <c r="K90" i="25" s="1"/>
  <c r="L90" i="25" s="1"/>
  <c r="M90" i="25" s="1"/>
  <c r="N90" i="25" s="1"/>
  <c r="O90" i="25" s="1"/>
  <c r="P90" i="25" s="1"/>
  <c r="Q90" i="25" s="1"/>
  <c r="U29" i="24"/>
  <c r="V29" i="24" s="1"/>
  <c r="W29" i="24" s="1"/>
  <c r="X29" i="24" s="1"/>
  <c r="Y29" i="24" s="1"/>
  <c r="Z29" i="24" s="1"/>
  <c r="AA29" i="24" s="1"/>
  <c r="AB29" i="24" s="1"/>
  <c r="AC29" i="24" s="1"/>
  <c r="AD29" i="24" s="1"/>
  <c r="AE29" i="24" s="1"/>
  <c r="AF29" i="24" s="1"/>
  <c r="AG29" i="24" s="1"/>
  <c r="AH29" i="24" s="1"/>
  <c r="AI29" i="24" s="1"/>
  <c r="U8" i="27"/>
  <c r="V8" i="27" s="1"/>
  <c r="W8" i="27" s="1"/>
  <c r="X8" i="27" s="1"/>
  <c r="U7" i="27"/>
  <c r="V7" i="27" s="1"/>
  <c r="W7" i="27" s="1"/>
  <c r="X7" i="27" s="1"/>
  <c r="U6" i="27"/>
  <c r="V6" i="27" s="1"/>
  <c r="W6" i="27" s="1"/>
  <c r="X6" i="27" s="1"/>
  <c r="U5" i="27"/>
  <c r="V5" i="27" s="1"/>
  <c r="W5" i="27" s="1"/>
  <c r="X5" i="27" s="1"/>
  <c r="U4" i="27"/>
  <c r="V4" i="27" s="1"/>
  <c r="Y12" i="27"/>
  <c r="Y11" i="27"/>
  <c r="Y10" i="27"/>
  <c r="Y9" i="27"/>
  <c r="Y8" i="27"/>
  <c r="K8" i="27"/>
  <c r="L8" i="27" s="1"/>
  <c r="M8" i="27" s="1"/>
  <c r="N8" i="27" s="1"/>
  <c r="O8" i="27" s="1"/>
  <c r="P8" i="27" s="1"/>
  <c r="Q8" i="27" s="1"/>
  <c r="R8" i="27" s="1"/>
  <c r="S8" i="27" s="1"/>
  <c r="T8" i="27" s="1"/>
  <c r="Y7" i="27"/>
  <c r="K7" i="27"/>
  <c r="L7" i="27" s="1"/>
  <c r="M7" i="27" s="1"/>
  <c r="N7" i="27" s="1"/>
  <c r="O7" i="27" s="1"/>
  <c r="P7" i="27" s="1"/>
  <c r="Q7" i="27" s="1"/>
  <c r="R7" i="27" s="1"/>
  <c r="S7" i="27" s="1"/>
  <c r="T7" i="27" s="1"/>
  <c r="Y6" i="27"/>
  <c r="L6" i="27"/>
  <c r="M6" i="27" s="1"/>
  <c r="N6" i="27" s="1"/>
  <c r="O6" i="27" s="1"/>
  <c r="P6" i="27" s="1"/>
  <c r="Q6" i="27" s="1"/>
  <c r="R6" i="27" s="1"/>
  <c r="S6" i="27" s="1"/>
  <c r="T6" i="27" s="1"/>
  <c r="Y5" i="27"/>
  <c r="K5" i="27"/>
  <c r="L5" i="27" s="1"/>
  <c r="M5" i="27" s="1"/>
  <c r="N5" i="27" s="1"/>
  <c r="O5" i="27" s="1"/>
  <c r="P5" i="27" s="1"/>
  <c r="Q5" i="27" s="1"/>
  <c r="R5" i="27" s="1"/>
  <c r="S5" i="27" s="1"/>
  <c r="T5" i="27" s="1"/>
  <c r="Y4" i="27"/>
  <c r="K4" i="27"/>
  <c r="L4" i="27" s="1"/>
  <c r="J2" i="27"/>
  <c r="I2" i="27"/>
  <c r="H2" i="27"/>
  <c r="F2" i="27"/>
  <c r="E2" i="27"/>
  <c r="D2" i="27"/>
  <c r="C2" i="27"/>
  <c r="B2" i="27"/>
  <c r="AC9" i="26"/>
  <c r="AD9" i="26" s="1"/>
  <c r="AE9" i="26" s="1"/>
  <c r="G2" i="26"/>
  <c r="AF12" i="26"/>
  <c r="J12" i="26"/>
  <c r="K12" i="26" s="1"/>
  <c r="L12" i="26" s="1"/>
  <c r="M12" i="26" s="1"/>
  <c r="N12" i="26" s="1"/>
  <c r="O12" i="26" s="1"/>
  <c r="P12" i="26" s="1"/>
  <c r="Q12" i="26" s="1"/>
  <c r="R12" i="26" s="1"/>
  <c r="S12" i="26" s="1"/>
  <c r="T12" i="26" s="1"/>
  <c r="U12" i="26" s="1"/>
  <c r="V12" i="26" s="1"/>
  <c r="W12" i="26" s="1"/>
  <c r="X12" i="26" s="1"/>
  <c r="Y12" i="26" s="1"/>
  <c r="Z12" i="26" s="1"/>
  <c r="AA12" i="26" s="1"/>
  <c r="AB12" i="26" s="1"/>
  <c r="AC12" i="26" s="1"/>
  <c r="AD12" i="26" s="1"/>
  <c r="AE12" i="26" s="1"/>
  <c r="AF11" i="26"/>
  <c r="J11" i="26"/>
  <c r="K11" i="26" s="1"/>
  <c r="L11" i="26" s="1"/>
  <c r="M11" i="26" s="1"/>
  <c r="N11" i="26" s="1"/>
  <c r="O11" i="26" s="1"/>
  <c r="P11" i="26" s="1"/>
  <c r="Q11" i="26" s="1"/>
  <c r="R11" i="26" s="1"/>
  <c r="S11" i="26" s="1"/>
  <c r="T11" i="26" s="1"/>
  <c r="U11" i="26" s="1"/>
  <c r="V11" i="26" s="1"/>
  <c r="W11" i="26" s="1"/>
  <c r="X11" i="26" s="1"/>
  <c r="Y11" i="26" s="1"/>
  <c r="Z11" i="26" s="1"/>
  <c r="AA11" i="26" s="1"/>
  <c r="AB11" i="26" s="1"/>
  <c r="AC11" i="26" s="1"/>
  <c r="AD11" i="26" s="1"/>
  <c r="AE11" i="26" s="1"/>
  <c r="J10" i="26"/>
  <c r="K10" i="26" s="1"/>
  <c r="L10" i="26" s="1"/>
  <c r="M10" i="26" s="1"/>
  <c r="N10" i="26" s="1"/>
  <c r="O10" i="26" s="1"/>
  <c r="P10" i="26" s="1"/>
  <c r="Q10" i="26" s="1"/>
  <c r="R10" i="26" s="1"/>
  <c r="S10" i="26" s="1"/>
  <c r="T10" i="26" s="1"/>
  <c r="U10" i="26" s="1"/>
  <c r="V10" i="26" s="1"/>
  <c r="W10" i="26" s="1"/>
  <c r="X10" i="26" s="1"/>
  <c r="Y10" i="26" s="1"/>
  <c r="Z10" i="26" s="1"/>
  <c r="AA10" i="26" s="1"/>
  <c r="AB10" i="26" s="1"/>
  <c r="AC10" i="26" s="1"/>
  <c r="AD10" i="26" s="1"/>
  <c r="AE10" i="26" s="1"/>
  <c r="AF10" i="26"/>
  <c r="AF9" i="26"/>
  <c r="J9" i="26"/>
  <c r="K9" i="26" s="1"/>
  <c r="L9" i="26" s="1"/>
  <c r="M9" i="26" s="1"/>
  <c r="N9" i="26" s="1"/>
  <c r="O9" i="26" s="1"/>
  <c r="P9" i="26" s="1"/>
  <c r="Q9" i="26" s="1"/>
  <c r="R9" i="26" s="1"/>
  <c r="S9" i="26" s="1"/>
  <c r="T9" i="26" s="1"/>
  <c r="U9" i="26" s="1"/>
  <c r="V9" i="26" s="1"/>
  <c r="W9" i="26" s="1"/>
  <c r="X9" i="26" s="1"/>
  <c r="Y9" i="26" s="1"/>
  <c r="Z9" i="26" s="1"/>
  <c r="AA9" i="26" s="1"/>
  <c r="AB9" i="26" s="1"/>
  <c r="AF8" i="26"/>
  <c r="J8" i="26"/>
  <c r="K8" i="26" s="1"/>
  <c r="L8" i="26" s="1"/>
  <c r="M8" i="26" s="1"/>
  <c r="N8" i="26" s="1"/>
  <c r="O8" i="26" s="1"/>
  <c r="P8" i="26" s="1"/>
  <c r="Q8" i="26" s="1"/>
  <c r="R8" i="26" s="1"/>
  <c r="S8" i="26" s="1"/>
  <c r="T8" i="26" s="1"/>
  <c r="U8" i="26" s="1"/>
  <c r="V8" i="26" s="1"/>
  <c r="W8" i="26" s="1"/>
  <c r="X8" i="26" s="1"/>
  <c r="Y8" i="26" s="1"/>
  <c r="Z8" i="26" s="1"/>
  <c r="AA8" i="26" s="1"/>
  <c r="AB8" i="26" s="1"/>
  <c r="AC8" i="26" s="1"/>
  <c r="AD8" i="26" s="1"/>
  <c r="AE8" i="26" s="1"/>
  <c r="AF7" i="26"/>
  <c r="J7" i="26"/>
  <c r="K7" i="26" s="1"/>
  <c r="L7" i="26" s="1"/>
  <c r="M7" i="26" s="1"/>
  <c r="N7" i="26" s="1"/>
  <c r="O7" i="26" s="1"/>
  <c r="P7" i="26" s="1"/>
  <c r="Q7" i="26" s="1"/>
  <c r="R7" i="26" s="1"/>
  <c r="S7" i="26" s="1"/>
  <c r="T7" i="26" s="1"/>
  <c r="U7" i="26" s="1"/>
  <c r="V7" i="26" s="1"/>
  <c r="W7" i="26" s="1"/>
  <c r="X7" i="26" s="1"/>
  <c r="Y7" i="26" s="1"/>
  <c r="Z7" i="26" s="1"/>
  <c r="AA7" i="26" s="1"/>
  <c r="AB7" i="26" s="1"/>
  <c r="AC7" i="26" s="1"/>
  <c r="AD7" i="26" s="1"/>
  <c r="AE7" i="26" s="1"/>
  <c r="AF6" i="26"/>
  <c r="K6" i="26"/>
  <c r="L6" i="26" s="1"/>
  <c r="M6" i="26" s="1"/>
  <c r="N6" i="26" s="1"/>
  <c r="O6" i="26" s="1"/>
  <c r="P6" i="26" s="1"/>
  <c r="Q6" i="26" s="1"/>
  <c r="R6" i="26" s="1"/>
  <c r="S6" i="26" s="1"/>
  <c r="T6" i="26" s="1"/>
  <c r="U6" i="26" s="1"/>
  <c r="V6" i="26" s="1"/>
  <c r="W6" i="26" s="1"/>
  <c r="X6" i="26" s="1"/>
  <c r="Y6" i="26" s="1"/>
  <c r="Z6" i="26" s="1"/>
  <c r="AA6" i="26" s="1"/>
  <c r="AB6" i="26" s="1"/>
  <c r="AC6" i="26" s="1"/>
  <c r="AF5" i="26"/>
  <c r="I5" i="26"/>
  <c r="I2" i="26" s="1"/>
  <c r="AF4" i="26"/>
  <c r="J4" i="26"/>
  <c r="K4" i="26" s="1"/>
  <c r="H2" i="26"/>
  <c r="C2" i="26"/>
  <c r="B2" i="26"/>
  <c r="R78" i="25"/>
  <c r="S78" i="25" s="1"/>
  <c r="T78" i="25" s="1"/>
  <c r="U78" i="25" s="1"/>
  <c r="V78" i="25" s="1"/>
  <c r="W78" i="25" s="1"/>
  <c r="X78" i="25" s="1"/>
  <c r="Y78" i="25" s="1"/>
  <c r="R71" i="25"/>
  <c r="S71" i="25" s="1"/>
  <c r="T71" i="25" s="1"/>
  <c r="U71" i="25" s="1"/>
  <c r="V71" i="25" s="1"/>
  <c r="W71" i="25" s="1"/>
  <c r="X71" i="25" s="1"/>
  <c r="Y71" i="25" s="1"/>
  <c r="R67" i="25"/>
  <c r="S67" i="25" s="1"/>
  <c r="T67" i="25" s="1"/>
  <c r="U67" i="25" s="1"/>
  <c r="V67" i="25" s="1"/>
  <c r="W67" i="25" s="1"/>
  <c r="X67" i="25" s="1"/>
  <c r="Y67" i="25" s="1"/>
  <c r="R60" i="25"/>
  <c r="S60" i="25" s="1"/>
  <c r="T60" i="25" s="1"/>
  <c r="U60" i="25" s="1"/>
  <c r="V60" i="25" s="1"/>
  <c r="W60" i="25" s="1"/>
  <c r="X60" i="25" s="1"/>
  <c r="Y60" i="25" s="1"/>
  <c r="R48" i="25"/>
  <c r="S48" i="25" s="1"/>
  <c r="T48" i="25" s="1"/>
  <c r="U48" i="25" s="1"/>
  <c r="V48" i="25" s="1"/>
  <c r="W48" i="25" s="1"/>
  <c r="X48" i="25" s="1"/>
  <c r="Y48" i="25" s="1"/>
  <c r="R36" i="25"/>
  <c r="S36" i="25" s="1"/>
  <c r="T36" i="25" s="1"/>
  <c r="U36" i="25" s="1"/>
  <c r="V36" i="25" s="1"/>
  <c r="W36" i="25" s="1"/>
  <c r="X36" i="25" s="1"/>
  <c r="Y36" i="25" s="1"/>
  <c r="R11" i="25"/>
  <c r="S11" i="25" s="1"/>
  <c r="T11" i="25" s="1"/>
  <c r="U11" i="25" s="1"/>
  <c r="V11" i="25" s="1"/>
  <c r="W11" i="25" s="1"/>
  <c r="X11" i="25" s="1"/>
  <c r="Y11" i="25" s="1"/>
  <c r="Z75" i="25"/>
  <c r="Z80" i="25"/>
  <c r="Z17" i="25"/>
  <c r="Z14" i="25"/>
  <c r="Z11" i="25"/>
  <c r="Z8" i="25"/>
  <c r="Z89" i="25"/>
  <c r="G89" i="25"/>
  <c r="H89" i="25" s="1"/>
  <c r="I89" i="25" s="1"/>
  <c r="J89" i="25" s="1"/>
  <c r="K89" i="25" s="1"/>
  <c r="L89" i="25" s="1"/>
  <c r="M89" i="25" s="1"/>
  <c r="N89" i="25" s="1"/>
  <c r="O89" i="25" s="1"/>
  <c r="P89" i="25" s="1"/>
  <c r="Q89" i="25" s="1"/>
  <c r="R89" i="25" s="1"/>
  <c r="S89" i="25" s="1"/>
  <c r="T89" i="25" s="1"/>
  <c r="U89" i="25" s="1"/>
  <c r="V89" i="25" s="1"/>
  <c r="W89" i="25" s="1"/>
  <c r="X89" i="25" s="1"/>
  <c r="Y89" i="25" s="1"/>
  <c r="Z88" i="25"/>
  <c r="G88" i="25"/>
  <c r="H88" i="25" s="1"/>
  <c r="I88" i="25" s="1"/>
  <c r="J88" i="25" s="1"/>
  <c r="K88" i="25" s="1"/>
  <c r="L88" i="25" s="1"/>
  <c r="M88" i="25" s="1"/>
  <c r="N88" i="25" s="1"/>
  <c r="O88" i="25" s="1"/>
  <c r="P88" i="25" s="1"/>
  <c r="Q88" i="25" s="1"/>
  <c r="R88" i="25" s="1"/>
  <c r="S88" i="25" s="1"/>
  <c r="T88" i="25" s="1"/>
  <c r="U88" i="25" s="1"/>
  <c r="V88" i="25" s="1"/>
  <c r="W88" i="25" s="1"/>
  <c r="X88" i="25" s="1"/>
  <c r="Y88" i="25" s="1"/>
  <c r="Z87" i="25"/>
  <c r="G87" i="25"/>
  <c r="H87" i="25" s="1"/>
  <c r="I87" i="25" s="1"/>
  <c r="J87" i="25" s="1"/>
  <c r="K87" i="25" s="1"/>
  <c r="L87" i="25" s="1"/>
  <c r="M87" i="25" s="1"/>
  <c r="N87" i="25" s="1"/>
  <c r="O87" i="25" s="1"/>
  <c r="P87" i="25" s="1"/>
  <c r="Q87" i="25" s="1"/>
  <c r="R87" i="25" s="1"/>
  <c r="S87" i="25" s="1"/>
  <c r="T87" i="25" s="1"/>
  <c r="U87" i="25" s="1"/>
  <c r="V87" i="25" s="1"/>
  <c r="W87" i="25" s="1"/>
  <c r="X87" i="25" s="1"/>
  <c r="Y87" i="25" s="1"/>
  <c r="Z86" i="25"/>
  <c r="G86" i="25"/>
  <c r="H86" i="25" s="1"/>
  <c r="I86" i="25" s="1"/>
  <c r="J86" i="25" s="1"/>
  <c r="K86" i="25" s="1"/>
  <c r="L86" i="25" s="1"/>
  <c r="M86" i="25" s="1"/>
  <c r="N86" i="25" s="1"/>
  <c r="O86" i="25" s="1"/>
  <c r="P86" i="25" s="1"/>
  <c r="Q86" i="25" s="1"/>
  <c r="R86" i="25" s="1"/>
  <c r="S86" i="25" s="1"/>
  <c r="T86" i="25" s="1"/>
  <c r="U86" i="25" s="1"/>
  <c r="V86" i="25" s="1"/>
  <c r="W86" i="25" s="1"/>
  <c r="X86" i="25" s="1"/>
  <c r="Y86" i="25" s="1"/>
  <c r="Z85" i="25"/>
  <c r="G85" i="25"/>
  <c r="H85" i="25" s="1"/>
  <c r="I85" i="25" s="1"/>
  <c r="J85" i="25" s="1"/>
  <c r="K85" i="25" s="1"/>
  <c r="L85" i="25" s="1"/>
  <c r="M85" i="25" s="1"/>
  <c r="N85" i="25" s="1"/>
  <c r="O85" i="25" s="1"/>
  <c r="P85" i="25" s="1"/>
  <c r="Q85" i="25" s="1"/>
  <c r="R85" i="25" s="1"/>
  <c r="S85" i="25" s="1"/>
  <c r="T85" i="25" s="1"/>
  <c r="U85" i="25" s="1"/>
  <c r="V85" i="25" s="1"/>
  <c r="W85" i="25" s="1"/>
  <c r="X85" i="25" s="1"/>
  <c r="Y85" i="25" s="1"/>
  <c r="Z84" i="25"/>
  <c r="G84" i="25"/>
  <c r="I84" i="25" s="1"/>
  <c r="J84" i="25" s="1"/>
  <c r="K84" i="25" s="1"/>
  <c r="L84" i="25" s="1"/>
  <c r="M84" i="25" s="1"/>
  <c r="N84" i="25" s="1"/>
  <c r="O84" i="25" s="1"/>
  <c r="P84" i="25" s="1"/>
  <c r="Q84" i="25" s="1"/>
  <c r="R84" i="25" s="1"/>
  <c r="S84" i="25" s="1"/>
  <c r="T84" i="25" s="1"/>
  <c r="U84" i="25" s="1"/>
  <c r="V84" i="25" s="1"/>
  <c r="W84" i="25" s="1"/>
  <c r="X84" i="25" s="1"/>
  <c r="Y84" i="25" s="1"/>
  <c r="Z83" i="25"/>
  <c r="G83" i="25"/>
  <c r="H83" i="25" s="1"/>
  <c r="I83" i="25" s="1"/>
  <c r="J83" i="25" s="1"/>
  <c r="K83" i="25" s="1"/>
  <c r="L83" i="25" s="1"/>
  <c r="M83" i="25" s="1"/>
  <c r="N83" i="25" s="1"/>
  <c r="O83" i="25" s="1"/>
  <c r="P83" i="25" s="1"/>
  <c r="Q83" i="25" s="1"/>
  <c r="R83" i="25" s="1"/>
  <c r="S83" i="25" s="1"/>
  <c r="T83" i="25" s="1"/>
  <c r="U83" i="25" s="1"/>
  <c r="V83" i="25" s="1"/>
  <c r="W83" i="25" s="1"/>
  <c r="X83" i="25" s="1"/>
  <c r="Y83" i="25" s="1"/>
  <c r="Z82" i="25"/>
  <c r="G82" i="25"/>
  <c r="H82" i="25" s="1"/>
  <c r="I82" i="25" s="1"/>
  <c r="J82" i="25" s="1"/>
  <c r="K82" i="25" s="1"/>
  <c r="L82" i="25" s="1"/>
  <c r="M82" i="25" s="1"/>
  <c r="N82" i="25" s="1"/>
  <c r="O82" i="25" s="1"/>
  <c r="P82" i="25" s="1"/>
  <c r="Q82" i="25" s="1"/>
  <c r="R82" i="25" s="1"/>
  <c r="S82" i="25" s="1"/>
  <c r="T82" i="25" s="1"/>
  <c r="U82" i="25" s="1"/>
  <c r="V82" i="25" s="1"/>
  <c r="W82" i="25" s="1"/>
  <c r="X82" i="25" s="1"/>
  <c r="Y82" i="25" s="1"/>
  <c r="Z81" i="25"/>
  <c r="G81" i="25"/>
  <c r="H81" i="25" s="1"/>
  <c r="I81" i="25" s="1"/>
  <c r="J81" i="25" s="1"/>
  <c r="K81" i="25" s="1"/>
  <c r="L81" i="25" s="1"/>
  <c r="M81" i="25" s="1"/>
  <c r="N81" i="25" s="1"/>
  <c r="O81" i="25" s="1"/>
  <c r="P81" i="25" s="1"/>
  <c r="Q81" i="25" s="1"/>
  <c r="R81" i="25" s="1"/>
  <c r="S81" i="25" s="1"/>
  <c r="T81" i="25" s="1"/>
  <c r="U81" i="25" s="1"/>
  <c r="V81" i="25" s="1"/>
  <c r="W81" i="25" s="1"/>
  <c r="X81" i="25" s="1"/>
  <c r="Y81" i="25" s="1"/>
  <c r="G80" i="25"/>
  <c r="H80" i="25" s="1"/>
  <c r="I80" i="25" s="1"/>
  <c r="J80" i="25" s="1"/>
  <c r="K80" i="25" s="1"/>
  <c r="L80" i="25" s="1"/>
  <c r="M80" i="25" s="1"/>
  <c r="N80" i="25" s="1"/>
  <c r="O80" i="25" s="1"/>
  <c r="P80" i="25" s="1"/>
  <c r="Q80" i="25" s="1"/>
  <c r="R80" i="25" s="1"/>
  <c r="S80" i="25" s="1"/>
  <c r="T80" i="25" s="1"/>
  <c r="U80" i="25" s="1"/>
  <c r="V80" i="25" s="1"/>
  <c r="W80" i="25" s="1"/>
  <c r="X80" i="25" s="1"/>
  <c r="Y80" i="25" s="1"/>
  <c r="Z79" i="25"/>
  <c r="H79" i="25"/>
  <c r="I79" i="25" s="1"/>
  <c r="J79" i="25" s="1"/>
  <c r="K79" i="25" s="1"/>
  <c r="L79" i="25" s="1"/>
  <c r="M79" i="25" s="1"/>
  <c r="N79" i="25" s="1"/>
  <c r="O79" i="25" s="1"/>
  <c r="P79" i="25" s="1"/>
  <c r="Q79" i="25" s="1"/>
  <c r="R79" i="25" s="1"/>
  <c r="S79" i="25" s="1"/>
  <c r="T79" i="25" s="1"/>
  <c r="U79" i="25" s="1"/>
  <c r="V79" i="25" s="1"/>
  <c r="W79" i="25" s="1"/>
  <c r="X79" i="25" s="1"/>
  <c r="Y79" i="25" s="1"/>
  <c r="Z78" i="25"/>
  <c r="G78" i="25"/>
  <c r="H78" i="25" s="1"/>
  <c r="I78" i="25" s="1"/>
  <c r="J78" i="25" s="1"/>
  <c r="K78" i="25" s="1"/>
  <c r="L78" i="25" s="1"/>
  <c r="M78" i="25" s="1"/>
  <c r="N78" i="25" s="1"/>
  <c r="O78" i="25" s="1"/>
  <c r="P78" i="25" s="1"/>
  <c r="Q78" i="25" s="1"/>
  <c r="Z77" i="25"/>
  <c r="G77" i="25"/>
  <c r="H77" i="25" s="1"/>
  <c r="I77" i="25" s="1"/>
  <c r="J77" i="25" s="1"/>
  <c r="K77" i="25" s="1"/>
  <c r="L77" i="25" s="1"/>
  <c r="M77" i="25" s="1"/>
  <c r="N77" i="25" s="1"/>
  <c r="O77" i="25" s="1"/>
  <c r="P77" i="25" s="1"/>
  <c r="Q77" i="25" s="1"/>
  <c r="R77" i="25" s="1"/>
  <c r="S77" i="25" s="1"/>
  <c r="T77" i="25" s="1"/>
  <c r="U77" i="25" s="1"/>
  <c r="V77" i="25" s="1"/>
  <c r="W77" i="25" s="1"/>
  <c r="X77" i="25" s="1"/>
  <c r="Y77" i="25" s="1"/>
  <c r="Z76" i="25"/>
  <c r="G76" i="25"/>
  <c r="H76" i="25" s="1"/>
  <c r="I76" i="25" s="1"/>
  <c r="J76" i="25" s="1"/>
  <c r="K76" i="25" s="1"/>
  <c r="L76" i="25" s="1"/>
  <c r="M76" i="25" s="1"/>
  <c r="N76" i="25" s="1"/>
  <c r="O76" i="25" s="1"/>
  <c r="P76" i="25" s="1"/>
  <c r="Q76" i="25" s="1"/>
  <c r="R76" i="25" s="1"/>
  <c r="S76" i="25" s="1"/>
  <c r="T76" i="25" s="1"/>
  <c r="U76" i="25" s="1"/>
  <c r="V76" i="25" s="1"/>
  <c r="W76" i="25" s="1"/>
  <c r="X76" i="25" s="1"/>
  <c r="Y76" i="25" s="1"/>
  <c r="G75" i="25"/>
  <c r="H75" i="25" s="1"/>
  <c r="I75" i="25" s="1"/>
  <c r="J75" i="25" s="1"/>
  <c r="K75" i="25" s="1"/>
  <c r="L75" i="25" s="1"/>
  <c r="M75" i="25" s="1"/>
  <c r="N75" i="25" s="1"/>
  <c r="O75" i="25" s="1"/>
  <c r="P75" i="25" s="1"/>
  <c r="Q75" i="25" s="1"/>
  <c r="R75" i="25" s="1"/>
  <c r="S75" i="25" s="1"/>
  <c r="T75" i="25" s="1"/>
  <c r="U75" i="25" s="1"/>
  <c r="V75" i="25" s="1"/>
  <c r="W75" i="25" s="1"/>
  <c r="X75" i="25" s="1"/>
  <c r="Y75" i="25" s="1"/>
  <c r="Z74" i="25"/>
  <c r="G74" i="25"/>
  <c r="H74" i="25" s="1"/>
  <c r="I74" i="25" s="1"/>
  <c r="J74" i="25" s="1"/>
  <c r="K74" i="25" s="1"/>
  <c r="L74" i="25" s="1"/>
  <c r="M74" i="25" s="1"/>
  <c r="N74" i="25" s="1"/>
  <c r="O74" i="25" s="1"/>
  <c r="P74" i="25" s="1"/>
  <c r="Q74" i="25" s="1"/>
  <c r="R74" i="25" s="1"/>
  <c r="S74" i="25" s="1"/>
  <c r="T74" i="25" s="1"/>
  <c r="U74" i="25" s="1"/>
  <c r="V74" i="25" s="1"/>
  <c r="W74" i="25" s="1"/>
  <c r="X74" i="25" s="1"/>
  <c r="Y74" i="25" s="1"/>
  <c r="Z73" i="25"/>
  <c r="G73" i="25"/>
  <c r="H73" i="25" s="1"/>
  <c r="I73" i="25" s="1"/>
  <c r="J73" i="25" s="1"/>
  <c r="K73" i="25" s="1"/>
  <c r="L73" i="25" s="1"/>
  <c r="M73" i="25" s="1"/>
  <c r="N73" i="25" s="1"/>
  <c r="O73" i="25" s="1"/>
  <c r="P73" i="25" s="1"/>
  <c r="Q73" i="25" s="1"/>
  <c r="R73" i="25" s="1"/>
  <c r="S73" i="25" s="1"/>
  <c r="T73" i="25" s="1"/>
  <c r="U73" i="25" s="1"/>
  <c r="V73" i="25" s="1"/>
  <c r="W73" i="25" s="1"/>
  <c r="X73" i="25" s="1"/>
  <c r="Y73" i="25" s="1"/>
  <c r="Z72" i="25"/>
  <c r="H72" i="25"/>
  <c r="I72" i="25" s="1"/>
  <c r="J72" i="25" s="1"/>
  <c r="K72" i="25" s="1"/>
  <c r="L72" i="25" s="1"/>
  <c r="M72" i="25" s="1"/>
  <c r="N72" i="25" s="1"/>
  <c r="O72" i="25" s="1"/>
  <c r="P72" i="25" s="1"/>
  <c r="Q72" i="25" s="1"/>
  <c r="R72" i="25" s="1"/>
  <c r="S72" i="25" s="1"/>
  <c r="T72" i="25" s="1"/>
  <c r="U72" i="25" s="1"/>
  <c r="V72" i="25" s="1"/>
  <c r="W72" i="25" s="1"/>
  <c r="X72" i="25" s="1"/>
  <c r="Y72" i="25" s="1"/>
  <c r="G72" i="25"/>
  <c r="Z71" i="25"/>
  <c r="G71" i="25"/>
  <c r="H71" i="25" s="1"/>
  <c r="I71" i="25" s="1"/>
  <c r="J71" i="25" s="1"/>
  <c r="K71" i="25" s="1"/>
  <c r="L71" i="25" s="1"/>
  <c r="M71" i="25" s="1"/>
  <c r="N71" i="25" s="1"/>
  <c r="O71" i="25" s="1"/>
  <c r="P71" i="25" s="1"/>
  <c r="Q71" i="25" s="1"/>
  <c r="Z70" i="25"/>
  <c r="G70" i="25"/>
  <c r="H70" i="25" s="1"/>
  <c r="I70" i="25" s="1"/>
  <c r="J70" i="25" s="1"/>
  <c r="K70" i="25" s="1"/>
  <c r="L70" i="25" s="1"/>
  <c r="M70" i="25" s="1"/>
  <c r="N70" i="25" s="1"/>
  <c r="O70" i="25" s="1"/>
  <c r="P70" i="25" s="1"/>
  <c r="Q70" i="25" s="1"/>
  <c r="R70" i="25" s="1"/>
  <c r="S70" i="25" s="1"/>
  <c r="T70" i="25" s="1"/>
  <c r="U70" i="25" s="1"/>
  <c r="V70" i="25" s="1"/>
  <c r="W70" i="25" s="1"/>
  <c r="X70" i="25" s="1"/>
  <c r="Y70" i="25" s="1"/>
  <c r="Z69" i="25"/>
  <c r="G69" i="25"/>
  <c r="H69" i="25" s="1"/>
  <c r="I69" i="25" s="1"/>
  <c r="J69" i="25" s="1"/>
  <c r="K69" i="25" s="1"/>
  <c r="L69" i="25" s="1"/>
  <c r="M69" i="25" s="1"/>
  <c r="N69" i="25" s="1"/>
  <c r="O69" i="25" s="1"/>
  <c r="P69" i="25" s="1"/>
  <c r="Q69" i="25" s="1"/>
  <c r="R69" i="25" s="1"/>
  <c r="S69" i="25" s="1"/>
  <c r="T69" i="25" s="1"/>
  <c r="U69" i="25" s="1"/>
  <c r="V69" i="25" s="1"/>
  <c r="W69" i="25" s="1"/>
  <c r="X69" i="25" s="1"/>
  <c r="Y69" i="25" s="1"/>
  <c r="Z68" i="25"/>
  <c r="G68" i="25"/>
  <c r="H68" i="25" s="1"/>
  <c r="I68" i="25" s="1"/>
  <c r="J68" i="25" s="1"/>
  <c r="K68" i="25" s="1"/>
  <c r="L68" i="25" s="1"/>
  <c r="M68" i="25" s="1"/>
  <c r="N68" i="25" s="1"/>
  <c r="O68" i="25" s="1"/>
  <c r="P68" i="25" s="1"/>
  <c r="Q68" i="25" s="1"/>
  <c r="R68" i="25" s="1"/>
  <c r="S68" i="25" s="1"/>
  <c r="T68" i="25" s="1"/>
  <c r="U68" i="25" s="1"/>
  <c r="V68" i="25" s="1"/>
  <c r="W68" i="25" s="1"/>
  <c r="X68" i="25" s="1"/>
  <c r="Y68" i="25" s="1"/>
  <c r="Z67" i="25"/>
  <c r="G67" i="25"/>
  <c r="H67" i="25" s="1"/>
  <c r="I67" i="25" s="1"/>
  <c r="J67" i="25" s="1"/>
  <c r="K67" i="25" s="1"/>
  <c r="L67" i="25" s="1"/>
  <c r="M67" i="25" s="1"/>
  <c r="N67" i="25" s="1"/>
  <c r="O67" i="25" s="1"/>
  <c r="P67" i="25" s="1"/>
  <c r="Q67" i="25" s="1"/>
  <c r="Z66" i="25"/>
  <c r="G66" i="25"/>
  <c r="H66" i="25" s="1"/>
  <c r="I66" i="25" s="1"/>
  <c r="J66" i="25" s="1"/>
  <c r="K66" i="25" s="1"/>
  <c r="L66" i="25" s="1"/>
  <c r="M66" i="25" s="1"/>
  <c r="N66" i="25" s="1"/>
  <c r="O66" i="25" s="1"/>
  <c r="P66" i="25" s="1"/>
  <c r="Q66" i="25" s="1"/>
  <c r="R66" i="25" s="1"/>
  <c r="S66" i="25" s="1"/>
  <c r="T66" i="25" s="1"/>
  <c r="U66" i="25" s="1"/>
  <c r="V66" i="25" s="1"/>
  <c r="W66" i="25" s="1"/>
  <c r="X66" i="25" s="1"/>
  <c r="Y66" i="25" s="1"/>
  <c r="Z65" i="25"/>
  <c r="G65" i="25"/>
  <c r="H65" i="25" s="1"/>
  <c r="I65" i="25" s="1"/>
  <c r="J65" i="25" s="1"/>
  <c r="K65" i="25" s="1"/>
  <c r="L65" i="25" s="1"/>
  <c r="M65" i="25" s="1"/>
  <c r="N65" i="25" s="1"/>
  <c r="O65" i="25" s="1"/>
  <c r="P65" i="25" s="1"/>
  <c r="Q65" i="25" s="1"/>
  <c r="R65" i="25" s="1"/>
  <c r="S65" i="25" s="1"/>
  <c r="T65" i="25" s="1"/>
  <c r="U65" i="25" s="1"/>
  <c r="V65" i="25" s="1"/>
  <c r="W65" i="25" s="1"/>
  <c r="X65" i="25" s="1"/>
  <c r="Y65" i="25" s="1"/>
  <c r="Z64" i="25"/>
  <c r="G64" i="25"/>
  <c r="H64" i="25" s="1"/>
  <c r="I64" i="25" s="1"/>
  <c r="J64" i="25" s="1"/>
  <c r="K64" i="25" s="1"/>
  <c r="L64" i="25" s="1"/>
  <c r="M64" i="25" s="1"/>
  <c r="N64" i="25" s="1"/>
  <c r="O64" i="25" s="1"/>
  <c r="P64" i="25" s="1"/>
  <c r="Q64" i="25" s="1"/>
  <c r="R64" i="25" s="1"/>
  <c r="S64" i="25" s="1"/>
  <c r="T64" i="25" s="1"/>
  <c r="U64" i="25" s="1"/>
  <c r="V64" i="25" s="1"/>
  <c r="W64" i="25" s="1"/>
  <c r="X64" i="25" s="1"/>
  <c r="Y64" i="25" s="1"/>
  <c r="Z63" i="25"/>
  <c r="G63" i="25"/>
  <c r="H63" i="25" s="1"/>
  <c r="I63" i="25" s="1"/>
  <c r="J63" i="25" s="1"/>
  <c r="K63" i="25" s="1"/>
  <c r="L63" i="25" s="1"/>
  <c r="M63" i="25" s="1"/>
  <c r="N63" i="25" s="1"/>
  <c r="O63" i="25" s="1"/>
  <c r="P63" i="25" s="1"/>
  <c r="Q63" i="25" s="1"/>
  <c r="R63" i="25" s="1"/>
  <c r="S63" i="25" s="1"/>
  <c r="T63" i="25" s="1"/>
  <c r="U63" i="25" s="1"/>
  <c r="V63" i="25" s="1"/>
  <c r="W63" i="25" s="1"/>
  <c r="X63" i="25" s="1"/>
  <c r="Y63" i="25" s="1"/>
  <c r="Z62" i="25"/>
  <c r="G62" i="25"/>
  <c r="H62" i="25" s="1"/>
  <c r="I62" i="25" s="1"/>
  <c r="J62" i="25" s="1"/>
  <c r="K62" i="25" s="1"/>
  <c r="L62" i="25" s="1"/>
  <c r="M62" i="25" s="1"/>
  <c r="N62" i="25" s="1"/>
  <c r="O62" i="25" s="1"/>
  <c r="P62" i="25" s="1"/>
  <c r="Q62" i="25" s="1"/>
  <c r="R62" i="25" s="1"/>
  <c r="S62" i="25" s="1"/>
  <c r="T62" i="25" s="1"/>
  <c r="U62" i="25" s="1"/>
  <c r="V62" i="25" s="1"/>
  <c r="W62" i="25" s="1"/>
  <c r="X62" i="25" s="1"/>
  <c r="Y62" i="25" s="1"/>
  <c r="Z61" i="25"/>
  <c r="G61" i="25"/>
  <c r="H61" i="25" s="1"/>
  <c r="I61" i="25" s="1"/>
  <c r="J61" i="25" s="1"/>
  <c r="K61" i="25" s="1"/>
  <c r="L61" i="25" s="1"/>
  <c r="M61" i="25" s="1"/>
  <c r="N61" i="25" s="1"/>
  <c r="O61" i="25" s="1"/>
  <c r="P61" i="25" s="1"/>
  <c r="Q61" i="25" s="1"/>
  <c r="R61" i="25" s="1"/>
  <c r="S61" i="25" s="1"/>
  <c r="T61" i="25" s="1"/>
  <c r="U61" i="25" s="1"/>
  <c r="V61" i="25" s="1"/>
  <c r="W61" i="25" s="1"/>
  <c r="X61" i="25" s="1"/>
  <c r="Y61" i="25" s="1"/>
  <c r="Z60" i="25"/>
  <c r="G60" i="25"/>
  <c r="H60" i="25" s="1"/>
  <c r="I60" i="25" s="1"/>
  <c r="J60" i="25" s="1"/>
  <c r="K60" i="25" s="1"/>
  <c r="L60" i="25" s="1"/>
  <c r="M60" i="25" s="1"/>
  <c r="N60" i="25" s="1"/>
  <c r="O60" i="25" s="1"/>
  <c r="P60" i="25" s="1"/>
  <c r="Q60" i="25" s="1"/>
  <c r="Z59" i="25"/>
  <c r="G59" i="25"/>
  <c r="H59" i="25" s="1"/>
  <c r="I59" i="25" s="1"/>
  <c r="J59" i="25" s="1"/>
  <c r="K59" i="25" s="1"/>
  <c r="L59" i="25" s="1"/>
  <c r="M59" i="25" s="1"/>
  <c r="N59" i="25" s="1"/>
  <c r="O59" i="25" s="1"/>
  <c r="P59" i="25" s="1"/>
  <c r="Q59" i="25" s="1"/>
  <c r="R59" i="25" s="1"/>
  <c r="S59" i="25" s="1"/>
  <c r="T59" i="25" s="1"/>
  <c r="U59" i="25" s="1"/>
  <c r="V59" i="25" s="1"/>
  <c r="W59" i="25" s="1"/>
  <c r="X59" i="25" s="1"/>
  <c r="Y59" i="25" s="1"/>
  <c r="Z58" i="25"/>
  <c r="G58" i="25"/>
  <c r="H58" i="25" s="1"/>
  <c r="I58" i="25" s="1"/>
  <c r="J58" i="25" s="1"/>
  <c r="K58" i="25" s="1"/>
  <c r="L58" i="25" s="1"/>
  <c r="M58" i="25" s="1"/>
  <c r="N58" i="25" s="1"/>
  <c r="O58" i="25" s="1"/>
  <c r="P58" i="25" s="1"/>
  <c r="Q58" i="25" s="1"/>
  <c r="R58" i="25" s="1"/>
  <c r="S58" i="25" s="1"/>
  <c r="T58" i="25" s="1"/>
  <c r="U58" i="25" s="1"/>
  <c r="V58" i="25" s="1"/>
  <c r="W58" i="25" s="1"/>
  <c r="X58" i="25" s="1"/>
  <c r="Y58" i="25" s="1"/>
  <c r="Z57" i="25"/>
  <c r="G57" i="25"/>
  <c r="H57" i="25" s="1"/>
  <c r="I57" i="25" s="1"/>
  <c r="J57" i="25" s="1"/>
  <c r="K57" i="25" s="1"/>
  <c r="L57" i="25" s="1"/>
  <c r="M57" i="25" s="1"/>
  <c r="N57" i="25" s="1"/>
  <c r="O57" i="25" s="1"/>
  <c r="P57" i="25" s="1"/>
  <c r="Q57" i="25" s="1"/>
  <c r="R57" i="25" s="1"/>
  <c r="S57" i="25" s="1"/>
  <c r="T57" i="25" s="1"/>
  <c r="U57" i="25" s="1"/>
  <c r="V57" i="25" s="1"/>
  <c r="W57" i="25" s="1"/>
  <c r="X57" i="25" s="1"/>
  <c r="Y57" i="25" s="1"/>
  <c r="Z56" i="25"/>
  <c r="G56" i="25"/>
  <c r="H56" i="25" s="1"/>
  <c r="I56" i="25" s="1"/>
  <c r="J56" i="25" s="1"/>
  <c r="K56" i="25" s="1"/>
  <c r="L56" i="25" s="1"/>
  <c r="M56" i="25" s="1"/>
  <c r="N56" i="25" s="1"/>
  <c r="O56" i="25" s="1"/>
  <c r="P56" i="25" s="1"/>
  <c r="Q56" i="25" s="1"/>
  <c r="R56" i="25" s="1"/>
  <c r="S56" i="25" s="1"/>
  <c r="T56" i="25" s="1"/>
  <c r="U56" i="25" s="1"/>
  <c r="V56" i="25" s="1"/>
  <c r="W56" i="25" s="1"/>
  <c r="X56" i="25" s="1"/>
  <c r="Y56" i="25" s="1"/>
  <c r="Z55" i="25"/>
  <c r="I55" i="25"/>
  <c r="J55" i="25" s="1"/>
  <c r="K55" i="25" s="1"/>
  <c r="L55" i="25" s="1"/>
  <c r="M55" i="25" s="1"/>
  <c r="N55" i="25" s="1"/>
  <c r="O55" i="25" s="1"/>
  <c r="P55" i="25" s="1"/>
  <c r="Q55" i="25" s="1"/>
  <c r="R55" i="25" s="1"/>
  <c r="S55" i="25" s="1"/>
  <c r="T55" i="25" s="1"/>
  <c r="U55" i="25" s="1"/>
  <c r="V55" i="25" s="1"/>
  <c r="W55" i="25" s="1"/>
  <c r="X55" i="25" s="1"/>
  <c r="Y55" i="25" s="1"/>
  <c r="G55" i="25"/>
  <c r="Z54" i="25"/>
  <c r="G54" i="25"/>
  <c r="H54" i="25" s="1"/>
  <c r="I54" i="25" s="1"/>
  <c r="J54" i="25" s="1"/>
  <c r="K54" i="25" s="1"/>
  <c r="L54" i="25" s="1"/>
  <c r="M54" i="25" s="1"/>
  <c r="N54" i="25" s="1"/>
  <c r="O54" i="25" s="1"/>
  <c r="P54" i="25" s="1"/>
  <c r="Q54" i="25" s="1"/>
  <c r="R54" i="25" s="1"/>
  <c r="S54" i="25" s="1"/>
  <c r="T54" i="25" s="1"/>
  <c r="U54" i="25" s="1"/>
  <c r="V54" i="25" s="1"/>
  <c r="W54" i="25" s="1"/>
  <c r="X54" i="25" s="1"/>
  <c r="Y54" i="25" s="1"/>
  <c r="Z53" i="25"/>
  <c r="G53" i="25"/>
  <c r="H53" i="25" s="1"/>
  <c r="I53" i="25" s="1"/>
  <c r="J53" i="25" s="1"/>
  <c r="K53" i="25" s="1"/>
  <c r="L53" i="25" s="1"/>
  <c r="M53" i="25" s="1"/>
  <c r="N53" i="25" s="1"/>
  <c r="O53" i="25" s="1"/>
  <c r="P53" i="25" s="1"/>
  <c r="Q53" i="25" s="1"/>
  <c r="R53" i="25" s="1"/>
  <c r="S53" i="25" s="1"/>
  <c r="T53" i="25" s="1"/>
  <c r="U53" i="25" s="1"/>
  <c r="V53" i="25" s="1"/>
  <c r="W53" i="25" s="1"/>
  <c r="X53" i="25" s="1"/>
  <c r="Y53" i="25" s="1"/>
  <c r="Z52" i="25"/>
  <c r="G52" i="25"/>
  <c r="H52" i="25" s="1"/>
  <c r="I52" i="25" s="1"/>
  <c r="J52" i="25" s="1"/>
  <c r="K52" i="25" s="1"/>
  <c r="L52" i="25" s="1"/>
  <c r="M52" i="25" s="1"/>
  <c r="N52" i="25" s="1"/>
  <c r="O52" i="25" s="1"/>
  <c r="P52" i="25" s="1"/>
  <c r="Q52" i="25" s="1"/>
  <c r="R52" i="25" s="1"/>
  <c r="S52" i="25" s="1"/>
  <c r="T52" i="25" s="1"/>
  <c r="U52" i="25" s="1"/>
  <c r="V52" i="25" s="1"/>
  <c r="W52" i="25" s="1"/>
  <c r="X52" i="25" s="1"/>
  <c r="Y52" i="25" s="1"/>
  <c r="Z51" i="25"/>
  <c r="G51" i="25"/>
  <c r="H51" i="25" s="1"/>
  <c r="I51" i="25" s="1"/>
  <c r="J51" i="25" s="1"/>
  <c r="K51" i="25" s="1"/>
  <c r="L51" i="25" s="1"/>
  <c r="M51" i="25" s="1"/>
  <c r="N51" i="25" s="1"/>
  <c r="O51" i="25" s="1"/>
  <c r="P51" i="25" s="1"/>
  <c r="Q51" i="25" s="1"/>
  <c r="R51" i="25" s="1"/>
  <c r="S51" i="25" s="1"/>
  <c r="T51" i="25" s="1"/>
  <c r="U51" i="25" s="1"/>
  <c r="V51" i="25" s="1"/>
  <c r="W51" i="25" s="1"/>
  <c r="X51" i="25" s="1"/>
  <c r="Y51" i="25" s="1"/>
  <c r="Z50" i="25"/>
  <c r="G50" i="25"/>
  <c r="H50" i="25" s="1"/>
  <c r="I50" i="25" s="1"/>
  <c r="J50" i="25" s="1"/>
  <c r="K50" i="25" s="1"/>
  <c r="L50" i="25" s="1"/>
  <c r="M50" i="25" s="1"/>
  <c r="N50" i="25" s="1"/>
  <c r="O50" i="25" s="1"/>
  <c r="P50" i="25" s="1"/>
  <c r="Q50" i="25" s="1"/>
  <c r="R50" i="25" s="1"/>
  <c r="S50" i="25" s="1"/>
  <c r="T50" i="25" s="1"/>
  <c r="U50" i="25" s="1"/>
  <c r="V50" i="25" s="1"/>
  <c r="W50" i="25" s="1"/>
  <c r="X50" i="25" s="1"/>
  <c r="Y50" i="25" s="1"/>
  <c r="Z49" i="25"/>
  <c r="G49" i="25"/>
  <c r="H49" i="25" s="1"/>
  <c r="I49" i="25" s="1"/>
  <c r="J49" i="25" s="1"/>
  <c r="K49" i="25" s="1"/>
  <c r="L49" i="25" s="1"/>
  <c r="M49" i="25" s="1"/>
  <c r="N49" i="25" s="1"/>
  <c r="O49" i="25" s="1"/>
  <c r="P49" i="25" s="1"/>
  <c r="Q49" i="25" s="1"/>
  <c r="R49" i="25" s="1"/>
  <c r="S49" i="25" s="1"/>
  <c r="T49" i="25" s="1"/>
  <c r="U49" i="25" s="1"/>
  <c r="V49" i="25" s="1"/>
  <c r="W49" i="25" s="1"/>
  <c r="X49" i="25" s="1"/>
  <c r="Y49" i="25" s="1"/>
  <c r="Z48" i="25"/>
  <c r="G48" i="25"/>
  <c r="H48" i="25" s="1"/>
  <c r="I48" i="25" s="1"/>
  <c r="J48" i="25" s="1"/>
  <c r="K48" i="25" s="1"/>
  <c r="L48" i="25" s="1"/>
  <c r="M48" i="25" s="1"/>
  <c r="N48" i="25" s="1"/>
  <c r="O48" i="25" s="1"/>
  <c r="P48" i="25" s="1"/>
  <c r="Q48" i="25" s="1"/>
  <c r="Z47" i="25"/>
  <c r="G47" i="25"/>
  <c r="H47" i="25" s="1"/>
  <c r="I47" i="25" s="1"/>
  <c r="J47" i="25" s="1"/>
  <c r="K47" i="25" s="1"/>
  <c r="L47" i="25" s="1"/>
  <c r="M47" i="25" s="1"/>
  <c r="N47" i="25" s="1"/>
  <c r="O47" i="25" s="1"/>
  <c r="P47" i="25" s="1"/>
  <c r="Q47" i="25" s="1"/>
  <c r="R47" i="25" s="1"/>
  <c r="S47" i="25" s="1"/>
  <c r="T47" i="25" s="1"/>
  <c r="U47" i="25" s="1"/>
  <c r="V47" i="25" s="1"/>
  <c r="W47" i="25" s="1"/>
  <c r="X47" i="25" s="1"/>
  <c r="Y47" i="25" s="1"/>
  <c r="Z46" i="25"/>
  <c r="G46" i="25"/>
  <c r="H46" i="25" s="1"/>
  <c r="I46" i="25" s="1"/>
  <c r="J46" i="25" s="1"/>
  <c r="K46" i="25" s="1"/>
  <c r="L46" i="25" s="1"/>
  <c r="M46" i="25" s="1"/>
  <c r="N46" i="25" s="1"/>
  <c r="O46" i="25" s="1"/>
  <c r="P46" i="25" s="1"/>
  <c r="Q46" i="25" s="1"/>
  <c r="R46" i="25" s="1"/>
  <c r="S46" i="25" s="1"/>
  <c r="T46" i="25" s="1"/>
  <c r="U46" i="25" s="1"/>
  <c r="V46" i="25" s="1"/>
  <c r="W46" i="25" s="1"/>
  <c r="X46" i="25" s="1"/>
  <c r="Y46" i="25" s="1"/>
  <c r="Z45" i="25"/>
  <c r="G45" i="25"/>
  <c r="H45" i="25" s="1"/>
  <c r="I45" i="25" s="1"/>
  <c r="J45" i="25" s="1"/>
  <c r="K45" i="25" s="1"/>
  <c r="L45" i="25" s="1"/>
  <c r="M45" i="25" s="1"/>
  <c r="N45" i="25" s="1"/>
  <c r="O45" i="25" s="1"/>
  <c r="P45" i="25" s="1"/>
  <c r="Q45" i="25" s="1"/>
  <c r="R45" i="25" s="1"/>
  <c r="S45" i="25" s="1"/>
  <c r="T45" i="25" s="1"/>
  <c r="U45" i="25" s="1"/>
  <c r="V45" i="25" s="1"/>
  <c r="W45" i="25" s="1"/>
  <c r="X45" i="25" s="1"/>
  <c r="Y45" i="25" s="1"/>
  <c r="Z44" i="25"/>
  <c r="G44" i="25"/>
  <c r="H44" i="25" s="1"/>
  <c r="I44" i="25" s="1"/>
  <c r="J44" i="25" s="1"/>
  <c r="K44" i="25" s="1"/>
  <c r="L44" i="25" s="1"/>
  <c r="M44" i="25" s="1"/>
  <c r="N44" i="25" s="1"/>
  <c r="O44" i="25" s="1"/>
  <c r="P44" i="25" s="1"/>
  <c r="Q44" i="25" s="1"/>
  <c r="R44" i="25" s="1"/>
  <c r="S44" i="25" s="1"/>
  <c r="T44" i="25" s="1"/>
  <c r="U44" i="25" s="1"/>
  <c r="V44" i="25" s="1"/>
  <c r="W44" i="25" s="1"/>
  <c r="X44" i="25" s="1"/>
  <c r="Y44" i="25" s="1"/>
  <c r="Z43" i="25"/>
  <c r="G43" i="25"/>
  <c r="H43" i="25" s="1"/>
  <c r="I43" i="25" s="1"/>
  <c r="J43" i="25" s="1"/>
  <c r="K43" i="25" s="1"/>
  <c r="L43" i="25" s="1"/>
  <c r="M43" i="25" s="1"/>
  <c r="N43" i="25" s="1"/>
  <c r="O43" i="25" s="1"/>
  <c r="P43" i="25" s="1"/>
  <c r="Q43" i="25" s="1"/>
  <c r="R43" i="25" s="1"/>
  <c r="S43" i="25" s="1"/>
  <c r="T43" i="25" s="1"/>
  <c r="U43" i="25" s="1"/>
  <c r="V43" i="25" s="1"/>
  <c r="W43" i="25" s="1"/>
  <c r="X43" i="25" s="1"/>
  <c r="Y43" i="25" s="1"/>
  <c r="Z42" i="25"/>
  <c r="G42" i="25"/>
  <c r="H42" i="25" s="1"/>
  <c r="I42" i="25" s="1"/>
  <c r="J42" i="25" s="1"/>
  <c r="K42" i="25" s="1"/>
  <c r="L42" i="25" s="1"/>
  <c r="M42" i="25" s="1"/>
  <c r="N42" i="25" s="1"/>
  <c r="O42" i="25" s="1"/>
  <c r="P42" i="25" s="1"/>
  <c r="Q42" i="25" s="1"/>
  <c r="R42" i="25" s="1"/>
  <c r="S42" i="25" s="1"/>
  <c r="T42" i="25" s="1"/>
  <c r="U42" i="25" s="1"/>
  <c r="V42" i="25" s="1"/>
  <c r="W42" i="25" s="1"/>
  <c r="X42" i="25" s="1"/>
  <c r="Y42" i="25" s="1"/>
  <c r="Z41" i="25"/>
  <c r="K41" i="25"/>
  <c r="L41" i="25" s="1"/>
  <c r="M41" i="25" s="1"/>
  <c r="N41" i="25" s="1"/>
  <c r="O41" i="25" s="1"/>
  <c r="P41" i="25" s="1"/>
  <c r="Q41" i="25" s="1"/>
  <c r="R41" i="25" s="1"/>
  <c r="S41" i="25" s="1"/>
  <c r="T41" i="25" s="1"/>
  <c r="U41" i="25" s="1"/>
  <c r="V41" i="25" s="1"/>
  <c r="W41" i="25" s="1"/>
  <c r="X41" i="25" s="1"/>
  <c r="Y41" i="25" s="1"/>
  <c r="Z40" i="25"/>
  <c r="G40" i="25"/>
  <c r="H40" i="25" s="1"/>
  <c r="I40" i="25" s="1"/>
  <c r="J40" i="25" s="1"/>
  <c r="K40" i="25" s="1"/>
  <c r="L40" i="25" s="1"/>
  <c r="M40" i="25" s="1"/>
  <c r="N40" i="25" s="1"/>
  <c r="O40" i="25" s="1"/>
  <c r="P40" i="25" s="1"/>
  <c r="Q40" i="25" s="1"/>
  <c r="R40" i="25" s="1"/>
  <c r="S40" i="25" s="1"/>
  <c r="T40" i="25" s="1"/>
  <c r="U40" i="25" s="1"/>
  <c r="V40" i="25" s="1"/>
  <c r="W40" i="25" s="1"/>
  <c r="X40" i="25" s="1"/>
  <c r="Y40" i="25" s="1"/>
  <c r="Z39" i="25"/>
  <c r="G39" i="25"/>
  <c r="H39" i="25" s="1"/>
  <c r="I39" i="25" s="1"/>
  <c r="J39" i="25" s="1"/>
  <c r="K39" i="25" s="1"/>
  <c r="L39" i="25" s="1"/>
  <c r="M39" i="25" s="1"/>
  <c r="N39" i="25" s="1"/>
  <c r="O39" i="25" s="1"/>
  <c r="P39" i="25" s="1"/>
  <c r="Q39" i="25" s="1"/>
  <c r="R39" i="25" s="1"/>
  <c r="S39" i="25" s="1"/>
  <c r="T39" i="25" s="1"/>
  <c r="U39" i="25" s="1"/>
  <c r="V39" i="25" s="1"/>
  <c r="W39" i="25" s="1"/>
  <c r="X39" i="25" s="1"/>
  <c r="Y39" i="25" s="1"/>
  <c r="Z38" i="25"/>
  <c r="G38" i="25"/>
  <c r="H38" i="25" s="1"/>
  <c r="I38" i="25" s="1"/>
  <c r="J38" i="25" s="1"/>
  <c r="K38" i="25" s="1"/>
  <c r="L38" i="25" s="1"/>
  <c r="M38" i="25" s="1"/>
  <c r="N38" i="25" s="1"/>
  <c r="O38" i="25" s="1"/>
  <c r="P38" i="25" s="1"/>
  <c r="Q38" i="25" s="1"/>
  <c r="R38" i="25" s="1"/>
  <c r="S38" i="25" s="1"/>
  <c r="T38" i="25" s="1"/>
  <c r="U38" i="25" s="1"/>
  <c r="V38" i="25" s="1"/>
  <c r="W38" i="25" s="1"/>
  <c r="X38" i="25" s="1"/>
  <c r="Y38" i="25" s="1"/>
  <c r="Z37" i="25"/>
  <c r="G37" i="25"/>
  <c r="H37" i="25" s="1"/>
  <c r="I37" i="25" s="1"/>
  <c r="J37" i="25" s="1"/>
  <c r="K37" i="25" s="1"/>
  <c r="L37" i="25" s="1"/>
  <c r="M37" i="25" s="1"/>
  <c r="N37" i="25" s="1"/>
  <c r="O37" i="25" s="1"/>
  <c r="P37" i="25" s="1"/>
  <c r="Q37" i="25" s="1"/>
  <c r="R37" i="25" s="1"/>
  <c r="S37" i="25" s="1"/>
  <c r="T37" i="25" s="1"/>
  <c r="U37" i="25" s="1"/>
  <c r="V37" i="25" s="1"/>
  <c r="W37" i="25" s="1"/>
  <c r="X37" i="25" s="1"/>
  <c r="Y37" i="25" s="1"/>
  <c r="Z36" i="25"/>
  <c r="G36" i="25"/>
  <c r="H36" i="25" s="1"/>
  <c r="I36" i="25" s="1"/>
  <c r="J36" i="25" s="1"/>
  <c r="K36" i="25" s="1"/>
  <c r="L36" i="25" s="1"/>
  <c r="M36" i="25" s="1"/>
  <c r="N36" i="25" s="1"/>
  <c r="O36" i="25" s="1"/>
  <c r="P36" i="25" s="1"/>
  <c r="Q36" i="25" s="1"/>
  <c r="Z35" i="25"/>
  <c r="G35" i="25"/>
  <c r="H35" i="25" s="1"/>
  <c r="I35" i="25" s="1"/>
  <c r="J35" i="25" s="1"/>
  <c r="K35" i="25" s="1"/>
  <c r="L35" i="25" s="1"/>
  <c r="M35" i="25" s="1"/>
  <c r="N35" i="25" s="1"/>
  <c r="O35" i="25" s="1"/>
  <c r="P35" i="25" s="1"/>
  <c r="Q35" i="25" s="1"/>
  <c r="R35" i="25" s="1"/>
  <c r="S35" i="25" s="1"/>
  <c r="T35" i="25" s="1"/>
  <c r="U35" i="25" s="1"/>
  <c r="V35" i="25" s="1"/>
  <c r="W35" i="25" s="1"/>
  <c r="X35" i="25" s="1"/>
  <c r="Y35" i="25" s="1"/>
  <c r="Z34" i="25"/>
  <c r="G34" i="25"/>
  <c r="H34" i="25" s="1"/>
  <c r="I34" i="25" s="1"/>
  <c r="J34" i="25" s="1"/>
  <c r="K34" i="25" s="1"/>
  <c r="L34" i="25" s="1"/>
  <c r="M34" i="25" s="1"/>
  <c r="N34" i="25" s="1"/>
  <c r="O34" i="25" s="1"/>
  <c r="P34" i="25" s="1"/>
  <c r="Q34" i="25" s="1"/>
  <c r="R34" i="25" s="1"/>
  <c r="S34" i="25" s="1"/>
  <c r="T34" i="25" s="1"/>
  <c r="U34" i="25" s="1"/>
  <c r="V34" i="25" s="1"/>
  <c r="W34" i="25" s="1"/>
  <c r="X34" i="25" s="1"/>
  <c r="Y34" i="25" s="1"/>
  <c r="Z33" i="25"/>
  <c r="G33" i="25"/>
  <c r="H33" i="25" s="1"/>
  <c r="I33" i="25" s="1"/>
  <c r="J33" i="25" s="1"/>
  <c r="K33" i="25" s="1"/>
  <c r="L33" i="25" s="1"/>
  <c r="M33" i="25" s="1"/>
  <c r="N33" i="25" s="1"/>
  <c r="O33" i="25" s="1"/>
  <c r="P33" i="25" s="1"/>
  <c r="Q33" i="25" s="1"/>
  <c r="R33" i="25" s="1"/>
  <c r="S33" i="25" s="1"/>
  <c r="T33" i="25" s="1"/>
  <c r="U33" i="25" s="1"/>
  <c r="V33" i="25" s="1"/>
  <c r="W33" i="25" s="1"/>
  <c r="X33" i="25" s="1"/>
  <c r="Y33" i="25" s="1"/>
  <c r="Z32" i="25"/>
  <c r="G32" i="25"/>
  <c r="H32" i="25" s="1"/>
  <c r="I32" i="25" s="1"/>
  <c r="J32" i="25" s="1"/>
  <c r="K32" i="25" s="1"/>
  <c r="L32" i="25" s="1"/>
  <c r="M32" i="25" s="1"/>
  <c r="N32" i="25" s="1"/>
  <c r="O32" i="25" s="1"/>
  <c r="P32" i="25" s="1"/>
  <c r="Q32" i="25" s="1"/>
  <c r="R32" i="25" s="1"/>
  <c r="S32" i="25" s="1"/>
  <c r="T32" i="25" s="1"/>
  <c r="U32" i="25" s="1"/>
  <c r="V32" i="25" s="1"/>
  <c r="W32" i="25" s="1"/>
  <c r="X32" i="25" s="1"/>
  <c r="Y32" i="25" s="1"/>
  <c r="Z31" i="25"/>
  <c r="G31" i="25"/>
  <c r="H31" i="25" s="1"/>
  <c r="I31" i="25" s="1"/>
  <c r="J31" i="25" s="1"/>
  <c r="K31" i="25" s="1"/>
  <c r="L31" i="25" s="1"/>
  <c r="M31" i="25" s="1"/>
  <c r="N31" i="25" s="1"/>
  <c r="O31" i="25" s="1"/>
  <c r="P31" i="25" s="1"/>
  <c r="Q31" i="25" s="1"/>
  <c r="R31" i="25" s="1"/>
  <c r="S31" i="25" s="1"/>
  <c r="T31" i="25" s="1"/>
  <c r="U31" i="25" s="1"/>
  <c r="V31" i="25" s="1"/>
  <c r="W31" i="25" s="1"/>
  <c r="X31" i="25" s="1"/>
  <c r="Y31" i="25" s="1"/>
  <c r="Z30" i="25"/>
  <c r="G30" i="25"/>
  <c r="H30" i="25" s="1"/>
  <c r="I30" i="25" s="1"/>
  <c r="J30" i="25" s="1"/>
  <c r="K30" i="25" s="1"/>
  <c r="L30" i="25" s="1"/>
  <c r="M30" i="25" s="1"/>
  <c r="N30" i="25" s="1"/>
  <c r="O30" i="25" s="1"/>
  <c r="P30" i="25" s="1"/>
  <c r="Q30" i="25" s="1"/>
  <c r="R30" i="25" s="1"/>
  <c r="S30" i="25" s="1"/>
  <c r="T30" i="25" s="1"/>
  <c r="U30" i="25" s="1"/>
  <c r="V30" i="25" s="1"/>
  <c r="W30" i="25" s="1"/>
  <c r="X30" i="25" s="1"/>
  <c r="Y30" i="25" s="1"/>
  <c r="Z29" i="25"/>
  <c r="G29" i="25"/>
  <c r="H29" i="25" s="1"/>
  <c r="I29" i="25" s="1"/>
  <c r="J29" i="25" s="1"/>
  <c r="K29" i="25" s="1"/>
  <c r="L29" i="25" s="1"/>
  <c r="M29" i="25" s="1"/>
  <c r="N29" i="25" s="1"/>
  <c r="O29" i="25" s="1"/>
  <c r="P29" i="25" s="1"/>
  <c r="Q29" i="25" s="1"/>
  <c r="R29" i="25" s="1"/>
  <c r="S29" i="25" s="1"/>
  <c r="T29" i="25" s="1"/>
  <c r="U29" i="25" s="1"/>
  <c r="V29" i="25" s="1"/>
  <c r="W29" i="25" s="1"/>
  <c r="X29" i="25" s="1"/>
  <c r="Y29" i="25" s="1"/>
  <c r="Z28" i="25"/>
  <c r="G28" i="25"/>
  <c r="H28" i="25" s="1"/>
  <c r="I28" i="25" s="1"/>
  <c r="J28" i="25" s="1"/>
  <c r="K28" i="25" s="1"/>
  <c r="L28" i="25" s="1"/>
  <c r="M28" i="25" s="1"/>
  <c r="N28" i="25" s="1"/>
  <c r="O28" i="25" s="1"/>
  <c r="P28" i="25" s="1"/>
  <c r="Q28" i="25" s="1"/>
  <c r="R28" i="25" s="1"/>
  <c r="S28" i="25" s="1"/>
  <c r="T28" i="25" s="1"/>
  <c r="U28" i="25" s="1"/>
  <c r="V28" i="25" s="1"/>
  <c r="W28" i="25" s="1"/>
  <c r="X28" i="25" s="1"/>
  <c r="Y28" i="25" s="1"/>
  <c r="Z27" i="25"/>
  <c r="G27" i="25"/>
  <c r="H27" i="25" s="1"/>
  <c r="I27" i="25" s="1"/>
  <c r="J27" i="25" s="1"/>
  <c r="K27" i="25" s="1"/>
  <c r="L27" i="25" s="1"/>
  <c r="M27" i="25" s="1"/>
  <c r="N27" i="25" s="1"/>
  <c r="O27" i="25" s="1"/>
  <c r="P27" i="25" s="1"/>
  <c r="Q27" i="25" s="1"/>
  <c r="R27" i="25" s="1"/>
  <c r="S27" i="25" s="1"/>
  <c r="T27" i="25" s="1"/>
  <c r="U27" i="25" s="1"/>
  <c r="V27" i="25" s="1"/>
  <c r="W27" i="25" s="1"/>
  <c r="X27" i="25" s="1"/>
  <c r="Y27" i="25" s="1"/>
  <c r="Z26" i="25"/>
  <c r="G26" i="25"/>
  <c r="H26" i="25" s="1"/>
  <c r="I26" i="25" s="1"/>
  <c r="J26" i="25" s="1"/>
  <c r="K26" i="25" s="1"/>
  <c r="L26" i="25" s="1"/>
  <c r="M26" i="25" s="1"/>
  <c r="N26" i="25" s="1"/>
  <c r="O26" i="25" s="1"/>
  <c r="P26" i="25" s="1"/>
  <c r="Q26" i="25" s="1"/>
  <c r="R26" i="25" s="1"/>
  <c r="S26" i="25" s="1"/>
  <c r="T26" i="25" s="1"/>
  <c r="U26" i="25" s="1"/>
  <c r="V26" i="25" s="1"/>
  <c r="W26" i="25" s="1"/>
  <c r="X26" i="25" s="1"/>
  <c r="Y26" i="25" s="1"/>
  <c r="Z25" i="25"/>
  <c r="G25" i="25"/>
  <c r="H25" i="25" s="1"/>
  <c r="I25" i="25" s="1"/>
  <c r="J25" i="25" s="1"/>
  <c r="K25" i="25" s="1"/>
  <c r="L25" i="25" s="1"/>
  <c r="M25" i="25" s="1"/>
  <c r="N25" i="25" s="1"/>
  <c r="O25" i="25" s="1"/>
  <c r="P25" i="25" s="1"/>
  <c r="Q25" i="25" s="1"/>
  <c r="R25" i="25" s="1"/>
  <c r="S25" i="25" s="1"/>
  <c r="T25" i="25" s="1"/>
  <c r="U25" i="25" s="1"/>
  <c r="V25" i="25" s="1"/>
  <c r="W25" i="25" s="1"/>
  <c r="X25" i="25" s="1"/>
  <c r="Y25" i="25" s="1"/>
  <c r="Z24" i="25"/>
  <c r="G24" i="25"/>
  <c r="H24" i="25" s="1"/>
  <c r="I24" i="25" s="1"/>
  <c r="J24" i="25" s="1"/>
  <c r="K24" i="25" s="1"/>
  <c r="L24" i="25" s="1"/>
  <c r="M24" i="25" s="1"/>
  <c r="N24" i="25" s="1"/>
  <c r="O24" i="25" s="1"/>
  <c r="P24" i="25" s="1"/>
  <c r="Q24" i="25" s="1"/>
  <c r="R24" i="25" s="1"/>
  <c r="S24" i="25" s="1"/>
  <c r="T24" i="25" s="1"/>
  <c r="U24" i="25" s="1"/>
  <c r="V24" i="25" s="1"/>
  <c r="W24" i="25" s="1"/>
  <c r="X24" i="25" s="1"/>
  <c r="Y24" i="25" s="1"/>
  <c r="Z23" i="25"/>
  <c r="G23" i="25"/>
  <c r="H23" i="25" s="1"/>
  <c r="I23" i="25" s="1"/>
  <c r="J23" i="25" s="1"/>
  <c r="K23" i="25" s="1"/>
  <c r="L23" i="25" s="1"/>
  <c r="M23" i="25" s="1"/>
  <c r="N23" i="25" s="1"/>
  <c r="O23" i="25" s="1"/>
  <c r="P23" i="25" s="1"/>
  <c r="Q23" i="25" s="1"/>
  <c r="R23" i="25" s="1"/>
  <c r="S23" i="25" s="1"/>
  <c r="T23" i="25" s="1"/>
  <c r="U23" i="25" s="1"/>
  <c r="V23" i="25" s="1"/>
  <c r="W23" i="25" s="1"/>
  <c r="X23" i="25" s="1"/>
  <c r="Y23" i="25" s="1"/>
  <c r="Z22" i="25"/>
  <c r="G22" i="25"/>
  <c r="H22" i="25" s="1"/>
  <c r="I22" i="25" s="1"/>
  <c r="J22" i="25" s="1"/>
  <c r="K22" i="25" s="1"/>
  <c r="L22" i="25" s="1"/>
  <c r="M22" i="25" s="1"/>
  <c r="N22" i="25" s="1"/>
  <c r="O22" i="25" s="1"/>
  <c r="P22" i="25" s="1"/>
  <c r="Q22" i="25" s="1"/>
  <c r="R22" i="25" s="1"/>
  <c r="S22" i="25" s="1"/>
  <c r="T22" i="25" s="1"/>
  <c r="U22" i="25" s="1"/>
  <c r="V22" i="25" s="1"/>
  <c r="W22" i="25" s="1"/>
  <c r="X22" i="25" s="1"/>
  <c r="Y22" i="25" s="1"/>
  <c r="Z21" i="25"/>
  <c r="G21" i="25"/>
  <c r="H21" i="25" s="1"/>
  <c r="I21" i="25" s="1"/>
  <c r="J21" i="25" s="1"/>
  <c r="K21" i="25" s="1"/>
  <c r="L21" i="25" s="1"/>
  <c r="M21" i="25" s="1"/>
  <c r="N21" i="25" s="1"/>
  <c r="O21" i="25" s="1"/>
  <c r="P21" i="25" s="1"/>
  <c r="Q21" i="25" s="1"/>
  <c r="R21" i="25" s="1"/>
  <c r="S21" i="25" s="1"/>
  <c r="T21" i="25" s="1"/>
  <c r="U21" i="25" s="1"/>
  <c r="V21" i="25" s="1"/>
  <c r="W21" i="25" s="1"/>
  <c r="X21" i="25" s="1"/>
  <c r="Y21" i="25" s="1"/>
  <c r="Z20" i="25"/>
  <c r="G20" i="25"/>
  <c r="H20" i="25" s="1"/>
  <c r="I20" i="25" s="1"/>
  <c r="J20" i="25" s="1"/>
  <c r="K20" i="25" s="1"/>
  <c r="L20" i="25" s="1"/>
  <c r="M20" i="25" s="1"/>
  <c r="N20" i="25" s="1"/>
  <c r="O20" i="25" s="1"/>
  <c r="P20" i="25" s="1"/>
  <c r="Q20" i="25" s="1"/>
  <c r="R20" i="25" s="1"/>
  <c r="S20" i="25" s="1"/>
  <c r="T20" i="25" s="1"/>
  <c r="U20" i="25" s="1"/>
  <c r="V20" i="25" s="1"/>
  <c r="W20" i="25" s="1"/>
  <c r="X20" i="25" s="1"/>
  <c r="Y20" i="25" s="1"/>
  <c r="Z19" i="25"/>
  <c r="G19" i="25"/>
  <c r="H19" i="25" s="1"/>
  <c r="I19" i="25" s="1"/>
  <c r="J19" i="25" s="1"/>
  <c r="K19" i="25" s="1"/>
  <c r="L19" i="25" s="1"/>
  <c r="M19" i="25" s="1"/>
  <c r="N19" i="25" s="1"/>
  <c r="O19" i="25" s="1"/>
  <c r="P19" i="25" s="1"/>
  <c r="Q19" i="25" s="1"/>
  <c r="R19" i="25" s="1"/>
  <c r="S19" i="25" s="1"/>
  <c r="T19" i="25" s="1"/>
  <c r="U19" i="25" s="1"/>
  <c r="V19" i="25" s="1"/>
  <c r="W19" i="25" s="1"/>
  <c r="X19" i="25" s="1"/>
  <c r="Y19" i="25" s="1"/>
  <c r="Z18" i="25"/>
  <c r="G18" i="25"/>
  <c r="H18" i="25" s="1"/>
  <c r="I18" i="25" s="1"/>
  <c r="J18" i="25" s="1"/>
  <c r="K18" i="25" s="1"/>
  <c r="L18" i="25" s="1"/>
  <c r="M18" i="25" s="1"/>
  <c r="N18" i="25" s="1"/>
  <c r="O18" i="25" s="1"/>
  <c r="P18" i="25" s="1"/>
  <c r="Q18" i="25" s="1"/>
  <c r="R18" i="25" s="1"/>
  <c r="S18" i="25" s="1"/>
  <c r="T18" i="25" s="1"/>
  <c r="U18" i="25" s="1"/>
  <c r="V18" i="25" s="1"/>
  <c r="W18" i="25" s="1"/>
  <c r="X18" i="25" s="1"/>
  <c r="Y18" i="25" s="1"/>
  <c r="G17" i="25"/>
  <c r="H17" i="25" s="1"/>
  <c r="I17" i="25" s="1"/>
  <c r="J17" i="25" s="1"/>
  <c r="K17" i="25" s="1"/>
  <c r="L17" i="25" s="1"/>
  <c r="M17" i="25" s="1"/>
  <c r="N17" i="25" s="1"/>
  <c r="O17" i="25" s="1"/>
  <c r="P17" i="25" s="1"/>
  <c r="Q17" i="25" s="1"/>
  <c r="R17" i="25" s="1"/>
  <c r="S17" i="25" s="1"/>
  <c r="T17" i="25" s="1"/>
  <c r="U17" i="25" s="1"/>
  <c r="V17" i="25" s="1"/>
  <c r="W17" i="25" s="1"/>
  <c r="X17" i="25" s="1"/>
  <c r="Y17" i="25" s="1"/>
  <c r="Z16" i="25"/>
  <c r="G16" i="25"/>
  <c r="H16" i="25" s="1"/>
  <c r="I16" i="25" s="1"/>
  <c r="J16" i="25" s="1"/>
  <c r="K16" i="25" s="1"/>
  <c r="L16" i="25" s="1"/>
  <c r="M16" i="25" s="1"/>
  <c r="N16" i="25" s="1"/>
  <c r="O16" i="25" s="1"/>
  <c r="P16" i="25" s="1"/>
  <c r="Q16" i="25" s="1"/>
  <c r="R16" i="25" s="1"/>
  <c r="S16" i="25" s="1"/>
  <c r="T16" i="25" s="1"/>
  <c r="U16" i="25" s="1"/>
  <c r="V16" i="25" s="1"/>
  <c r="W16" i="25" s="1"/>
  <c r="X16" i="25" s="1"/>
  <c r="Y16" i="25" s="1"/>
  <c r="Z15" i="25"/>
  <c r="G15" i="25"/>
  <c r="H15" i="25" s="1"/>
  <c r="I15" i="25" s="1"/>
  <c r="J15" i="25" s="1"/>
  <c r="K15" i="25" s="1"/>
  <c r="L15" i="25" s="1"/>
  <c r="M15" i="25" s="1"/>
  <c r="N15" i="25" s="1"/>
  <c r="O15" i="25" s="1"/>
  <c r="P15" i="25" s="1"/>
  <c r="Q15" i="25" s="1"/>
  <c r="R15" i="25" s="1"/>
  <c r="S15" i="25" s="1"/>
  <c r="T15" i="25" s="1"/>
  <c r="U15" i="25" s="1"/>
  <c r="V15" i="25" s="1"/>
  <c r="W15" i="25" s="1"/>
  <c r="X15" i="25" s="1"/>
  <c r="Y15" i="25" s="1"/>
  <c r="G14" i="25"/>
  <c r="H14" i="25" s="1"/>
  <c r="I14" i="25" s="1"/>
  <c r="J14" i="25" s="1"/>
  <c r="K14" i="25" s="1"/>
  <c r="L14" i="25" s="1"/>
  <c r="M14" i="25" s="1"/>
  <c r="N14" i="25" s="1"/>
  <c r="O14" i="25" s="1"/>
  <c r="P14" i="25" s="1"/>
  <c r="Q14" i="25" s="1"/>
  <c r="R14" i="25" s="1"/>
  <c r="S14" i="25" s="1"/>
  <c r="T14" i="25" s="1"/>
  <c r="U14" i="25" s="1"/>
  <c r="V14" i="25" s="1"/>
  <c r="W14" i="25" s="1"/>
  <c r="X14" i="25" s="1"/>
  <c r="Y14" i="25" s="1"/>
  <c r="Z13" i="25"/>
  <c r="G13" i="25"/>
  <c r="H13" i="25" s="1"/>
  <c r="I13" i="25" s="1"/>
  <c r="J13" i="25" s="1"/>
  <c r="K13" i="25" s="1"/>
  <c r="L13" i="25" s="1"/>
  <c r="M13" i="25" s="1"/>
  <c r="N13" i="25" s="1"/>
  <c r="O13" i="25" s="1"/>
  <c r="P13" i="25" s="1"/>
  <c r="Q13" i="25" s="1"/>
  <c r="R13" i="25" s="1"/>
  <c r="S13" i="25" s="1"/>
  <c r="T13" i="25" s="1"/>
  <c r="U13" i="25" s="1"/>
  <c r="V13" i="25" s="1"/>
  <c r="W13" i="25" s="1"/>
  <c r="X13" i="25" s="1"/>
  <c r="Y13" i="25" s="1"/>
  <c r="Z12" i="25"/>
  <c r="G12" i="25"/>
  <c r="H12" i="25" s="1"/>
  <c r="I12" i="25" s="1"/>
  <c r="J12" i="25" s="1"/>
  <c r="K12" i="25" s="1"/>
  <c r="L12" i="25" s="1"/>
  <c r="M12" i="25" s="1"/>
  <c r="N12" i="25" s="1"/>
  <c r="O12" i="25" s="1"/>
  <c r="P12" i="25" s="1"/>
  <c r="Q12" i="25" s="1"/>
  <c r="R12" i="25" s="1"/>
  <c r="S12" i="25" s="1"/>
  <c r="T12" i="25" s="1"/>
  <c r="U12" i="25" s="1"/>
  <c r="V12" i="25" s="1"/>
  <c r="W12" i="25" s="1"/>
  <c r="X12" i="25" s="1"/>
  <c r="Y12" i="25" s="1"/>
  <c r="G11" i="25"/>
  <c r="H11" i="25" s="1"/>
  <c r="I11" i="25" s="1"/>
  <c r="J11" i="25" s="1"/>
  <c r="K11" i="25" s="1"/>
  <c r="L11" i="25" s="1"/>
  <c r="M11" i="25" s="1"/>
  <c r="N11" i="25" s="1"/>
  <c r="O11" i="25" s="1"/>
  <c r="P11" i="25" s="1"/>
  <c r="Q11" i="25" s="1"/>
  <c r="Z10" i="25"/>
  <c r="G10" i="25"/>
  <c r="H10" i="25" s="1"/>
  <c r="I10" i="25" s="1"/>
  <c r="J10" i="25" s="1"/>
  <c r="K10" i="25" s="1"/>
  <c r="L10" i="25" s="1"/>
  <c r="M10" i="25" s="1"/>
  <c r="N10" i="25" s="1"/>
  <c r="O10" i="25" s="1"/>
  <c r="P10" i="25" s="1"/>
  <c r="Q10" i="25" s="1"/>
  <c r="R10" i="25" s="1"/>
  <c r="S10" i="25" s="1"/>
  <c r="T10" i="25" s="1"/>
  <c r="U10" i="25" s="1"/>
  <c r="V10" i="25" s="1"/>
  <c r="W10" i="25" s="1"/>
  <c r="X10" i="25" s="1"/>
  <c r="Y10" i="25" s="1"/>
  <c r="Z9" i="25"/>
  <c r="G9" i="25"/>
  <c r="H9" i="25" s="1"/>
  <c r="I9" i="25" s="1"/>
  <c r="J9" i="25" s="1"/>
  <c r="K9" i="25" s="1"/>
  <c r="L9" i="25" s="1"/>
  <c r="M9" i="25" s="1"/>
  <c r="N9" i="25" s="1"/>
  <c r="O9" i="25" s="1"/>
  <c r="P9" i="25" s="1"/>
  <c r="Q9" i="25" s="1"/>
  <c r="R9" i="25" s="1"/>
  <c r="S9" i="25" s="1"/>
  <c r="T9" i="25" s="1"/>
  <c r="U9" i="25" s="1"/>
  <c r="V9" i="25" s="1"/>
  <c r="W9" i="25" s="1"/>
  <c r="X9" i="25" s="1"/>
  <c r="Y9" i="25" s="1"/>
  <c r="G8" i="25"/>
  <c r="H8" i="25" s="1"/>
  <c r="I8" i="25" s="1"/>
  <c r="J8" i="25" s="1"/>
  <c r="K8" i="25" s="1"/>
  <c r="L8" i="25" s="1"/>
  <c r="M8" i="25" s="1"/>
  <c r="N8" i="25" s="1"/>
  <c r="O8" i="25" s="1"/>
  <c r="P8" i="25" s="1"/>
  <c r="Q8" i="25" s="1"/>
  <c r="R8" i="25" s="1"/>
  <c r="S8" i="25" s="1"/>
  <c r="T8" i="25" s="1"/>
  <c r="U8" i="25" s="1"/>
  <c r="V8" i="25" s="1"/>
  <c r="W8" i="25" s="1"/>
  <c r="X8" i="25" s="1"/>
  <c r="Y8" i="25" s="1"/>
  <c r="Z7" i="25"/>
  <c r="G7" i="25"/>
  <c r="H7" i="25" s="1"/>
  <c r="I7" i="25" s="1"/>
  <c r="J7" i="25" s="1"/>
  <c r="K7" i="25" s="1"/>
  <c r="L7" i="25" s="1"/>
  <c r="M7" i="25" s="1"/>
  <c r="N7" i="25" s="1"/>
  <c r="O7" i="25" s="1"/>
  <c r="P7" i="25" s="1"/>
  <c r="Q7" i="25" s="1"/>
  <c r="R7" i="25" s="1"/>
  <c r="S7" i="25" s="1"/>
  <c r="T7" i="25" s="1"/>
  <c r="U7" i="25" s="1"/>
  <c r="V7" i="25" s="1"/>
  <c r="W7" i="25" s="1"/>
  <c r="X7" i="25" s="1"/>
  <c r="Y7" i="25" s="1"/>
  <c r="Z6" i="25"/>
  <c r="G6" i="25"/>
  <c r="H6" i="25" s="1"/>
  <c r="I6" i="25" s="1"/>
  <c r="J6" i="25" s="1"/>
  <c r="K6" i="25" s="1"/>
  <c r="L6" i="25" s="1"/>
  <c r="M6" i="25" s="1"/>
  <c r="N6" i="25" s="1"/>
  <c r="O6" i="25" s="1"/>
  <c r="P6" i="25" s="1"/>
  <c r="Q6" i="25" s="1"/>
  <c r="R6" i="25" s="1"/>
  <c r="S6" i="25" s="1"/>
  <c r="T6" i="25" s="1"/>
  <c r="U6" i="25" s="1"/>
  <c r="V6" i="25" s="1"/>
  <c r="W6" i="25" s="1"/>
  <c r="X6" i="25" s="1"/>
  <c r="Y6" i="25" s="1"/>
  <c r="Z5" i="25"/>
  <c r="G5" i="25"/>
  <c r="H5" i="25" s="1"/>
  <c r="I5" i="25" s="1"/>
  <c r="J5" i="25" s="1"/>
  <c r="K5" i="25" s="1"/>
  <c r="L5" i="25" s="1"/>
  <c r="M5" i="25" s="1"/>
  <c r="N5" i="25" s="1"/>
  <c r="O5" i="25" s="1"/>
  <c r="P5" i="25" s="1"/>
  <c r="Q5" i="25" s="1"/>
  <c r="R5" i="25" s="1"/>
  <c r="Z4" i="25"/>
  <c r="G4" i="25"/>
  <c r="H4" i="25" s="1"/>
  <c r="F2" i="25"/>
  <c r="E2" i="25"/>
  <c r="D2" i="25"/>
  <c r="B2" i="25"/>
  <c r="A2" i="25"/>
  <c r="AK85" i="24"/>
  <c r="AK84" i="24"/>
  <c r="M84" i="24"/>
  <c r="N84" i="24" s="1"/>
  <c r="AK83" i="24"/>
  <c r="M83" i="24"/>
  <c r="N83" i="24" s="1"/>
  <c r="O83" i="24" s="1"/>
  <c r="P83" i="24" s="1"/>
  <c r="Q83" i="24" s="1"/>
  <c r="R83" i="24" s="1"/>
  <c r="S83" i="24" s="1"/>
  <c r="T83" i="24" s="1"/>
  <c r="U83" i="24" s="1"/>
  <c r="V83" i="24" s="1"/>
  <c r="W83" i="24" s="1"/>
  <c r="X83" i="24" s="1"/>
  <c r="Y83" i="24" s="1"/>
  <c r="Z83" i="24" s="1"/>
  <c r="AA83" i="24" s="1"/>
  <c r="AB83" i="24" s="1"/>
  <c r="AC83" i="24" s="1"/>
  <c r="AD83" i="24" s="1"/>
  <c r="AE83" i="24" s="1"/>
  <c r="AF83" i="24" s="1"/>
  <c r="AG83" i="24" s="1"/>
  <c r="AH83" i="24" s="1"/>
  <c r="AI83" i="24" s="1"/>
  <c r="AK82" i="24"/>
  <c r="M82" i="24"/>
  <c r="N82" i="24" s="1"/>
  <c r="AK81" i="24"/>
  <c r="M81" i="24"/>
  <c r="N81" i="24" s="1"/>
  <c r="AK80" i="24"/>
  <c r="M80" i="24"/>
  <c r="N80" i="24" s="1"/>
  <c r="AK79" i="24"/>
  <c r="M79" i="24"/>
  <c r="N79" i="24" s="1"/>
  <c r="AJ79" i="24" s="1"/>
  <c r="AK78" i="24"/>
  <c r="M78" i="24"/>
  <c r="N78" i="24" s="1"/>
  <c r="AJ78" i="24" s="1"/>
  <c r="AK77" i="24"/>
  <c r="M77" i="24"/>
  <c r="N77" i="24" s="1"/>
  <c r="O77" i="24" s="1"/>
  <c r="AK76" i="24"/>
  <c r="M76" i="24"/>
  <c r="N76" i="24" s="1"/>
  <c r="O76" i="24" s="1"/>
  <c r="AK75" i="24"/>
  <c r="M75" i="24"/>
  <c r="N75" i="24" s="1"/>
  <c r="O75" i="24" s="1"/>
  <c r="AK74" i="24"/>
  <c r="M74" i="24"/>
  <c r="N74" i="24" s="1"/>
  <c r="O74" i="24" s="1"/>
  <c r="AK73" i="24"/>
  <c r="M73" i="24"/>
  <c r="N73" i="24" s="1"/>
  <c r="O73" i="24" s="1"/>
  <c r="AJ73" i="24" s="1"/>
  <c r="AK72" i="24"/>
  <c r="M72" i="24"/>
  <c r="N72" i="24" s="1"/>
  <c r="O72" i="24" s="1"/>
  <c r="AK71" i="24"/>
  <c r="M71" i="24"/>
  <c r="N71" i="24" s="1"/>
  <c r="O71" i="24" s="1"/>
  <c r="P71" i="24" s="1"/>
  <c r="AK70" i="24"/>
  <c r="M70" i="24"/>
  <c r="N70" i="24" s="1"/>
  <c r="O70" i="24" s="1"/>
  <c r="AK69" i="24"/>
  <c r="M69" i="24"/>
  <c r="N69" i="24" s="1"/>
  <c r="O69" i="24" s="1"/>
  <c r="AJ69" i="24" s="1"/>
  <c r="AK68" i="24"/>
  <c r="M68" i="24"/>
  <c r="N68" i="24" s="1"/>
  <c r="O68" i="24" s="1"/>
  <c r="P68" i="24" s="1"/>
  <c r="AK67" i="24"/>
  <c r="M67" i="24"/>
  <c r="N67" i="24" s="1"/>
  <c r="O67" i="24" s="1"/>
  <c r="P67" i="24" s="1"/>
  <c r="AJ67" i="24" s="1"/>
  <c r="AK66" i="24"/>
  <c r="M66" i="24"/>
  <c r="N66" i="24" s="1"/>
  <c r="O66" i="24" s="1"/>
  <c r="P66" i="24" s="1"/>
  <c r="AK65" i="24"/>
  <c r="M65" i="24"/>
  <c r="N65" i="24" s="1"/>
  <c r="O65" i="24" s="1"/>
  <c r="P65" i="24" s="1"/>
  <c r="AK64" i="24"/>
  <c r="M64" i="24"/>
  <c r="N64" i="24" s="1"/>
  <c r="O64" i="24" s="1"/>
  <c r="P64" i="24" s="1"/>
  <c r="AJ64" i="24" s="1"/>
  <c r="AK63" i="24"/>
  <c r="M63" i="24"/>
  <c r="N63" i="24" s="1"/>
  <c r="O63" i="24" s="1"/>
  <c r="P63" i="24" s="1"/>
  <c r="AK62" i="24"/>
  <c r="M62" i="24"/>
  <c r="N62" i="24" s="1"/>
  <c r="O62" i="24" s="1"/>
  <c r="P62" i="24" s="1"/>
  <c r="Q62" i="24" s="1"/>
  <c r="R62" i="24" s="1"/>
  <c r="S62" i="24" s="1"/>
  <c r="T62" i="24" s="1"/>
  <c r="U62" i="24" s="1"/>
  <c r="V62" i="24" s="1"/>
  <c r="W62" i="24" s="1"/>
  <c r="X62" i="24" s="1"/>
  <c r="Y62" i="24" s="1"/>
  <c r="Z62" i="24" s="1"/>
  <c r="AA62" i="24" s="1"/>
  <c r="AB62" i="24" s="1"/>
  <c r="AC62" i="24" s="1"/>
  <c r="AD62" i="24" s="1"/>
  <c r="AE62" i="24" s="1"/>
  <c r="AF62" i="24" s="1"/>
  <c r="AG62" i="24" s="1"/>
  <c r="AH62" i="24" s="1"/>
  <c r="AI62" i="24" s="1"/>
  <c r="AK61" i="24"/>
  <c r="M61" i="24"/>
  <c r="N61" i="24" s="1"/>
  <c r="O61" i="24" s="1"/>
  <c r="P61" i="24" s="1"/>
  <c r="AJ61" i="24" s="1"/>
  <c r="AK60" i="24"/>
  <c r="M60" i="24"/>
  <c r="N60" i="24" s="1"/>
  <c r="O60" i="24" s="1"/>
  <c r="P60" i="24" s="1"/>
  <c r="Q60" i="24" s="1"/>
  <c r="R60" i="24" s="1"/>
  <c r="S60" i="24" s="1"/>
  <c r="T60" i="24" s="1"/>
  <c r="U60" i="24" s="1"/>
  <c r="V60" i="24" s="1"/>
  <c r="W60" i="24" s="1"/>
  <c r="X60" i="24" s="1"/>
  <c r="Y60" i="24" s="1"/>
  <c r="Z60" i="24" s="1"/>
  <c r="AA60" i="24" s="1"/>
  <c r="AB60" i="24" s="1"/>
  <c r="AC60" i="24" s="1"/>
  <c r="AD60" i="24" s="1"/>
  <c r="AE60" i="24" s="1"/>
  <c r="AF60" i="24" s="1"/>
  <c r="AG60" i="24" s="1"/>
  <c r="AH60" i="24" s="1"/>
  <c r="AI60" i="24" s="1"/>
  <c r="AK59" i="24"/>
  <c r="M59" i="24"/>
  <c r="N59" i="24" s="1"/>
  <c r="O59" i="24" s="1"/>
  <c r="P59" i="24" s="1"/>
  <c r="AJ59" i="24" s="1"/>
  <c r="AK58" i="24"/>
  <c r="M58" i="24"/>
  <c r="N58" i="24" s="1"/>
  <c r="O58" i="24" s="1"/>
  <c r="P58" i="24" s="1"/>
  <c r="Q58" i="24" s="1"/>
  <c r="AK57" i="24"/>
  <c r="M57" i="24"/>
  <c r="N57" i="24" s="1"/>
  <c r="O57" i="24" s="1"/>
  <c r="P57" i="24" s="1"/>
  <c r="AK56" i="24"/>
  <c r="M56" i="24"/>
  <c r="N56" i="24" s="1"/>
  <c r="O56" i="24" s="1"/>
  <c r="P56" i="24" s="1"/>
  <c r="AK55" i="24"/>
  <c r="M55" i="24"/>
  <c r="N55" i="24" s="1"/>
  <c r="O55" i="24" s="1"/>
  <c r="P55" i="24" s="1"/>
  <c r="Q55" i="24" s="1"/>
  <c r="R55" i="24" s="1"/>
  <c r="AK54" i="24"/>
  <c r="M54" i="24"/>
  <c r="N54" i="24" s="1"/>
  <c r="O54" i="24" s="1"/>
  <c r="P54" i="24" s="1"/>
  <c r="Q54" i="24" s="1"/>
  <c r="AK53" i="24"/>
  <c r="M53" i="24"/>
  <c r="N53" i="24" s="1"/>
  <c r="O53" i="24" s="1"/>
  <c r="P53" i="24" s="1"/>
  <c r="Q53" i="24" s="1"/>
  <c r="AK52" i="24"/>
  <c r="M52" i="24"/>
  <c r="N52" i="24" s="1"/>
  <c r="O52" i="24" s="1"/>
  <c r="P52" i="24" s="1"/>
  <c r="Q52" i="24" s="1"/>
  <c r="AK51" i="24"/>
  <c r="M51" i="24"/>
  <c r="N51" i="24" s="1"/>
  <c r="O51" i="24" s="1"/>
  <c r="P51" i="24" s="1"/>
  <c r="Q51" i="24" s="1"/>
  <c r="AK50" i="24"/>
  <c r="M50" i="24"/>
  <c r="N50" i="24" s="1"/>
  <c r="O50" i="24" s="1"/>
  <c r="P50" i="24" s="1"/>
  <c r="Q50" i="24" s="1"/>
  <c r="AK49" i="24"/>
  <c r="M49" i="24"/>
  <c r="N49" i="24" s="1"/>
  <c r="O49" i="24" s="1"/>
  <c r="P49" i="24" s="1"/>
  <c r="Q49" i="24" s="1"/>
  <c r="R49" i="24" s="1"/>
  <c r="M48" i="24"/>
  <c r="N48" i="24" s="1"/>
  <c r="O48" i="24" s="1"/>
  <c r="P48" i="24" s="1"/>
  <c r="Q48" i="24" s="1"/>
  <c r="R48" i="24" s="1"/>
  <c r="S48" i="24" s="1"/>
  <c r="T48" i="24" s="1"/>
  <c r="U48" i="24" s="1"/>
  <c r="V48" i="24" s="1"/>
  <c r="W48" i="24" s="1"/>
  <c r="X48" i="24" s="1"/>
  <c r="Y48" i="24" s="1"/>
  <c r="Z48" i="24" s="1"/>
  <c r="AA48" i="24" s="1"/>
  <c r="AB48" i="24" s="1"/>
  <c r="AC48" i="24" s="1"/>
  <c r="AD48" i="24" s="1"/>
  <c r="AE48" i="24" s="1"/>
  <c r="AF48" i="24" s="1"/>
  <c r="AG48" i="24" s="1"/>
  <c r="AH48" i="24" s="1"/>
  <c r="AI48" i="24" s="1"/>
  <c r="M47" i="24"/>
  <c r="N47" i="24" s="1"/>
  <c r="O47" i="24" s="1"/>
  <c r="P47" i="24" s="1"/>
  <c r="Q47" i="24" s="1"/>
  <c r="R47" i="24" s="1"/>
  <c r="S47" i="24" s="1"/>
  <c r="T47" i="24" s="1"/>
  <c r="U47" i="24" s="1"/>
  <c r="V47" i="24" s="1"/>
  <c r="W47" i="24" s="1"/>
  <c r="X47" i="24" s="1"/>
  <c r="Y47" i="24" s="1"/>
  <c r="Z47" i="24" s="1"/>
  <c r="AA47" i="24" s="1"/>
  <c r="AB47" i="24" s="1"/>
  <c r="AC47" i="24" s="1"/>
  <c r="AD47" i="24" s="1"/>
  <c r="AE47" i="24" s="1"/>
  <c r="AF47" i="24" s="1"/>
  <c r="AG47" i="24" s="1"/>
  <c r="AH47" i="24" s="1"/>
  <c r="AI47" i="24" s="1"/>
  <c r="AK46" i="24"/>
  <c r="M46" i="24"/>
  <c r="N46" i="24" s="1"/>
  <c r="O46" i="24" s="1"/>
  <c r="P46" i="24" s="1"/>
  <c r="Q46" i="24" s="1"/>
  <c r="R46" i="24" s="1"/>
  <c r="S46" i="24" s="1"/>
  <c r="T46" i="24" s="1"/>
  <c r="U46" i="24" s="1"/>
  <c r="V46" i="24" s="1"/>
  <c r="W46" i="24" s="1"/>
  <c r="X46" i="24" s="1"/>
  <c r="Y46" i="24" s="1"/>
  <c r="Z46" i="24" s="1"/>
  <c r="AA46" i="24" s="1"/>
  <c r="AB46" i="24" s="1"/>
  <c r="AC46" i="24" s="1"/>
  <c r="AD46" i="24" s="1"/>
  <c r="AE46" i="24" s="1"/>
  <c r="AF46" i="24" s="1"/>
  <c r="AG46" i="24" s="1"/>
  <c r="AH46" i="24" s="1"/>
  <c r="AI46" i="24" s="1"/>
  <c r="AK45" i="24"/>
  <c r="M45" i="24"/>
  <c r="N45" i="24" s="1"/>
  <c r="O45" i="24" s="1"/>
  <c r="P45" i="24" s="1"/>
  <c r="Q45" i="24" s="1"/>
  <c r="R45" i="24" s="1"/>
  <c r="AK44" i="24"/>
  <c r="P44" i="24"/>
  <c r="Q44" i="24" s="1"/>
  <c r="R44" i="24" s="1"/>
  <c r="S44" i="24" s="1"/>
  <c r="T44" i="24" s="1"/>
  <c r="U44" i="24" s="1"/>
  <c r="AK43" i="24"/>
  <c r="M43" i="24"/>
  <c r="N43" i="24" s="1"/>
  <c r="O43" i="24" s="1"/>
  <c r="P43" i="24" s="1"/>
  <c r="Q43" i="24" s="1"/>
  <c r="R43" i="24" s="1"/>
  <c r="S43" i="24" s="1"/>
  <c r="T43" i="24" s="1"/>
  <c r="U43" i="24" s="1"/>
  <c r="V43" i="24" s="1"/>
  <c r="W43" i="24" s="1"/>
  <c r="X43" i="24" s="1"/>
  <c r="AK42" i="24"/>
  <c r="M42" i="24"/>
  <c r="N42" i="24" s="1"/>
  <c r="O42" i="24" s="1"/>
  <c r="P42" i="24" s="1"/>
  <c r="Q42" i="24" s="1"/>
  <c r="R42" i="24" s="1"/>
  <c r="S42" i="24" s="1"/>
  <c r="T42" i="24" s="1"/>
  <c r="U42" i="24" s="1"/>
  <c r="V42" i="24" s="1"/>
  <c r="W42" i="24" s="1"/>
  <c r="X42" i="24" s="1"/>
  <c r="AK41" i="24"/>
  <c r="M41" i="24"/>
  <c r="N41" i="24" s="1"/>
  <c r="O41" i="24" s="1"/>
  <c r="P41" i="24" s="1"/>
  <c r="Q41" i="24" s="1"/>
  <c r="R41" i="24" s="1"/>
  <c r="S41" i="24" s="1"/>
  <c r="T41" i="24" s="1"/>
  <c r="U41" i="24" s="1"/>
  <c r="V41" i="24" s="1"/>
  <c r="W41" i="24" s="1"/>
  <c r="X41" i="24" s="1"/>
  <c r="Y41" i="24" s="1"/>
  <c r="AK40" i="24"/>
  <c r="M40" i="24"/>
  <c r="N40" i="24" s="1"/>
  <c r="O40" i="24" s="1"/>
  <c r="P40" i="24" s="1"/>
  <c r="Q40" i="24" s="1"/>
  <c r="R40" i="24" s="1"/>
  <c r="S40" i="24" s="1"/>
  <c r="T40" i="24" s="1"/>
  <c r="U40" i="24" s="1"/>
  <c r="V40" i="24" s="1"/>
  <c r="W40" i="24" s="1"/>
  <c r="X40" i="24" s="1"/>
  <c r="Y40" i="24" s="1"/>
  <c r="Z40" i="24" s="1"/>
  <c r="AK39" i="24"/>
  <c r="M39" i="24"/>
  <c r="N39" i="24" s="1"/>
  <c r="O39" i="24" s="1"/>
  <c r="P39" i="24" s="1"/>
  <c r="Q39" i="24" s="1"/>
  <c r="R39" i="24" s="1"/>
  <c r="S39" i="24" s="1"/>
  <c r="AK38" i="24"/>
  <c r="M38" i="24"/>
  <c r="N38" i="24" s="1"/>
  <c r="O38" i="24" s="1"/>
  <c r="P38" i="24" s="1"/>
  <c r="Q38" i="24" s="1"/>
  <c r="R38" i="24" s="1"/>
  <c r="S38" i="24" s="1"/>
  <c r="AK37" i="24"/>
  <c r="P37" i="24"/>
  <c r="Q37" i="24" s="1"/>
  <c r="R37" i="24" s="1"/>
  <c r="S37" i="24" s="1"/>
  <c r="T37" i="24" s="1"/>
  <c r="U37" i="24" s="1"/>
  <c r="V37" i="24" s="1"/>
  <c r="W37" i="24" s="1"/>
  <c r="X37" i="24" s="1"/>
  <c r="Y37" i="24" s="1"/>
  <c r="Z37" i="24" s="1"/>
  <c r="AA37" i="24" s="1"/>
  <c r="AB37" i="24" s="1"/>
  <c r="AC37" i="24" s="1"/>
  <c r="AD37" i="24" s="1"/>
  <c r="AE37" i="24" s="1"/>
  <c r="AF37" i="24" s="1"/>
  <c r="AG37" i="24" s="1"/>
  <c r="AH37" i="24" s="1"/>
  <c r="AI37" i="24" s="1"/>
  <c r="M37" i="24"/>
  <c r="N37" i="24" s="1"/>
  <c r="AK36" i="24"/>
  <c r="M36" i="24"/>
  <c r="N36" i="24" s="1"/>
  <c r="O36" i="24" s="1"/>
  <c r="P36" i="24" s="1"/>
  <c r="Q36" i="24" s="1"/>
  <c r="R36" i="24" s="1"/>
  <c r="S36" i="24" s="1"/>
  <c r="T36" i="24" s="1"/>
  <c r="U36" i="24" s="1"/>
  <c r="V36" i="24" s="1"/>
  <c r="W36" i="24" s="1"/>
  <c r="X36" i="24" s="1"/>
  <c r="Y36" i="24" s="1"/>
  <c r="Z36" i="24" s="1"/>
  <c r="AK35" i="24"/>
  <c r="M35" i="24"/>
  <c r="N35" i="24" s="1"/>
  <c r="O35" i="24" s="1"/>
  <c r="P35" i="24" s="1"/>
  <c r="Q35" i="24" s="1"/>
  <c r="R35" i="24" s="1"/>
  <c r="S35" i="24" s="1"/>
  <c r="T35" i="24" s="1"/>
  <c r="U35" i="24" s="1"/>
  <c r="V35" i="24" s="1"/>
  <c r="W35" i="24" s="1"/>
  <c r="X35" i="24" s="1"/>
  <c r="Y35" i="24" s="1"/>
  <c r="Z35" i="24" s="1"/>
  <c r="AK34" i="24"/>
  <c r="M34" i="24"/>
  <c r="N34" i="24" s="1"/>
  <c r="O34" i="24" s="1"/>
  <c r="P34" i="24" s="1"/>
  <c r="Q34" i="24" s="1"/>
  <c r="R34" i="24" s="1"/>
  <c r="S34" i="24" s="1"/>
  <c r="T34" i="24" s="1"/>
  <c r="U34" i="24" s="1"/>
  <c r="V34" i="24" s="1"/>
  <c r="W34" i="24" s="1"/>
  <c r="X34" i="24" s="1"/>
  <c r="Y34" i="24" s="1"/>
  <c r="Z34" i="24" s="1"/>
  <c r="AK33" i="24"/>
  <c r="M33" i="24"/>
  <c r="N33" i="24" s="1"/>
  <c r="O33" i="24" s="1"/>
  <c r="P33" i="24" s="1"/>
  <c r="Q33" i="24" s="1"/>
  <c r="R33" i="24" s="1"/>
  <c r="S33" i="24" s="1"/>
  <c r="T33" i="24" s="1"/>
  <c r="U33" i="24" s="1"/>
  <c r="V33" i="24" s="1"/>
  <c r="W33" i="24" s="1"/>
  <c r="X33" i="24" s="1"/>
  <c r="Y33" i="24" s="1"/>
  <c r="Z33" i="24" s="1"/>
  <c r="AK32" i="24"/>
  <c r="M32" i="24"/>
  <c r="N32" i="24" s="1"/>
  <c r="O32" i="24" s="1"/>
  <c r="P32" i="24" s="1"/>
  <c r="Q32" i="24" s="1"/>
  <c r="R32" i="24" s="1"/>
  <c r="S32" i="24" s="1"/>
  <c r="T32" i="24" s="1"/>
  <c r="U32" i="24" s="1"/>
  <c r="V32" i="24" s="1"/>
  <c r="W32" i="24" s="1"/>
  <c r="X32" i="24" s="1"/>
  <c r="Y32" i="24" s="1"/>
  <c r="Z32" i="24" s="1"/>
  <c r="AK31" i="24"/>
  <c r="M31" i="24"/>
  <c r="N31" i="24" s="1"/>
  <c r="O31" i="24" s="1"/>
  <c r="P31" i="24" s="1"/>
  <c r="Q31" i="24" s="1"/>
  <c r="R31" i="24" s="1"/>
  <c r="S31" i="24" s="1"/>
  <c r="T31" i="24" s="1"/>
  <c r="AK30" i="24"/>
  <c r="M30" i="24"/>
  <c r="N30" i="24" s="1"/>
  <c r="O30" i="24" s="1"/>
  <c r="P30" i="24" s="1"/>
  <c r="Q30" i="24" s="1"/>
  <c r="R30" i="24" s="1"/>
  <c r="S30" i="24" s="1"/>
  <c r="T30" i="24" s="1"/>
  <c r="U30" i="24" s="1"/>
  <c r="V30" i="24" s="1"/>
  <c r="W30" i="24" s="1"/>
  <c r="X30" i="24" s="1"/>
  <c r="Y30" i="24" s="1"/>
  <c r="Z30" i="24" s="1"/>
  <c r="AK29" i="24"/>
  <c r="M29" i="24"/>
  <c r="N29" i="24" s="1"/>
  <c r="O29" i="24" s="1"/>
  <c r="P29" i="24" s="1"/>
  <c r="Q29" i="24" s="1"/>
  <c r="R29" i="24" s="1"/>
  <c r="AK28" i="24"/>
  <c r="M28" i="24"/>
  <c r="N28" i="24" s="1"/>
  <c r="O28" i="24" s="1"/>
  <c r="P28" i="24" s="1"/>
  <c r="Q28" i="24" s="1"/>
  <c r="R28" i="24" s="1"/>
  <c r="S28" i="24" s="1"/>
  <c r="T28" i="24" s="1"/>
  <c r="AJ28" i="24" s="1"/>
  <c r="AK27" i="24"/>
  <c r="M27" i="24"/>
  <c r="N27" i="24" s="1"/>
  <c r="O27" i="24" s="1"/>
  <c r="P27" i="24" s="1"/>
  <c r="Q27" i="24" s="1"/>
  <c r="R27" i="24" s="1"/>
  <c r="S27" i="24" s="1"/>
  <c r="T27" i="24" s="1"/>
  <c r="U27" i="24" s="1"/>
  <c r="V27" i="24" s="1"/>
  <c r="W27" i="24" s="1"/>
  <c r="X27" i="24" s="1"/>
  <c r="Y27" i="24" s="1"/>
  <c r="Z27" i="24" s="1"/>
  <c r="AA27" i="24" s="1"/>
  <c r="AK26" i="24"/>
  <c r="M26" i="24"/>
  <c r="N26" i="24" s="1"/>
  <c r="O26" i="24" s="1"/>
  <c r="P26" i="24" s="1"/>
  <c r="Q26" i="24" s="1"/>
  <c r="R26" i="24" s="1"/>
  <c r="S26" i="24" s="1"/>
  <c r="AK25" i="24"/>
  <c r="M25" i="24"/>
  <c r="N25" i="24" s="1"/>
  <c r="O25" i="24" s="1"/>
  <c r="P25" i="24" s="1"/>
  <c r="Q25" i="24" s="1"/>
  <c r="R25" i="24" s="1"/>
  <c r="S25" i="24" s="1"/>
  <c r="T25" i="24" s="1"/>
  <c r="U25" i="24" s="1"/>
  <c r="V25" i="24" s="1"/>
  <c r="W25" i="24" s="1"/>
  <c r="X25" i="24" s="1"/>
  <c r="Y25" i="24" s="1"/>
  <c r="Z25" i="24" s="1"/>
  <c r="AA25" i="24" s="1"/>
  <c r="AK24" i="24"/>
  <c r="M24" i="24"/>
  <c r="N24" i="24" s="1"/>
  <c r="O24" i="24" s="1"/>
  <c r="P24" i="24" s="1"/>
  <c r="Q24" i="24" s="1"/>
  <c r="R24" i="24" s="1"/>
  <c r="S24" i="24" s="1"/>
  <c r="T24" i="24" s="1"/>
  <c r="U24" i="24" s="1"/>
  <c r="V24" i="24" s="1"/>
  <c r="W24" i="24" s="1"/>
  <c r="X24" i="24" s="1"/>
  <c r="Y24" i="24" s="1"/>
  <c r="Z24" i="24" s="1"/>
  <c r="AK23" i="24"/>
  <c r="M23" i="24"/>
  <c r="N23" i="24" s="1"/>
  <c r="O23" i="24" s="1"/>
  <c r="P23" i="24" s="1"/>
  <c r="Q23" i="24" s="1"/>
  <c r="R23" i="24" s="1"/>
  <c r="S23" i="24" s="1"/>
  <c r="T23" i="24" s="1"/>
  <c r="AK22" i="24"/>
  <c r="M22" i="24"/>
  <c r="N22" i="24" s="1"/>
  <c r="O22" i="24" s="1"/>
  <c r="P22" i="24" s="1"/>
  <c r="Q22" i="24" s="1"/>
  <c r="R22" i="24" s="1"/>
  <c r="S22" i="24" s="1"/>
  <c r="T22" i="24" s="1"/>
  <c r="AK21" i="24"/>
  <c r="M21" i="24"/>
  <c r="N21" i="24" s="1"/>
  <c r="O21" i="24" s="1"/>
  <c r="P21" i="24" s="1"/>
  <c r="Q21" i="24" s="1"/>
  <c r="R21" i="24" s="1"/>
  <c r="S21" i="24" s="1"/>
  <c r="T21" i="24" s="1"/>
  <c r="U21" i="24" s="1"/>
  <c r="V21" i="24" s="1"/>
  <c r="W21" i="24" s="1"/>
  <c r="X21" i="24" s="1"/>
  <c r="Y21" i="24" s="1"/>
  <c r="Z21" i="24" s="1"/>
  <c r="AA21" i="24" s="1"/>
  <c r="AB21" i="24" s="1"/>
  <c r="AK20" i="24"/>
  <c r="M20" i="24"/>
  <c r="N20" i="24" s="1"/>
  <c r="O20" i="24" s="1"/>
  <c r="P20" i="24" s="1"/>
  <c r="Q20" i="24" s="1"/>
  <c r="R20" i="24" s="1"/>
  <c r="S20" i="24" s="1"/>
  <c r="T20" i="24" s="1"/>
  <c r="AK19" i="24"/>
  <c r="M19" i="24"/>
  <c r="N19" i="24" s="1"/>
  <c r="O19" i="24" s="1"/>
  <c r="P19" i="24" s="1"/>
  <c r="Q19" i="24" s="1"/>
  <c r="R19" i="24" s="1"/>
  <c r="S19" i="24" s="1"/>
  <c r="T19" i="24" s="1"/>
  <c r="U19" i="24" s="1"/>
  <c r="V19" i="24" s="1"/>
  <c r="W19" i="24" s="1"/>
  <c r="X19" i="24" s="1"/>
  <c r="Y19" i="24" s="1"/>
  <c r="Z19" i="24" s="1"/>
  <c r="AA19" i="24" s="1"/>
  <c r="AK18" i="24"/>
  <c r="M18" i="24"/>
  <c r="N18" i="24" s="1"/>
  <c r="O18" i="24" s="1"/>
  <c r="P18" i="24" s="1"/>
  <c r="Q18" i="24" s="1"/>
  <c r="R18" i="24" s="1"/>
  <c r="S18" i="24" s="1"/>
  <c r="T18" i="24" s="1"/>
  <c r="AK17" i="24"/>
  <c r="M17" i="24"/>
  <c r="N17" i="24" s="1"/>
  <c r="O17" i="24" s="1"/>
  <c r="P17" i="24" s="1"/>
  <c r="Q17" i="24" s="1"/>
  <c r="R17" i="24" s="1"/>
  <c r="S17" i="24" s="1"/>
  <c r="T17" i="24" s="1"/>
  <c r="U17" i="24" s="1"/>
  <c r="V17" i="24" s="1"/>
  <c r="W17" i="24" s="1"/>
  <c r="X17" i="24" s="1"/>
  <c r="Y17" i="24" s="1"/>
  <c r="Z17" i="24" s="1"/>
  <c r="AA17" i="24" s="1"/>
  <c r="AB17" i="24" s="1"/>
  <c r="AK16" i="24"/>
  <c r="N16" i="24"/>
  <c r="O16" i="24" s="1"/>
  <c r="P16" i="24" s="1"/>
  <c r="Q16" i="24" s="1"/>
  <c r="R16" i="24" s="1"/>
  <c r="S16" i="24" s="1"/>
  <c r="T16" i="24" s="1"/>
  <c r="AK15" i="24"/>
  <c r="M15" i="24"/>
  <c r="N15" i="24" s="1"/>
  <c r="O15" i="24" s="1"/>
  <c r="P15" i="24" s="1"/>
  <c r="Q15" i="24" s="1"/>
  <c r="R15" i="24" s="1"/>
  <c r="S15" i="24" s="1"/>
  <c r="T15" i="24" s="1"/>
  <c r="AK14" i="24"/>
  <c r="M14" i="24"/>
  <c r="N14" i="24" s="1"/>
  <c r="O14" i="24" s="1"/>
  <c r="P14" i="24" s="1"/>
  <c r="Q14" i="24" s="1"/>
  <c r="R14" i="24" s="1"/>
  <c r="S14" i="24" s="1"/>
  <c r="T14" i="24" s="1"/>
  <c r="U14" i="24" s="1"/>
  <c r="V14" i="24" s="1"/>
  <c r="W14" i="24" s="1"/>
  <c r="X14" i="24" s="1"/>
  <c r="Y14" i="24" s="1"/>
  <c r="Z14" i="24" s="1"/>
  <c r="AA14" i="24" s="1"/>
  <c r="AK13" i="24"/>
  <c r="M13" i="24"/>
  <c r="N13" i="24" s="1"/>
  <c r="O13" i="24" s="1"/>
  <c r="P13" i="24" s="1"/>
  <c r="Q13" i="24" s="1"/>
  <c r="R13" i="24" s="1"/>
  <c r="S13" i="24" s="1"/>
  <c r="T13" i="24" s="1"/>
  <c r="U13" i="24" s="1"/>
  <c r="V13" i="24" s="1"/>
  <c r="W13" i="24" s="1"/>
  <c r="X13" i="24" s="1"/>
  <c r="Y13" i="24" s="1"/>
  <c r="Z13" i="24" s="1"/>
  <c r="AA13" i="24" s="1"/>
  <c r="AB13" i="24" s="1"/>
  <c r="AK12" i="24"/>
  <c r="M12" i="24"/>
  <c r="N12" i="24" s="1"/>
  <c r="O12" i="24" s="1"/>
  <c r="P12" i="24" s="1"/>
  <c r="Q12" i="24" s="1"/>
  <c r="R12" i="24" s="1"/>
  <c r="S12" i="24" s="1"/>
  <c r="T12" i="24" s="1"/>
  <c r="U12" i="24" s="1"/>
  <c r="V12" i="24" s="1"/>
  <c r="W12" i="24" s="1"/>
  <c r="X12" i="24" s="1"/>
  <c r="Y12" i="24" s="1"/>
  <c r="Z12" i="24" s="1"/>
  <c r="AA12" i="24" s="1"/>
  <c r="AK11" i="24"/>
  <c r="M11" i="24"/>
  <c r="N11" i="24" s="1"/>
  <c r="O11" i="24" s="1"/>
  <c r="P11" i="24" s="1"/>
  <c r="Q11" i="24" s="1"/>
  <c r="R11" i="24" s="1"/>
  <c r="S11" i="24" s="1"/>
  <c r="T11" i="24" s="1"/>
  <c r="U11" i="24" s="1"/>
  <c r="V11" i="24" s="1"/>
  <c r="W11" i="24" s="1"/>
  <c r="X11" i="24" s="1"/>
  <c r="Y11" i="24" s="1"/>
  <c r="Z11" i="24" s="1"/>
  <c r="AA11" i="24" s="1"/>
  <c r="AB11" i="24" s="1"/>
  <c r="AK10" i="24"/>
  <c r="M10" i="24"/>
  <c r="N10" i="24" s="1"/>
  <c r="O10" i="24" s="1"/>
  <c r="P10" i="24" s="1"/>
  <c r="Q10" i="24" s="1"/>
  <c r="R10" i="24" s="1"/>
  <c r="S10" i="24" s="1"/>
  <c r="T10" i="24" s="1"/>
  <c r="U10" i="24" s="1"/>
  <c r="V10" i="24" s="1"/>
  <c r="W10" i="24" s="1"/>
  <c r="X10" i="24" s="1"/>
  <c r="Y10" i="24" s="1"/>
  <c r="Z10" i="24" s="1"/>
  <c r="AA10" i="24" s="1"/>
  <c r="AB10" i="24" s="1"/>
  <c r="AK9" i="24"/>
  <c r="M9" i="24"/>
  <c r="N9" i="24" s="1"/>
  <c r="O9" i="24" s="1"/>
  <c r="P9" i="24" s="1"/>
  <c r="Q9" i="24" s="1"/>
  <c r="R9" i="24" s="1"/>
  <c r="S9" i="24" s="1"/>
  <c r="T9" i="24" s="1"/>
  <c r="U9" i="24" s="1"/>
  <c r="V9" i="24" s="1"/>
  <c r="W9" i="24" s="1"/>
  <c r="X9" i="24" s="1"/>
  <c r="Y9" i="24" s="1"/>
  <c r="Z9" i="24" s="1"/>
  <c r="AA9" i="24" s="1"/>
  <c r="AB9" i="24" s="1"/>
  <c r="AK8" i="24"/>
  <c r="M8" i="24"/>
  <c r="N8" i="24" s="1"/>
  <c r="O8" i="24" s="1"/>
  <c r="P8" i="24" s="1"/>
  <c r="Q8" i="24" s="1"/>
  <c r="R8" i="24" s="1"/>
  <c r="S8" i="24" s="1"/>
  <c r="T8" i="24" s="1"/>
  <c r="U8" i="24" s="1"/>
  <c r="V8" i="24" s="1"/>
  <c r="W8" i="24" s="1"/>
  <c r="X8" i="24" s="1"/>
  <c r="Y8" i="24" s="1"/>
  <c r="Z8" i="24" s="1"/>
  <c r="AA8" i="24" s="1"/>
  <c r="AB8" i="24" s="1"/>
  <c r="AK7" i="24"/>
  <c r="M7" i="24"/>
  <c r="N7" i="24" s="1"/>
  <c r="O7" i="24" s="1"/>
  <c r="P7" i="24" s="1"/>
  <c r="Q7" i="24" s="1"/>
  <c r="R7" i="24" s="1"/>
  <c r="S7" i="24" s="1"/>
  <c r="T7" i="24" s="1"/>
  <c r="AK6" i="24"/>
  <c r="M6" i="24"/>
  <c r="N6" i="24" s="1"/>
  <c r="O6" i="24" s="1"/>
  <c r="P6" i="24" s="1"/>
  <c r="Q6" i="24" s="1"/>
  <c r="R6" i="24" s="1"/>
  <c r="S6" i="24" s="1"/>
  <c r="T6" i="24" s="1"/>
  <c r="U6" i="24" s="1"/>
  <c r="V6" i="24" s="1"/>
  <c r="W6" i="24" s="1"/>
  <c r="X6" i="24" s="1"/>
  <c r="Y6" i="24" s="1"/>
  <c r="Z6" i="24" s="1"/>
  <c r="AA6" i="24" s="1"/>
  <c r="AB6" i="24" s="1"/>
  <c r="AJ6" i="24" s="1"/>
  <c r="AK5" i="24"/>
  <c r="M5" i="24"/>
  <c r="N5" i="24" s="1"/>
  <c r="O5" i="24" s="1"/>
  <c r="P5" i="24" s="1"/>
  <c r="Q5" i="24" s="1"/>
  <c r="R5" i="24" s="1"/>
  <c r="S5" i="24" s="1"/>
  <c r="T5" i="24" s="1"/>
  <c r="U5" i="24" s="1"/>
  <c r="V5" i="24" s="1"/>
  <c r="W5" i="24" s="1"/>
  <c r="X5" i="24" s="1"/>
  <c r="Y5" i="24" s="1"/>
  <c r="Z5" i="24" s="1"/>
  <c r="AA5" i="24" s="1"/>
  <c r="AB5" i="24" s="1"/>
  <c r="AC5" i="24" s="1"/>
  <c r="AD5" i="24" s="1"/>
  <c r="AK4" i="24"/>
  <c r="M4" i="24"/>
  <c r="J2" i="24"/>
  <c r="I2" i="24"/>
  <c r="H2" i="24"/>
  <c r="G2" i="24"/>
  <c r="AL2" i="24"/>
  <c r="L2" i="24"/>
  <c r="D2" i="24"/>
  <c r="C2" i="24"/>
  <c r="B2" i="24"/>
  <c r="A2" i="24"/>
  <c r="J75" i="28" l="1"/>
  <c r="J63" i="28"/>
  <c r="J51" i="28"/>
  <c r="J39" i="28"/>
  <c r="J27" i="28"/>
  <c r="J15" i="28"/>
  <c r="J85" i="28"/>
  <c r="J86" i="28"/>
  <c r="J74" i="28"/>
  <c r="J62" i="28"/>
  <c r="J50" i="28"/>
  <c r="J38" i="28"/>
  <c r="J14" i="28"/>
  <c r="J73" i="28"/>
  <c r="J61" i="28"/>
  <c r="J49" i="28"/>
  <c r="J37" i="28"/>
  <c r="J25" i="28"/>
  <c r="J13" i="28"/>
  <c r="J84" i="28"/>
  <c r="J72" i="28"/>
  <c r="J60" i="28"/>
  <c r="J48" i="28"/>
  <c r="J36" i="28"/>
  <c r="J12" i="28"/>
  <c r="J87" i="28"/>
  <c r="J26" i="28"/>
  <c r="J83" i="28"/>
  <c r="J71" i="28"/>
  <c r="J59" i="28"/>
  <c r="J35" i="28"/>
  <c r="J11" i="28"/>
  <c r="J81" i="28"/>
  <c r="J69" i="28"/>
  <c r="J57" i="28"/>
  <c r="J45" i="28"/>
  <c r="J33" i="28"/>
  <c r="J21" i="28"/>
  <c r="J9" i="28"/>
  <c r="J16" i="28"/>
  <c r="J23" i="28"/>
  <c r="J90" i="28"/>
  <c r="J42" i="28"/>
  <c r="J30" i="28"/>
  <c r="J18" i="28"/>
  <c r="J29" i="28"/>
  <c r="J47" i="28"/>
  <c r="J52" i="28"/>
  <c r="J40" i="28"/>
  <c r="J82" i="28"/>
  <c r="J70" i="28"/>
  <c r="J58" i="28"/>
  <c r="J46" i="28"/>
  <c r="J34" i="28"/>
  <c r="J22" i="28"/>
  <c r="J10" i="28"/>
  <c r="J80" i="28"/>
  <c r="J68" i="28"/>
  <c r="J56" i="28"/>
  <c r="J44" i="28"/>
  <c r="J32" i="28"/>
  <c r="J8" i="28"/>
  <c r="J91" i="28"/>
  <c r="J79" i="28"/>
  <c r="J67" i="28"/>
  <c r="J43" i="28"/>
  <c r="J31" i="28"/>
  <c r="J19" i="28"/>
  <c r="J76" i="28"/>
  <c r="J92" i="28"/>
  <c r="J20" i="28"/>
  <c r="J55" i="28"/>
  <c r="J7" i="28"/>
  <c r="J65" i="28"/>
  <c r="J28" i="28"/>
  <c r="J88" i="28"/>
  <c r="J66" i="28"/>
  <c r="J64" i="28"/>
  <c r="J24" i="28"/>
  <c r="K2" i="28"/>
  <c r="Q4" i="28"/>
  <c r="G4" i="28"/>
  <c r="M2" i="28"/>
  <c r="H2" i="28"/>
  <c r="C2" i="28"/>
  <c r="I2" i="28"/>
  <c r="L2" i="28"/>
  <c r="V2" i="27"/>
  <c r="W4" i="27"/>
  <c r="U2" i="27"/>
  <c r="Y2" i="27"/>
  <c r="M4" i="27"/>
  <c r="L2" i="27"/>
  <c r="K2" i="27"/>
  <c r="AD6" i="26"/>
  <c r="AE6" i="26" s="1"/>
  <c r="F2" i="26"/>
  <c r="AF2" i="26"/>
  <c r="J5" i="26"/>
  <c r="L4" i="26"/>
  <c r="S5" i="25"/>
  <c r="C2" i="25"/>
  <c r="Z2" i="25"/>
  <c r="G2" i="25"/>
  <c r="H2" i="25"/>
  <c r="I4" i="25"/>
  <c r="AJ5" i="24"/>
  <c r="AE5" i="24"/>
  <c r="AF5" i="24" s="1"/>
  <c r="AG5" i="24" s="1"/>
  <c r="AH5" i="24" s="1"/>
  <c r="AI5" i="24" s="1"/>
  <c r="R69" i="24"/>
  <c r="S69" i="24" s="1"/>
  <c r="T69" i="24" s="1"/>
  <c r="U69" i="24" s="1"/>
  <c r="V69" i="24" s="1"/>
  <c r="W69" i="24" s="1"/>
  <c r="X69" i="24" s="1"/>
  <c r="Y69" i="24" s="1"/>
  <c r="Z69" i="24" s="1"/>
  <c r="AA69" i="24" s="1"/>
  <c r="AB69" i="24" s="1"/>
  <c r="AC69" i="24" s="1"/>
  <c r="AD69" i="24" s="1"/>
  <c r="AE69" i="24" s="1"/>
  <c r="AF69" i="24" s="1"/>
  <c r="AG69" i="24" s="1"/>
  <c r="AH69" i="24" s="1"/>
  <c r="AI69" i="24" s="1"/>
  <c r="AJ37" i="24"/>
  <c r="AJ80" i="24"/>
  <c r="O80" i="24"/>
  <c r="P80" i="24" s="1"/>
  <c r="Q80" i="24" s="1"/>
  <c r="R80" i="24" s="1"/>
  <c r="S80" i="24" s="1"/>
  <c r="T80" i="24" s="1"/>
  <c r="U80" i="24" s="1"/>
  <c r="V80" i="24" s="1"/>
  <c r="W80" i="24" s="1"/>
  <c r="X80" i="24" s="1"/>
  <c r="Y80" i="24" s="1"/>
  <c r="Z80" i="24" s="1"/>
  <c r="AA80" i="24" s="1"/>
  <c r="AB80" i="24" s="1"/>
  <c r="AC80" i="24" s="1"/>
  <c r="AD80" i="24" s="1"/>
  <c r="AE80" i="24" s="1"/>
  <c r="AF80" i="24" s="1"/>
  <c r="AG80" i="24" s="1"/>
  <c r="AH80" i="24" s="1"/>
  <c r="AI80" i="24" s="1"/>
  <c r="AJ29" i="24"/>
  <c r="O79" i="24"/>
  <c r="P79" i="24" s="1"/>
  <c r="Q79" i="24" s="1"/>
  <c r="R79" i="24" s="1"/>
  <c r="S79" i="24" s="1"/>
  <c r="T79" i="24" s="1"/>
  <c r="U79" i="24" s="1"/>
  <c r="V79" i="24" s="1"/>
  <c r="W79" i="24" s="1"/>
  <c r="X79" i="24" s="1"/>
  <c r="Y79" i="24" s="1"/>
  <c r="Z79" i="24" s="1"/>
  <c r="AA79" i="24" s="1"/>
  <c r="AB79" i="24" s="1"/>
  <c r="AC79" i="24" s="1"/>
  <c r="AD79" i="24" s="1"/>
  <c r="AE79" i="24" s="1"/>
  <c r="AF79" i="24" s="1"/>
  <c r="AG79" i="24" s="1"/>
  <c r="AH79" i="24" s="1"/>
  <c r="AI79" i="24" s="1"/>
  <c r="AJ83" i="24"/>
  <c r="AJ47" i="24"/>
  <c r="Q61" i="24"/>
  <c r="R61" i="24" s="1"/>
  <c r="S61" i="24" s="1"/>
  <c r="T61" i="24" s="1"/>
  <c r="U61" i="24" s="1"/>
  <c r="V61" i="24" s="1"/>
  <c r="W61" i="24" s="1"/>
  <c r="X61" i="24" s="1"/>
  <c r="Y61" i="24" s="1"/>
  <c r="Z61" i="24" s="1"/>
  <c r="AA61" i="24" s="1"/>
  <c r="AB61" i="24" s="1"/>
  <c r="AC61" i="24" s="1"/>
  <c r="AD61" i="24" s="1"/>
  <c r="AE61" i="24" s="1"/>
  <c r="AF61" i="24" s="1"/>
  <c r="AG61" i="24" s="1"/>
  <c r="AH61" i="24" s="1"/>
  <c r="AI61" i="24" s="1"/>
  <c r="AJ11" i="24"/>
  <c r="AC11" i="24"/>
  <c r="AD11" i="24" s="1"/>
  <c r="AE11" i="24" s="1"/>
  <c r="AF11" i="24" s="1"/>
  <c r="AG11" i="24" s="1"/>
  <c r="AH11" i="24" s="1"/>
  <c r="AI11" i="24" s="1"/>
  <c r="AJ43" i="24"/>
  <c r="Y43" i="24"/>
  <c r="Z43" i="24" s="1"/>
  <c r="AA43" i="24" s="1"/>
  <c r="AB43" i="24" s="1"/>
  <c r="AC43" i="24" s="1"/>
  <c r="AD43" i="24" s="1"/>
  <c r="AE43" i="24" s="1"/>
  <c r="AF43" i="24" s="1"/>
  <c r="AG43" i="24" s="1"/>
  <c r="AH43" i="24" s="1"/>
  <c r="AI43" i="24" s="1"/>
  <c r="AJ40" i="24"/>
  <c r="AA40" i="24"/>
  <c r="AB40" i="24" s="1"/>
  <c r="AC40" i="24" s="1"/>
  <c r="AD40" i="24" s="1"/>
  <c r="AE40" i="24" s="1"/>
  <c r="AF40" i="24" s="1"/>
  <c r="AG40" i="24" s="1"/>
  <c r="AH40" i="24" s="1"/>
  <c r="AI40" i="24" s="1"/>
  <c r="U16" i="24"/>
  <c r="V16" i="24" s="1"/>
  <c r="W16" i="24" s="1"/>
  <c r="X16" i="24" s="1"/>
  <c r="Y16" i="24" s="1"/>
  <c r="Z16" i="24" s="1"/>
  <c r="AA16" i="24" s="1"/>
  <c r="AB16" i="24" s="1"/>
  <c r="AC16" i="24" s="1"/>
  <c r="AD16" i="24" s="1"/>
  <c r="AE16" i="24" s="1"/>
  <c r="AF16" i="24" s="1"/>
  <c r="AG16" i="24" s="1"/>
  <c r="AH16" i="24" s="1"/>
  <c r="AI16" i="24" s="1"/>
  <c r="AJ16" i="24"/>
  <c r="Q66" i="24"/>
  <c r="R66" i="24" s="1"/>
  <c r="S66" i="24" s="1"/>
  <c r="T66" i="24" s="1"/>
  <c r="U66" i="24" s="1"/>
  <c r="V66" i="24" s="1"/>
  <c r="W66" i="24" s="1"/>
  <c r="X66" i="24" s="1"/>
  <c r="Y66" i="24" s="1"/>
  <c r="Z66" i="24" s="1"/>
  <c r="AA66" i="24" s="1"/>
  <c r="AB66" i="24" s="1"/>
  <c r="AC66" i="24" s="1"/>
  <c r="AD66" i="24" s="1"/>
  <c r="AE66" i="24" s="1"/>
  <c r="AF66" i="24" s="1"/>
  <c r="AG66" i="24" s="1"/>
  <c r="AH66" i="24" s="1"/>
  <c r="AI66" i="24" s="1"/>
  <c r="AJ66" i="24"/>
  <c r="AJ33" i="24"/>
  <c r="AA33" i="24"/>
  <c r="AB33" i="24" s="1"/>
  <c r="AC33" i="24" s="1"/>
  <c r="AD33" i="24" s="1"/>
  <c r="AE33" i="24" s="1"/>
  <c r="AF33" i="24" s="1"/>
  <c r="AG33" i="24" s="1"/>
  <c r="AH33" i="24" s="1"/>
  <c r="AI33" i="24" s="1"/>
  <c r="AJ8" i="24"/>
  <c r="AC8" i="24"/>
  <c r="AD8" i="24" s="1"/>
  <c r="AE8" i="24" s="1"/>
  <c r="AF8" i="24" s="1"/>
  <c r="AG8" i="24" s="1"/>
  <c r="AH8" i="24" s="1"/>
  <c r="AI8" i="24" s="1"/>
  <c r="AJ15" i="24"/>
  <c r="U15" i="24"/>
  <c r="V15" i="24" s="1"/>
  <c r="W15" i="24" s="1"/>
  <c r="X15" i="24" s="1"/>
  <c r="Y15" i="24" s="1"/>
  <c r="Z15" i="24" s="1"/>
  <c r="AA15" i="24" s="1"/>
  <c r="AB15" i="24" s="1"/>
  <c r="AC15" i="24" s="1"/>
  <c r="AD15" i="24" s="1"/>
  <c r="AE15" i="24" s="1"/>
  <c r="AF15" i="24" s="1"/>
  <c r="AG15" i="24" s="1"/>
  <c r="AH15" i="24" s="1"/>
  <c r="AI15" i="24" s="1"/>
  <c r="T26" i="24"/>
  <c r="U26" i="24" s="1"/>
  <c r="V26" i="24" s="1"/>
  <c r="W26" i="24" s="1"/>
  <c r="X26" i="24" s="1"/>
  <c r="Y26" i="24" s="1"/>
  <c r="Z26" i="24" s="1"/>
  <c r="AA26" i="24" s="1"/>
  <c r="AB26" i="24" s="1"/>
  <c r="AC26" i="24" s="1"/>
  <c r="AD26" i="24" s="1"/>
  <c r="AE26" i="24" s="1"/>
  <c r="AF26" i="24" s="1"/>
  <c r="AG26" i="24" s="1"/>
  <c r="AH26" i="24" s="1"/>
  <c r="AI26" i="24" s="1"/>
  <c r="AJ26" i="24"/>
  <c r="AJ12" i="24"/>
  <c r="AB12" i="24"/>
  <c r="AC12" i="24" s="1"/>
  <c r="AD12" i="24" s="1"/>
  <c r="AE12" i="24" s="1"/>
  <c r="AF12" i="24" s="1"/>
  <c r="AG12" i="24" s="1"/>
  <c r="AH12" i="24" s="1"/>
  <c r="AI12" i="24" s="1"/>
  <c r="AA24" i="24"/>
  <c r="AB24" i="24" s="1"/>
  <c r="AC24" i="24" s="1"/>
  <c r="AD24" i="24" s="1"/>
  <c r="AE24" i="24" s="1"/>
  <c r="AF24" i="24" s="1"/>
  <c r="AG24" i="24" s="1"/>
  <c r="AH24" i="24" s="1"/>
  <c r="AI24" i="24" s="1"/>
  <c r="AJ24" i="24"/>
  <c r="AC13" i="24"/>
  <c r="AD13" i="24" s="1"/>
  <c r="AE13" i="24" s="1"/>
  <c r="AF13" i="24" s="1"/>
  <c r="AG13" i="24" s="1"/>
  <c r="AH13" i="24" s="1"/>
  <c r="AI13" i="24" s="1"/>
  <c r="AJ13" i="24"/>
  <c r="AC17" i="24"/>
  <c r="AD17" i="24" s="1"/>
  <c r="AE17" i="24" s="1"/>
  <c r="AF17" i="24" s="1"/>
  <c r="AG17" i="24" s="1"/>
  <c r="AH17" i="24" s="1"/>
  <c r="AI17" i="24" s="1"/>
  <c r="AJ17" i="24"/>
  <c r="AC21" i="24"/>
  <c r="AD21" i="24" s="1"/>
  <c r="AE21" i="24" s="1"/>
  <c r="AF21" i="24" s="1"/>
  <c r="AG21" i="24" s="1"/>
  <c r="AH21" i="24" s="1"/>
  <c r="AI21" i="24" s="1"/>
  <c r="AJ21" i="24"/>
  <c r="AJ23" i="24"/>
  <c r="U23" i="24"/>
  <c r="V23" i="24" s="1"/>
  <c r="W23" i="24" s="1"/>
  <c r="X23" i="24" s="1"/>
  <c r="Y23" i="24" s="1"/>
  <c r="Z23" i="24" s="1"/>
  <c r="AA23" i="24" s="1"/>
  <c r="AB23" i="24" s="1"/>
  <c r="AC23" i="24" s="1"/>
  <c r="AD23" i="24" s="1"/>
  <c r="AE23" i="24" s="1"/>
  <c r="AF23" i="24" s="1"/>
  <c r="AG23" i="24" s="1"/>
  <c r="AH23" i="24" s="1"/>
  <c r="AI23" i="24" s="1"/>
  <c r="AA36" i="24"/>
  <c r="AB36" i="24" s="1"/>
  <c r="AC36" i="24" s="1"/>
  <c r="AD36" i="24" s="1"/>
  <c r="AE36" i="24" s="1"/>
  <c r="AF36" i="24" s="1"/>
  <c r="AG36" i="24" s="1"/>
  <c r="AH36" i="24" s="1"/>
  <c r="AI36" i="24" s="1"/>
  <c r="AJ36" i="24"/>
  <c r="AJ39" i="24"/>
  <c r="T39" i="24"/>
  <c r="U39" i="24" s="1"/>
  <c r="V39" i="24" s="1"/>
  <c r="W39" i="24" s="1"/>
  <c r="X39" i="24" s="1"/>
  <c r="Y39" i="24" s="1"/>
  <c r="Z39" i="24" s="1"/>
  <c r="AA39" i="24" s="1"/>
  <c r="AB39" i="24" s="1"/>
  <c r="AC39" i="24" s="1"/>
  <c r="AD39" i="24" s="1"/>
  <c r="AE39" i="24" s="1"/>
  <c r="AF39" i="24" s="1"/>
  <c r="AG39" i="24" s="1"/>
  <c r="AH39" i="24" s="1"/>
  <c r="AI39" i="24" s="1"/>
  <c r="AJ53" i="24"/>
  <c r="R53" i="24"/>
  <c r="S53" i="24" s="1"/>
  <c r="T53" i="24" s="1"/>
  <c r="U53" i="24" s="1"/>
  <c r="V53" i="24" s="1"/>
  <c r="W53" i="24" s="1"/>
  <c r="X53" i="24" s="1"/>
  <c r="Y53" i="24" s="1"/>
  <c r="Z53" i="24" s="1"/>
  <c r="AA53" i="24" s="1"/>
  <c r="AB53" i="24" s="1"/>
  <c r="AC53" i="24" s="1"/>
  <c r="AD53" i="24" s="1"/>
  <c r="AE53" i="24" s="1"/>
  <c r="AF53" i="24" s="1"/>
  <c r="AG53" i="24" s="1"/>
  <c r="AH53" i="24" s="1"/>
  <c r="AI53" i="24" s="1"/>
  <c r="AJ9" i="24"/>
  <c r="AC9" i="24"/>
  <c r="AD9" i="24" s="1"/>
  <c r="AE9" i="24" s="1"/>
  <c r="AF9" i="24" s="1"/>
  <c r="AG9" i="24" s="1"/>
  <c r="AH9" i="24" s="1"/>
  <c r="AI9" i="24" s="1"/>
  <c r="AJ30" i="24"/>
  <c r="AA30" i="24"/>
  <c r="AB30" i="24" s="1"/>
  <c r="AC30" i="24" s="1"/>
  <c r="AD30" i="24" s="1"/>
  <c r="AE30" i="24" s="1"/>
  <c r="AF30" i="24" s="1"/>
  <c r="AG30" i="24" s="1"/>
  <c r="AH30" i="24" s="1"/>
  <c r="AI30" i="24" s="1"/>
  <c r="Z41" i="24"/>
  <c r="AA41" i="24" s="1"/>
  <c r="AB41" i="24" s="1"/>
  <c r="AC41" i="24" s="1"/>
  <c r="AD41" i="24" s="1"/>
  <c r="AE41" i="24" s="1"/>
  <c r="AF41" i="24" s="1"/>
  <c r="AG41" i="24" s="1"/>
  <c r="AH41" i="24" s="1"/>
  <c r="AI41" i="24" s="1"/>
  <c r="AJ41" i="24"/>
  <c r="AJ71" i="24"/>
  <c r="Q71" i="24"/>
  <c r="R71" i="24" s="1"/>
  <c r="S71" i="24" s="1"/>
  <c r="T71" i="24" s="1"/>
  <c r="U71" i="24" s="1"/>
  <c r="V71" i="24" s="1"/>
  <c r="W71" i="24" s="1"/>
  <c r="X71" i="24" s="1"/>
  <c r="Y71" i="24" s="1"/>
  <c r="Z71" i="24" s="1"/>
  <c r="AA71" i="24" s="1"/>
  <c r="AB71" i="24" s="1"/>
  <c r="AC71" i="24" s="1"/>
  <c r="AD71" i="24" s="1"/>
  <c r="AE71" i="24" s="1"/>
  <c r="AF71" i="24" s="1"/>
  <c r="AG71" i="24" s="1"/>
  <c r="AH71" i="24" s="1"/>
  <c r="AI71" i="24" s="1"/>
  <c r="AJ27" i="24"/>
  <c r="AB27" i="24"/>
  <c r="AC27" i="24" s="1"/>
  <c r="AD27" i="24" s="1"/>
  <c r="AE27" i="24" s="1"/>
  <c r="AF27" i="24" s="1"/>
  <c r="AG27" i="24" s="1"/>
  <c r="AH27" i="24" s="1"/>
  <c r="AI27" i="24" s="1"/>
  <c r="AJ46" i="24"/>
  <c r="AC10" i="24"/>
  <c r="AD10" i="24" s="1"/>
  <c r="AE10" i="24" s="1"/>
  <c r="AF10" i="24" s="1"/>
  <c r="AG10" i="24" s="1"/>
  <c r="AH10" i="24" s="1"/>
  <c r="AI10" i="24" s="1"/>
  <c r="AJ10" i="24"/>
  <c r="AJ22" i="24"/>
  <c r="U22" i="24"/>
  <c r="V22" i="24" s="1"/>
  <c r="W22" i="24" s="1"/>
  <c r="X22" i="24" s="1"/>
  <c r="Y22" i="24" s="1"/>
  <c r="Z22" i="24" s="1"/>
  <c r="AA22" i="24" s="1"/>
  <c r="AB22" i="24" s="1"/>
  <c r="AC22" i="24" s="1"/>
  <c r="AD22" i="24" s="1"/>
  <c r="AE22" i="24" s="1"/>
  <c r="AF22" i="24" s="1"/>
  <c r="AG22" i="24" s="1"/>
  <c r="AH22" i="24" s="1"/>
  <c r="AI22" i="24" s="1"/>
  <c r="Q56" i="24"/>
  <c r="R56" i="24" s="1"/>
  <c r="S56" i="24" s="1"/>
  <c r="T56" i="24" s="1"/>
  <c r="U56" i="24" s="1"/>
  <c r="V56" i="24" s="1"/>
  <c r="W56" i="24" s="1"/>
  <c r="X56" i="24" s="1"/>
  <c r="Y56" i="24" s="1"/>
  <c r="Z56" i="24" s="1"/>
  <c r="AA56" i="24" s="1"/>
  <c r="AB56" i="24" s="1"/>
  <c r="AC56" i="24" s="1"/>
  <c r="AD56" i="24" s="1"/>
  <c r="AE56" i="24" s="1"/>
  <c r="AF56" i="24" s="1"/>
  <c r="AG56" i="24" s="1"/>
  <c r="AH56" i="24" s="1"/>
  <c r="AI56" i="24" s="1"/>
  <c r="AJ56" i="24"/>
  <c r="AJ32" i="24"/>
  <c r="AA32" i="24"/>
  <c r="AB32" i="24" s="1"/>
  <c r="AC32" i="24" s="1"/>
  <c r="AD32" i="24" s="1"/>
  <c r="AE32" i="24" s="1"/>
  <c r="AF32" i="24" s="1"/>
  <c r="AG32" i="24" s="1"/>
  <c r="AH32" i="24" s="1"/>
  <c r="AI32" i="24" s="1"/>
  <c r="AB25" i="24"/>
  <c r="AC25" i="24" s="1"/>
  <c r="AD25" i="24" s="1"/>
  <c r="AE25" i="24" s="1"/>
  <c r="AF25" i="24" s="1"/>
  <c r="AG25" i="24" s="1"/>
  <c r="AH25" i="24" s="1"/>
  <c r="AI25" i="24" s="1"/>
  <c r="AJ25" i="24"/>
  <c r="AJ35" i="24"/>
  <c r="AA35" i="24"/>
  <c r="AB35" i="24" s="1"/>
  <c r="AC35" i="24" s="1"/>
  <c r="AD35" i="24" s="1"/>
  <c r="AE35" i="24" s="1"/>
  <c r="AF35" i="24" s="1"/>
  <c r="AG35" i="24" s="1"/>
  <c r="AH35" i="24" s="1"/>
  <c r="AI35" i="24" s="1"/>
  <c r="AJ51" i="24"/>
  <c r="R51" i="24"/>
  <c r="S51" i="24" s="1"/>
  <c r="T51" i="24" s="1"/>
  <c r="U51" i="24" s="1"/>
  <c r="V51" i="24" s="1"/>
  <c r="W51" i="24" s="1"/>
  <c r="X51" i="24" s="1"/>
  <c r="Y51" i="24" s="1"/>
  <c r="Z51" i="24" s="1"/>
  <c r="AA51" i="24" s="1"/>
  <c r="AB51" i="24" s="1"/>
  <c r="AC51" i="24" s="1"/>
  <c r="AD51" i="24" s="1"/>
  <c r="AE51" i="24" s="1"/>
  <c r="AF51" i="24" s="1"/>
  <c r="AG51" i="24" s="1"/>
  <c r="AH51" i="24" s="1"/>
  <c r="AI51" i="24" s="1"/>
  <c r="Q68" i="24"/>
  <c r="R68" i="24" s="1"/>
  <c r="S68" i="24" s="1"/>
  <c r="T68" i="24" s="1"/>
  <c r="U68" i="24" s="1"/>
  <c r="V68" i="24" s="1"/>
  <c r="W68" i="24" s="1"/>
  <c r="X68" i="24" s="1"/>
  <c r="Y68" i="24" s="1"/>
  <c r="Z68" i="24" s="1"/>
  <c r="AA68" i="24" s="1"/>
  <c r="AB68" i="24" s="1"/>
  <c r="AC68" i="24" s="1"/>
  <c r="AD68" i="24" s="1"/>
  <c r="AE68" i="24" s="1"/>
  <c r="AF68" i="24" s="1"/>
  <c r="AG68" i="24" s="1"/>
  <c r="AH68" i="24" s="1"/>
  <c r="AI68" i="24" s="1"/>
  <c r="AJ68" i="24"/>
  <c r="AJ14" i="24"/>
  <c r="AB14" i="24"/>
  <c r="AC14" i="24" s="1"/>
  <c r="AD14" i="24" s="1"/>
  <c r="AE14" i="24" s="1"/>
  <c r="AF14" i="24" s="1"/>
  <c r="AG14" i="24" s="1"/>
  <c r="AH14" i="24" s="1"/>
  <c r="AI14" i="24" s="1"/>
  <c r="AC6" i="24"/>
  <c r="AD6" i="24" s="1"/>
  <c r="AE6" i="24" s="1"/>
  <c r="AF6" i="24" s="1"/>
  <c r="AG6" i="24" s="1"/>
  <c r="AH6" i="24" s="1"/>
  <c r="AI6" i="24" s="1"/>
  <c r="AJ19" i="24"/>
  <c r="AB19" i="24"/>
  <c r="AC19" i="24" s="1"/>
  <c r="AD19" i="24" s="1"/>
  <c r="AE19" i="24" s="1"/>
  <c r="AF19" i="24" s="1"/>
  <c r="AG19" i="24" s="1"/>
  <c r="AH19" i="24" s="1"/>
  <c r="AI19" i="24" s="1"/>
  <c r="AJ31" i="24"/>
  <c r="U31" i="24"/>
  <c r="V31" i="24" s="1"/>
  <c r="W31" i="24" s="1"/>
  <c r="X31" i="24" s="1"/>
  <c r="Y31" i="24" s="1"/>
  <c r="Z31" i="24" s="1"/>
  <c r="AA31" i="24" s="1"/>
  <c r="AB31" i="24" s="1"/>
  <c r="AC31" i="24" s="1"/>
  <c r="AD31" i="24" s="1"/>
  <c r="AE31" i="24" s="1"/>
  <c r="AF31" i="24" s="1"/>
  <c r="AG31" i="24" s="1"/>
  <c r="AH31" i="24" s="1"/>
  <c r="AI31" i="24" s="1"/>
  <c r="AJ63" i="24"/>
  <c r="Q63" i="24"/>
  <c r="R63" i="24" s="1"/>
  <c r="S63" i="24" s="1"/>
  <c r="T63" i="24" s="1"/>
  <c r="U63" i="24" s="1"/>
  <c r="V63" i="24" s="1"/>
  <c r="W63" i="24" s="1"/>
  <c r="X63" i="24" s="1"/>
  <c r="Y63" i="24" s="1"/>
  <c r="Z63" i="24" s="1"/>
  <c r="AA63" i="24" s="1"/>
  <c r="AB63" i="24" s="1"/>
  <c r="AC63" i="24" s="1"/>
  <c r="AD63" i="24" s="1"/>
  <c r="AE63" i="24" s="1"/>
  <c r="AF63" i="24" s="1"/>
  <c r="AG63" i="24" s="1"/>
  <c r="AH63" i="24" s="1"/>
  <c r="AI63" i="24" s="1"/>
  <c r="U28" i="24"/>
  <c r="V28" i="24" s="1"/>
  <c r="W28" i="24" s="1"/>
  <c r="X28" i="24" s="1"/>
  <c r="Y28" i="24" s="1"/>
  <c r="Z28" i="24" s="1"/>
  <c r="AA28" i="24" s="1"/>
  <c r="AB28" i="24" s="1"/>
  <c r="AC28" i="24" s="1"/>
  <c r="AD28" i="24" s="1"/>
  <c r="AE28" i="24" s="1"/>
  <c r="AF28" i="24" s="1"/>
  <c r="AG28" i="24" s="1"/>
  <c r="AH28" i="24" s="1"/>
  <c r="AI28" i="24" s="1"/>
  <c r="R52" i="24"/>
  <c r="S52" i="24" s="1"/>
  <c r="T52" i="24" s="1"/>
  <c r="U52" i="24" s="1"/>
  <c r="V52" i="24" s="1"/>
  <c r="W52" i="24" s="1"/>
  <c r="X52" i="24" s="1"/>
  <c r="Y52" i="24" s="1"/>
  <c r="Z52" i="24" s="1"/>
  <c r="AA52" i="24" s="1"/>
  <c r="AB52" i="24" s="1"/>
  <c r="AC52" i="24" s="1"/>
  <c r="AD52" i="24" s="1"/>
  <c r="AE52" i="24" s="1"/>
  <c r="AF52" i="24" s="1"/>
  <c r="AG52" i="24" s="1"/>
  <c r="AH52" i="24" s="1"/>
  <c r="AI52" i="24" s="1"/>
  <c r="AJ52" i="24"/>
  <c r="O78" i="24"/>
  <c r="P78" i="24" s="1"/>
  <c r="Q78" i="24" s="1"/>
  <c r="R78" i="24" s="1"/>
  <c r="S78" i="24" s="1"/>
  <c r="T78" i="24" s="1"/>
  <c r="U78" i="24" s="1"/>
  <c r="V78" i="24" s="1"/>
  <c r="W78" i="24" s="1"/>
  <c r="X78" i="24" s="1"/>
  <c r="Y78" i="24" s="1"/>
  <c r="Z78" i="24" s="1"/>
  <c r="AA78" i="24" s="1"/>
  <c r="AB78" i="24" s="1"/>
  <c r="AC78" i="24" s="1"/>
  <c r="AD78" i="24" s="1"/>
  <c r="AE78" i="24" s="1"/>
  <c r="AF78" i="24" s="1"/>
  <c r="AG78" i="24" s="1"/>
  <c r="AH78" i="24" s="1"/>
  <c r="AI78" i="24" s="1"/>
  <c r="AJ74" i="24"/>
  <c r="P74" i="24"/>
  <c r="Q74" i="24" s="1"/>
  <c r="R74" i="24" s="1"/>
  <c r="S74" i="24" s="1"/>
  <c r="T74" i="24" s="1"/>
  <c r="U74" i="24" s="1"/>
  <c r="V74" i="24" s="1"/>
  <c r="W74" i="24" s="1"/>
  <c r="X74" i="24" s="1"/>
  <c r="Y74" i="24" s="1"/>
  <c r="Z74" i="24" s="1"/>
  <c r="AA74" i="24" s="1"/>
  <c r="AB74" i="24" s="1"/>
  <c r="AC74" i="24" s="1"/>
  <c r="AD74" i="24" s="1"/>
  <c r="AE74" i="24" s="1"/>
  <c r="AF74" i="24" s="1"/>
  <c r="AG74" i="24" s="1"/>
  <c r="AH74" i="24" s="1"/>
  <c r="AI74" i="24" s="1"/>
  <c r="AJ75" i="24"/>
  <c r="P75" i="24"/>
  <c r="Q75" i="24" s="1"/>
  <c r="R75" i="24" s="1"/>
  <c r="S75" i="24" s="1"/>
  <c r="T75" i="24" s="1"/>
  <c r="U75" i="24" s="1"/>
  <c r="V75" i="24" s="1"/>
  <c r="W75" i="24" s="1"/>
  <c r="X75" i="24" s="1"/>
  <c r="Y75" i="24" s="1"/>
  <c r="Z75" i="24" s="1"/>
  <c r="AA75" i="24" s="1"/>
  <c r="AB75" i="24" s="1"/>
  <c r="AC75" i="24" s="1"/>
  <c r="AD75" i="24" s="1"/>
  <c r="AE75" i="24" s="1"/>
  <c r="AF75" i="24" s="1"/>
  <c r="AG75" i="24" s="1"/>
  <c r="AH75" i="24" s="1"/>
  <c r="AI75" i="24" s="1"/>
  <c r="Q59" i="24"/>
  <c r="R59" i="24" s="1"/>
  <c r="S59" i="24" s="1"/>
  <c r="T59" i="24" s="1"/>
  <c r="U59" i="24" s="1"/>
  <c r="V59" i="24" s="1"/>
  <c r="W59" i="24" s="1"/>
  <c r="X59" i="24" s="1"/>
  <c r="Y59" i="24" s="1"/>
  <c r="Z59" i="24" s="1"/>
  <c r="AA59" i="24" s="1"/>
  <c r="AB59" i="24" s="1"/>
  <c r="AC59" i="24" s="1"/>
  <c r="AD59" i="24" s="1"/>
  <c r="AE59" i="24" s="1"/>
  <c r="AF59" i="24" s="1"/>
  <c r="AG59" i="24" s="1"/>
  <c r="AH59" i="24" s="1"/>
  <c r="AI59" i="24" s="1"/>
  <c r="Q64" i="24"/>
  <c r="R64" i="24" s="1"/>
  <c r="S64" i="24" s="1"/>
  <c r="T64" i="24" s="1"/>
  <c r="U64" i="24" s="1"/>
  <c r="V64" i="24" s="1"/>
  <c r="W64" i="24" s="1"/>
  <c r="X64" i="24" s="1"/>
  <c r="Y64" i="24" s="1"/>
  <c r="Z64" i="24" s="1"/>
  <c r="AA64" i="24" s="1"/>
  <c r="AB64" i="24" s="1"/>
  <c r="AC64" i="24" s="1"/>
  <c r="AD64" i="24" s="1"/>
  <c r="AE64" i="24" s="1"/>
  <c r="AF64" i="24" s="1"/>
  <c r="AG64" i="24" s="1"/>
  <c r="AH64" i="24" s="1"/>
  <c r="AI64" i="24" s="1"/>
  <c r="AJ72" i="24"/>
  <c r="P72" i="24"/>
  <c r="Q72" i="24" s="1"/>
  <c r="R72" i="24" s="1"/>
  <c r="S72" i="24" s="1"/>
  <c r="T72" i="24" s="1"/>
  <c r="U72" i="24" s="1"/>
  <c r="V72" i="24" s="1"/>
  <c r="W72" i="24" s="1"/>
  <c r="X72" i="24" s="1"/>
  <c r="Y72" i="24" s="1"/>
  <c r="Z72" i="24" s="1"/>
  <c r="AA72" i="24" s="1"/>
  <c r="AB72" i="24" s="1"/>
  <c r="AC72" i="24" s="1"/>
  <c r="AD72" i="24" s="1"/>
  <c r="AE72" i="24" s="1"/>
  <c r="AF72" i="24" s="1"/>
  <c r="AG72" i="24" s="1"/>
  <c r="AH72" i="24" s="1"/>
  <c r="AI72" i="24" s="1"/>
  <c r="AJ81" i="24"/>
  <c r="O81" i="24"/>
  <c r="P81" i="24" s="1"/>
  <c r="Q81" i="24" s="1"/>
  <c r="R81" i="24" s="1"/>
  <c r="S81" i="24" s="1"/>
  <c r="T81" i="24" s="1"/>
  <c r="U81" i="24" s="1"/>
  <c r="V81" i="24" s="1"/>
  <c r="W81" i="24" s="1"/>
  <c r="X81" i="24" s="1"/>
  <c r="Y81" i="24" s="1"/>
  <c r="Z81" i="24" s="1"/>
  <c r="AA81" i="24" s="1"/>
  <c r="AB81" i="24" s="1"/>
  <c r="AC81" i="24" s="1"/>
  <c r="AD81" i="24" s="1"/>
  <c r="AE81" i="24" s="1"/>
  <c r="AF81" i="24" s="1"/>
  <c r="AG81" i="24" s="1"/>
  <c r="AH81" i="24" s="1"/>
  <c r="AI81" i="24" s="1"/>
  <c r="U7" i="24"/>
  <c r="V7" i="24" s="1"/>
  <c r="W7" i="24" s="1"/>
  <c r="X7" i="24" s="1"/>
  <c r="Y7" i="24" s="1"/>
  <c r="Z7" i="24" s="1"/>
  <c r="AA7" i="24" s="1"/>
  <c r="AB7" i="24" s="1"/>
  <c r="AC7" i="24" s="1"/>
  <c r="AD7" i="24" s="1"/>
  <c r="AE7" i="24" s="1"/>
  <c r="AF7" i="24" s="1"/>
  <c r="AG7" i="24" s="1"/>
  <c r="AH7" i="24" s="1"/>
  <c r="AI7" i="24" s="1"/>
  <c r="AJ7" i="24"/>
  <c r="M2" i="24"/>
  <c r="N4" i="24"/>
  <c r="Q65" i="24"/>
  <c r="R65" i="24" s="1"/>
  <c r="S65" i="24" s="1"/>
  <c r="T65" i="24" s="1"/>
  <c r="U65" i="24" s="1"/>
  <c r="V65" i="24" s="1"/>
  <c r="W65" i="24" s="1"/>
  <c r="X65" i="24" s="1"/>
  <c r="Y65" i="24" s="1"/>
  <c r="Z65" i="24" s="1"/>
  <c r="AA65" i="24" s="1"/>
  <c r="AB65" i="24" s="1"/>
  <c r="AC65" i="24" s="1"/>
  <c r="AD65" i="24" s="1"/>
  <c r="AE65" i="24" s="1"/>
  <c r="AF65" i="24" s="1"/>
  <c r="AG65" i="24" s="1"/>
  <c r="AH65" i="24" s="1"/>
  <c r="AI65" i="24" s="1"/>
  <c r="AJ65" i="24"/>
  <c r="U20" i="24"/>
  <c r="V20" i="24" s="1"/>
  <c r="W20" i="24" s="1"/>
  <c r="X20" i="24" s="1"/>
  <c r="Y20" i="24" s="1"/>
  <c r="Z20" i="24" s="1"/>
  <c r="AA20" i="24" s="1"/>
  <c r="AB20" i="24" s="1"/>
  <c r="AC20" i="24" s="1"/>
  <c r="AD20" i="24" s="1"/>
  <c r="AE20" i="24" s="1"/>
  <c r="AF20" i="24" s="1"/>
  <c r="AG20" i="24" s="1"/>
  <c r="AH20" i="24" s="1"/>
  <c r="AI20" i="24" s="1"/>
  <c r="AJ20" i="24"/>
  <c r="AJ38" i="24"/>
  <c r="T38" i="24"/>
  <c r="U38" i="24" s="1"/>
  <c r="V38" i="24" s="1"/>
  <c r="W38" i="24" s="1"/>
  <c r="X38" i="24" s="1"/>
  <c r="Y38" i="24" s="1"/>
  <c r="Z38" i="24" s="1"/>
  <c r="AA38" i="24" s="1"/>
  <c r="AB38" i="24" s="1"/>
  <c r="AC38" i="24" s="1"/>
  <c r="AD38" i="24" s="1"/>
  <c r="AE38" i="24" s="1"/>
  <c r="AF38" i="24" s="1"/>
  <c r="AG38" i="24" s="1"/>
  <c r="AH38" i="24" s="1"/>
  <c r="AI38" i="24" s="1"/>
  <c r="AJ55" i="24"/>
  <c r="S55" i="24"/>
  <c r="T55" i="24" s="1"/>
  <c r="U55" i="24" s="1"/>
  <c r="V55" i="24" s="1"/>
  <c r="W55" i="24" s="1"/>
  <c r="X55" i="24" s="1"/>
  <c r="Y55" i="24" s="1"/>
  <c r="Z55" i="24" s="1"/>
  <c r="AA55" i="24" s="1"/>
  <c r="AB55" i="24" s="1"/>
  <c r="AC55" i="24" s="1"/>
  <c r="AD55" i="24" s="1"/>
  <c r="AE55" i="24" s="1"/>
  <c r="AF55" i="24" s="1"/>
  <c r="AG55" i="24" s="1"/>
  <c r="AH55" i="24" s="1"/>
  <c r="AI55" i="24" s="1"/>
  <c r="AJ18" i="24"/>
  <c r="U18" i="24"/>
  <c r="V18" i="24" s="1"/>
  <c r="W18" i="24" s="1"/>
  <c r="X18" i="24" s="1"/>
  <c r="Y18" i="24" s="1"/>
  <c r="Z18" i="24" s="1"/>
  <c r="AA18" i="24" s="1"/>
  <c r="AB18" i="24" s="1"/>
  <c r="AC18" i="24" s="1"/>
  <c r="AD18" i="24" s="1"/>
  <c r="AE18" i="24" s="1"/>
  <c r="AF18" i="24" s="1"/>
  <c r="AG18" i="24" s="1"/>
  <c r="AH18" i="24" s="1"/>
  <c r="AI18" i="24" s="1"/>
  <c r="Y42" i="24"/>
  <c r="Z42" i="24" s="1"/>
  <c r="AA42" i="24" s="1"/>
  <c r="AB42" i="24" s="1"/>
  <c r="AC42" i="24" s="1"/>
  <c r="AD42" i="24" s="1"/>
  <c r="AE42" i="24" s="1"/>
  <c r="AF42" i="24" s="1"/>
  <c r="AG42" i="24" s="1"/>
  <c r="AH42" i="24" s="1"/>
  <c r="AI42" i="24" s="1"/>
  <c r="AJ42" i="24"/>
  <c r="P73" i="24"/>
  <c r="Q73" i="24" s="1"/>
  <c r="R73" i="24" s="1"/>
  <c r="S73" i="24" s="1"/>
  <c r="T73" i="24" s="1"/>
  <c r="U73" i="24" s="1"/>
  <c r="V73" i="24" s="1"/>
  <c r="W73" i="24" s="1"/>
  <c r="X73" i="24" s="1"/>
  <c r="Y73" i="24" s="1"/>
  <c r="Z73" i="24" s="1"/>
  <c r="AA73" i="24" s="1"/>
  <c r="AB73" i="24" s="1"/>
  <c r="AC73" i="24" s="1"/>
  <c r="AD73" i="24" s="1"/>
  <c r="AE73" i="24" s="1"/>
  <c r="AF73" i="24" s="1"/>
  <c r="AG73" i="24" s="1"/>
  <c r="AH73" i="24" s="1"/>
  <c r="AI73" i="24" s="1"/>
  <c r="AJ34" i="24"/>
  <c r="AA34" i="24"/>
  <c r="AB34" i="24" s="1"/>
  <c r="AC34" i="24" s="1"/>
  <c r="AD34" i="24" s="1"/>
  <c r="AE34" i="24" s="1"/>
  <c r="AF34" i="24" s="1"/>
  <c r="AG34" i="24" s="1"/>
  <c r="AH34" i="24" s="1"/>
  <c r="AI34" i="24" s="1"/>
  <c r="R50" i="24"/>
  <c r="S50" i="24" s="1"/>
  <c r="T50" i="24" s="1"/>
  <c r="U50" i="24" s="1"/>
  <c r="V50" i="24" s="1"/>
  <c r="W50" i="24" s="1"/>
  <c r="X50" i="24" s="1"/>
  <c r="Y50" i="24" s="1"/>
  <c r="Z50" i="24" s="1"/>
  <c r="AA50" i="24" s="1"/>
  <c r="AB50" i="24" s="1"/>
  <c r="AC50" i="24" s="1"/>
  <c r="AD50" i="24" s="1"/>
  <c r="AE50" i="24" s="1"/>
  <c r="AF50" i="24" s="1"/>
  <c r="AG50" i="24" s="1"/>
  <c r="AH50" i="24" s="1"/>
  <c r="AI50" i="24" s="1"/>
  <c r="AJ50" i="24"/>
  <c r="AJ58" i="24"/>
  <c r="R58" i="24"/>
  <c r="S58" i="24" s="1"/>
  <c r="T58" i="24" s="1"/>
  <c r="U58" i="24" s="1"/>
  <c r="V58" i="24" s="1"/>
  <c r="W58" i="24" s="1"/>
  <c r="X58" i="24" s="1"/>
  <c r="Y58" i="24" s="1"/>
  <c r="Z58" i="24" s="1"/>
  <c r="AA58" i="24" s="1"/>
  <c r="AB58" i="24" s="1"/>
  <c r="AC58" i="24" s="1"/>
  <c r="AD58" i="24" s="1"/>
  <c r="AE58" i="24" s="1"/>
  <c r="AF58" i="24" s="1"/>
  <c r="AG58" i="24" s="1"/>
  <c r="AH58" i="24" s="1"/>
  <c r="AI58" i="24" s="1"/>
  <c r="AJ60" i="24"/>
  <c r="AJ62" i="24"/>
  <c r="O84" i="24"/>
  <c r="P84" i="24" s="1"/>
  <c r="Q84" i="24" s="1"/>
  <c r="R84" i="24" s="1"/>
  <c r="S84" i="24" s="1"/>
  <c r="T84" i="24" s="1"/>
  <c r="U84" i="24" s="1"/>
  <c r="V84" i="24" s="1"/>
  <c r="W84" i="24" s="1"/>
  <c r="X84" i="24" s="1"/>
  <c r="Y84" i="24" s="1"/>
  <c r="Z84" i="24" s="1"/>
  <c r="AA84" i="24" s="1"/>
  <c r="AB84" i="24" s="1"/>
  <c r="AC84" i="24" s="1"/>
  <c r="AD84" i="24" s="1"/>
  <c r="AE84" i="24" s="1"/>
  <c r="AF84" i="24" s="1"/>
  <c r="AG84" i="24" s="1"/>
  <c r="AH84" i="24" s="1"/>
  <c r="AI84" i="24" s="1"/>
  <c r="AJ84" i="24"/>
  <c r="AK2" i="24"/>
  <c r="AJ45" i="24"/>
  <c r="S45" i="24"/>
  <c r="T45" i="24" s="1"/>
  <c r="U45" i="24" s="1"/>
  <c r="V45" i="24" s="1"/>
  <c r="W45" i="24" s="1"/>
  <c r="X45" i="24" s="1"/>
  <c r="Y45" i="24" s="1"/>
  <c r="Z45" i="24" s="1"/>
  <c r="AA45" i="24" s="1"/>
  <c r="AB45" i="24" s="1"/>
  <c r="AC45" i="24" s="1"/>
  <c r="AD45" i="24" s="1"/>
  <c r="AE45" i="24" s="1"/>
  <c r="AF45" i="24" s="1"/>
  <c r="AG45" i="24" s="1"/>
  <c r="AH45" i="24" s="1"/>
  <c r="AI45" i="24" s="1"/>
  <c r="AJ70" i="24"/>
  <c r="P70" i="24"/>
  <c r="Q70" i="24" s="1"/>
  <c r="R70" i="24" s="1"/>
  <c r="S70" i="24" s="1"/>
  <c r="T70" i="24" s="1"/>
  <c r="U70" i="24" s="1"/>
  <c r="V70" i="24" s="1"/>
  <c r="W70" i="24" s="1"/>
  <c r="X70" i="24" s="1"/>
  <c r="Y70" i="24" s="1"/>
  <c r="Z70" i="24" s="1"/>
  <c r="AA70" i="24" s="1"/>
  <c r="AB70" i="24" s="1"/>
  <c r="AC70" i="24" s="1"/>
  <c r="AD70" i="24" s="1"/>
  <c r="AE70" i="24" s="1"/>
  <c r="AF70" i="24" s="1"/>
  <c r="AG70" i="24" s="1"/>
  <c r="AH70" i="24" s="1"/>
  <c r="AI70" i="24" s="1"/>
  <c r="AJ48" i="24"/>
  <c r="AJ57" i="24"/>
  <c r="Q57" i="24"/>
  <c r="R57" i="24" s="1"/>
  <c r="S57" i="24" s="1"/>
  <c r="T57" i="24" s="1"/>
  <c r="U57" i="24" s="1"/>
  <c r="V57" i="24" s="1"/>
  <c r="W57" i="24" s="1"/>
  <c r="X57" i="24" s="1"/>
  <c r="Y57" i="24" s="1"/>
  <c r="Z57" i="24" s="1"/>
  <c r="AA57" i="24" s="1"/>
  <c r="AB57" i="24" s="1"/>
  <c r="AC57" i="24" s="1"/>
  <c r="AD57" i="24" s="1"/>
  <c r="AE57" i="24" s="1"/>
  <c r="AF57" i="24" s="1"/>
  <c r="AG57" i="24" s="1"/>
  <c r="AH57" i="24" s="1"/>
  <c r="AI57" i="24" s="1"/>
  <c r="P77" i="24"/>
  <c r="Q77" i="24" s="1"/>
  <c r="R77" i="24" s="1"/>
  <c r="S77" i="24" s="1"/>
  <c r="T77" i="24" s="1"/>
  <c r="U77" i="24" s="1"/>
  <c r="V77" i="24" s="1"/>
  <c r="W77" i="24" s="1"/>
  <c r="X77" i="24" s="1"/>
  <c r="Y77" i="24" s="1"/>
  <c r="Z77" i="24" s="1"/>
  <c r="AA77" i="24" s="1"/>
  <c r="AB77" i="24" s="1"/>
  <c r="AC77" i="24" s="1"/>
  <c r="AD77" i="24" s="1"/>
  <c r="AE77" i="24" s="1"/>
  <c r="AF77" i="24" s="1"/>
  <c r="AG77" i="24" s="1"/>
  <c r="AH77" i="24" s="1"/>
  <c r="AI77" i="24" s="1"/>
  <c r="AJ77" i="24"/>
  <c r="V44" i="24"/>
  <c r="W44" i="24" s="1"/>
  <c r="X44" i="24" s="1"/>
  <c r="Y44" i="24" s="1"/>
  <c r="Z44" i="24" s="1"/>
  <c r="AA44" i="24" s="1"/>
  <c r="AB44" i="24" s="1"/>
  <c r="AC44" i="24" s="1"/>
  <c r="AD44" i="24" s="1"/>
  <c r="AE44" i="24" s="1"/>
  <c r="AF44" i="24" s="1"/>
  <c r="AG44" i="24" s="1"/>
  <c r="AH44" i="24" s="1"/>
  <c r="AI44" i="24" s="1"/>
  <c r="AJ44" i="24"/>
  <c r="Q67" i="24"/>
  <c r="R67" i="24" s="1"/>
  <c r="S67" i="24" s="1"/>
  <c r="T67" i="24" s="1"/>
  <c r="U67" i="24" s="1"/>
  <c r="V67" i="24" s="1"/>
  <c r="W67" i="24" s="1"/>
  <c r="X67" i="24" s="1"/>
  <c r="Y67" i="24" s="1"/>
  <c r="Z67" i="24" s="1"/>
  <c r="AA67" i="24" s="1"/>
  <c r="AB67" i="24" s="1"/>
  <c r="AC67" i="24" s="1"/>
  <c r="AD67" i="24" s="1"/>
  <c r="AE67" i="24" s="1"/>
  <c r="AF67" i="24" s="1"/>
  <c r="AG67" i="24" s="1"/>
  <c r="AH67" i="24" s="1"/>
  <c r="AI67" i="24" s="1"/>
  <c r="AJ82" i="24"/>
  <c r="O82" i="24"/>
  <c r="P82" i="24" s="1"/>
  <c r="Q82" i="24" s="1"/>
  <c r="R82" i="24" s="1"/>
  <c r="S82" i="24" s="1"/>
  <c r="T82" i="24" s="1"/>
  <c r="U82" i="24" s="1"/>
  <c r="V82" i="24" s="1"/>
  <c r="W82" i="24" s="1"/>
  <c r="X82" i="24" s="1"/>
  <c r="Y82" i="24" s="1"/>
  <c r="Z82" i="24" s="1"/>
  <c r="AA82" i="24" s="1"/>
  <c r="AB82" i="24" s="1"/>
  <c r="AC82" i="24" s="1"/>
  <c r="AD82" i="24" s="1"/>
  <c r="AE82" i="24" s="1"/>
  <c r="AF82" i="24" s="1"/>
  <c r="AG82" i="24" s="1"/>
  <c r="AH82" i="24" s="1"/>
  <c r="AI82" i="24" s="1"/>
  <c r="N85" i="24"/>
  <c r="O85" i="24" s="1"/>
  <c r="P85" i="24" s="1"/>
  <c r="Q85" i="24" s="1"/>
  <c r="R85" i="24" s="1"/>
  <c r="S85" i="24" s="1"/>
  <c r="T85" i="24" s="1"/>
  <c r="U85" i="24" s="1"/>
  <c r="V85" i="24" s="1"/>
  <c r="W85" i="24" s="1"/>
  <c r="X85" i="24" s="1"/>
  <c r="Y85" i="24" s="1"/>
  <c r="Z85" i="24" s="1"/>
  <c r="AA85" i="24" s="1"/>
  <c r="AB85" i="24" s="1"/>
  <c r="AC85" i="24" s="1"/>
  <c r="AD85" i="24" s="1"/>
  <c r="AE85" i="24" s="1"/>
  <c r="AF85" i="24" s="1"/>
  <c r="AG85" i="24" s="1"/>
  <c r="AH85" i="24" s="1"/>
  <c r="AI85" i="24" s="1"/>
  <c r="AJ49" i="24"/>
  <c r="S49" i="24"/>
  <c r="T49" i="24" s="1"/>
  <c r="U49" i="24" s="1"/>
  <c r="V49" i="24" s="1"/>
  <c r="W49" i="24" s="1"/>
  <c r="X49" i="24" s="1"/>
  <c r="Y49" i="24" s="1"/>
  <c r="Z49" i="24" s="1"/>
  <c r="AA49" i="24" s="1"/>
  <c r="AB49" i="24" s="1"/>
  <c r="AC49" i="24" s="1"/>
  <c r="AD49" i="24" s="1"/>
  <c r="AE49" i="24" s="1"/>
  <c r="AF49" i="24" s="1"/>
  <c r="AG49" i="24" s="1"/>
  <c r="AH49" i="24" s="1"/>
  <c r="AI49" i="24" s="1"/>
  <c r="R54" i="24"/>
  <c r="S54" i="24" s="1"/>
  <c r="T54" i="24" s="1"/>
  <c r="U54" i="24" s="1"/>
  <c r="V54" i="24" s="1"/>
  <c r="W54" i="24" s="1"/>
  <c r="X54" i="24" s="1"/>
  <c r="Y54" i="24" s="1"/>
  <c r="Z54" i="24" s="1"/>
  <c r="AA54" i="24" s="1"/>
  <c r="AB54" i="24" s="1"/>
  <c r="AC54" i="24" s="1"/>
  <c r="AD54" i="24" s="1"/>
  <c r="AE54" i="24" s="1"/>
  <c r="AF54" i="24" s="1"/>
  <c r="AG54" i="24" s="1"/>
  <c r="AH54" i="24" s="1"/>
  <c r="AI54" i="24" s="1"/>
  <c r="AJ54" i="24"/>
  <c r="P76" i="24"/>
  <c r="Q76" i="24" s="1"/>
  <c r="R76" i="24" s="1"/>
  <c r="S76" i="24" s="1"/>
  <c r="T76" i="24" s="1"/>
  <c r="U76" i="24" s="1"/>
  <c r="V76" i="24" s="1"/>
  <c r="W76" i="24" s="1"/>
  <c r="X76" i="24" s="1"/>
  <c r="Y76" i="24" s="1"/>
  <c r="Z76" i="24" s="1"/>
  <c r="AA76" i="24" s="1"/>
  <c r="AB76" i="24" s="1"/>
  <c r="AC76" i="24" s="1"/>
  <c r="AD76" i="24" s="1"/>
  <c r="AE76" i="24" s="1"/>
  <c r="AF76" i="24" s="1"/>
  <c r="AG76" i="24" s="1"/>
  <c r="AH76" i="24" s="1"/>
  <c r="AI76" i="24" s="1"/>
  <c r="AJ76" i="24"/>
  <c r="F2" i="28" l="1"/>
  <c r="O2" i="28"/>
  <c r="G2" i="28"/>
  <c r="J4" i="28"/>
  <c r="W2" i="27"/>
  <c r="X4" i="27"/>
  <c r="X2" i="27" s="1"/>
  <c r="N4" i="27"/>
  <c r="M2" i="27"/>
  <c r="M4" i="26"/>
  <c r="J2" i="26"/>
  <c r="K5" i="26"/>
  <c r="T5" i="25"/>
  <c r="J4" i="25"/>
  <c r="I2" i="25"/>
  <c r="N2" i="24"/>
  <c r="O4" i="24"/>
  <c r="B2" i="2"/>
  <c r="AQ2" i="2"/>
  <c r="AP2" i="2"/>
  <c r="AO2" i="2"/>
  <c r="AN2" i="2"/>
  <c r="AM2" i="2"/>
  <c r="AL2" i="2"/>
  <c r="AK2" i="2"/>
  <c r="AJ2" i="2"/>
  <c r="AH2" i="2"/>
  <c r="AG2" i="2"/>
  <c r="AF2" i="2"/>
  <c r="AE2" i="2"/>
  <c r="AD2" i="2"/>
  <c r="AC2" i="2"/>
  <c r="AA2" i="2"/>
  <c r="Z2" i="2"/>
  <c r="Y2" i="2"/>
  <c r="X2" i="2"/>
  <c r="W2" i="2"/>
  <c r="V2" i="2"/>
  <c r="U2" i="2"/>
  <c r="T2" i="2"/>
  <c r="S2" i="2"/>
  <c r="R2" i="2"/>
  <c r="P2" i="2"/>
  <c r="N2" i="2"/>
  <c r="M2" i="2"/>
  <c r="I2" i="2"/>
  <c r="H2" i="2"/>
  <c r="G2" i="2"/>
  <c r="F2" i="2"/>
  <c r="E2" i="2"/>
  <c r="D2" i="2"/>
  <c r="C2" i="2"/>
  <c r="A2" i="2"/>
  <c r="AI97" i="2"/>
  <c r="R4" i="28" l="1"/>
  <c r="J2" i="28"/>
  <c r="P2" i="28"/>
  <c r="N2" i="27"/>
  <c r="O4" i="27"/>
  <c r="L5" i="26"/>
  <c r="K2" i="26"/>
  <c r="N4" i="26"/>
  <c r="U5" i="25"/>
  <c r="J2" i="25"/>
  <c r="K4" i="25"/>
  <c r="O2" i="24"/>
  <c r="P4" i="24"/>
  <c r="H4" i="23"/>
  <c r="H3" i="23"/>
  <c r="H2" i="23"/>
  <c r="I4" i="23"/>
  <c r="J4" i="23"/>
  <c r="I3" i="23"/>
  <c r="I2" i="23"/>
  <c r="Q2" i="28" l="1"/>
  <c r="R2" i="28" s="1"/>
  <c r="P4" i="27"/>
  <c r="O2" i="27"/>
  <c r="O4" i="26"/>
  <c r="M5" i="26"/>
  <c r="L2" i="26"/>
  <c r="V5" i="25"/>
  <c r="K2" i="25"/>
  <c r="L4" i="25"/>
  <c r="Q4" i="24"/>
  <c r="P2" i="24"/>
  <c r="D5" i="23"/>
  <c r="E5" i="23"/>
  <c r="C5" i="23"/>
  <c r="F5" i="23" s="1"/>
  <c r="F3" i="23"/>
  <c r="F4" i="23"/>
  <c r="F2" i="23"/>
  <c r="Q4" i="27" l="1"/>
  <c r="P2" i="27"/>
  <c r="P4" i="26"/>
  <c r="N5" i="26"/>
  <c r="M2" i="26"/>
  <c r="W5" i="25"/>
  <c r="L2" i="25"/>
  <c r="M4" i="25"/>
  <c r="R4" i="24"/>
  <c r="Q2" i="24"/>
  <c r="D8" i="21"/>
  <c r="C8" i="21"/>
  <c r="R4" i="27" l="1"/>
  <c r="Q2" i="27"/>
  <c r="O5" i="26"/>
  <c r="N2" i="26"/>
  <c r="Q4" i="26"/>
  <c r="X5" i="25"/>
  <c r="N4" i="25"/>
  <c r="M2" i="25"/>
  <c r="S4" i="24"/>
  <c r="R2" i="24"/>
  <c r="E8" i="21"/>
  <c r="S4" i="27" l="1"/>
  <c r="R2" i="27"/>
  <c r="P5" i="26"/>
  <c r="O2" i="26"/>
  <c r="R4" i="26"/>
  <c r="Y5" i="25"/>
  <c r="N2" i="25"/>
  <c r="O4" i="25"/>
  <c r="S2" i="24"/>
  <c r="T4" i="24"/>
  <c r="D7" i="20"/>
  <c r="C7" i="20"/>
  <c r="T4" i="27" l="1"/>
  <c r="T2" i="27" s="1"/>
  <c r="S2" i="27"/>
  <c r="Q5" i="26"/>
  <c r="P2" i="26"/>
  <c r="S4" i="26"/>
  <c r="P4" i="25"/>
  <c r="O2" i="25"/>
  <c r="T2" i="24"/>
  <c r="U4" i="24"/>
  <c r="E7" i="20"/>
  <c r="R5" i="26" l="1"/>
  <c r="Q2" i="26"/>
  <c r="T4" i="26"/>
  <c r="Q4" i="25"/>
  <c r="P2" i="25"/>
  <c r="V4" i="24"/>
  <c r="U2" i="24"/>
  <c r="C7" i="18"/>
  <c r="D7" i="18"/>
  <c r="S5" i="26" l="1"/>
  <c r="R2" i="26"/>
  <c r="U4" i="26"/>
  <c r="Q2" i="25"/>
  <c r="R4" i="25"/>
  <c r="W4" i="24"/>
  <c r="V2" i="24"/>
  <c r="E7" i="18"/>
  <c r="T5" i="26" l="1"/>
  <c r="S2" i="26"/>
  <c r="V4" i="26"/>
  <c r="S4" i="25"/>
  <c r="R2" i="25"/>
  <c r="X4" i="24"/>
  <c r="W2" i="24"/>
  <c r="D7" i="17"/>
  <c r="C7" i="17"/>
  <c r="W4" i="26" l="1"/>
  <c r="X4" i="26" s="1"/>
  <c r="Y4" i="26" s="1"/>
  <c r="U5" i="26"/>
  <c r="T2" i="26"/>
  <c r="T4" i="25"/>
  <c r="S2" i="25"/>
  <c r="Y4" i="24"/>
  <c r="X2" i="24"/>
  <c r="E7" i="17"/>
  <c r="Z4" i="26" l="1"/>
  <c r="V5" i="26"/>
  <c r="U2" i="26"/>
  <c r="U4" i="25"/>
  <c r="T2" i="25"/>
  <c r="Y2" i="24"/>
  <c r="Z4" i="24"/>
  <c r="C7" i="16"/>
  <c r="D7" i="16"/>
  <c r="AA4" i="26" l="1"/>
  <c r="W5" i="26"/>
  <c r="V2" i="26"/>
  <c r="V4" i="25"/>
  <c r="U2" i="25"/>
  <c r="AA4" i="24"/>
  <c r="Z2" i="24"/>
  <c r="E7" i="16"/>
  <c r="AB4" i="26" l="1"/>
  <c r="AC4" i="26" s="1"/>
  <c r="X5" i="26"/>
  <c r="W2" i="26"/>
  <c r="W4" i="25"/>
  <c r="V2" i="25"/>
  <c r="AB4" i="24"/>
  <c r="AA2" i="24"/>
  <c r="C6" i="15"/>
  <c r="D6" i="15"/>
  <c r="AD4" i="26" l="1"/>
  <c r="X2" i="26"/>
  <c r="Y5" i="26"/>
  <c r="X4" i="25"/>
  <c r="W2" i="25"/>
  <c r="AC4" i="24"/>
  <c r="AB2" i="24"/>
  <c r="E6" i="15"/>
  <c r="AE4" i="26" l="1"/>
  <c r="Z5" i="26"/>
  <c r="Y2" i="26"/>
  <c r="Y4" i="25"/>
  <c r="Y2" i="25" s="1"/>
  <c r="X2" i="25"/>
  <c r="AD4" i="24"/>
  <c r="AJ4" i="24"/>
  <c r="AJ2" i="24" s="1"/>
  <c r="AC2" i="24"/>
  <c r="D7" i="14"/>
  <c r="D11" i="14" s="1"/>
  <c r="C11" i="14"/>
  <c r="AA5" i="26" l="1"/>
  <c r="Z2" i="26"/>
  <c r="AE4" i="24"/>
  <c r="AF4" i="24" s="1"/>
  <c r="AD2" i="24"/>
  <c r="E11" i="14"/>
  <c r="AB5" i="26" l="1"/>
  <c r="AA2" i="26"/>
  <c r="AE2" i="24"/>
  <c r="D11" i="12"/>
  <c r="C11" i="12"/>
  <c r="AB2" i="26" l="1"/>
  <c r="AC5" i="26"/>
  <c r="AF2" i="24"/>
  <c r="AG4" i="24"/>
  <c r="E11" i="12"/>
  <c r="F11" i="12" s="1"/>
  <c r="AD5" i="26" l="1"/>
  <c r="AC2" i="26"/>
  <c r="AG2" i="24"/>
  <c r="AH4" i="24"/>
  <c r="Q11" i="2"/>
  <c r="Q13" i="2"/>
  <c r="O6" i="2"/>
  <c r="O5" i="2"/>
  <c r="O4" i="2"/>
  <c r="AE5" i="26" l="1"/>
  <c r="AE2" i="26" s="1"/>
  <c r="AD2" i="26"/>
  <c r="AH2" i="24"/>
  <c r="AI4" i="24"/>
  <c r="AI2" i="24" s="1"/>
  <c r="O2" i="2"/>
  <c r="Q2" i="2"/>
  <c r="F21" i="8" l="1"/>
  <c r="AI7" i="2" l="1"/>
  <c r="AI14" i="2" l="1"/>
  <c r="D7" i="7" l="1"/>
  <c r="AI9" i="2" l="1"/>
  <c r="F9" i="8"/>
  <c r="D2" i="7" s="1"/>
  <c r="D13" i="7" l="1"/>
  <c r="D14" i="7" s="1"/>
  <c r="D5" i="7"/>
  <c r="D4" i="7"/>
  <c r="AI12" i="2"/>
  <c r="D3" i="7"/>
  <c r="D11" i="7" l="1"/>
  <c r="D17" i="7" s="1"/>
  <c r="AA11" i="3"/>
  <c r="Z11" i="3"/>
  <c r="Y11" i="3"/>
  <c r="X11" i="3"/>
  <c r="W11" i="3"/>
  <c r="V11" i="3"/>
  <c r="U11" i="3"/>
  <c r="T11" i="3"/>
  <c r="S11" i="3"/>
  <c r="R11" i="3"/>
  <c r="Q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A11" i="3"/>
  <c r="AI5" i="2" l="1"/>
  <c r="AI13" i="2" l="1"/>
  <c r="AI10" i="2" l="1"/>
  <c r="AI11" i="2" l="1"/>
  <c r="AI4" i="2" l="1"/>
  <c r="AI6" i="2"/>
  <c r="AI2" i="2" l="1"/>
  <c r="J2" i="3"/>
  <c r="I2" i="3"/>
  <c r="H2" i="3"/>
  <c r="G2" i="3"/>
  <c r="F2" i="3"/>
  <c r="E2" i="3"/>
  <c r="D2" i="3"/>
  <c r="C2" i="3"/>
  <c r="B2" i="3"/>
  <c r="A2" i="3"/>
  <c r="B3" i="1" l="1"/>
  <c r="C3" i="1"/>
  <c r="D3" i="1"/>
  <c r="E3" i="1"/>
  <c r="F3" i="1"/>
  <c r="L3" i="1"/>
  <c r="M3" i="1"/>
  <c r="N3" i="1"/>
  <c r="O3" i="1"/>
  <c r="P3" i="1"/>
  <c r="Q3" i="1"/>
  <c r="R3" i="1"/>
  <c r="S3" i="1"/>
  <c r="T3" i="1"/>
  <c r="U3" i="1"/>
  <c r="A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G96" authorId="0" shapeId="0" xr:uid="{D245C594-3759-4354-A398-FF78BEF4F747}">
      <text>
        <r>
          <rPr>
            <b/>
            <sz val="9"/>
            <color indexed="81"/>
            <rFont val="Tahoma"/>
            <family val="2"/>
          </rPr>
          <t xml:space="preserve">Author:
45 ngày sau ký HĐ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4" authorId="0" shapeId="0" xr:uid="{4E2E8C43-2169-4DD9-B56D-950D3CF96D1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Tăng từ mốc 1/8/2024
tăng 6.5 lên 7tr từ 25/11/2026</t>
        </r>
      </text>
    </comment>
    <comment ref="D5" authorId="0" shapeId="0" xr:uid="{389C9BC3-279A-4203-85C6-89B23D37180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tăng 5tr lên 7tr từ 01012026</t>
        </r>
      </text>
    </comment>
    <comment ref="D6" authorId="0" shapeId="0" xr:uid="{6A04A084-8B19-44CA-9DCF-7B78B33187B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tăng từ 5.250.000 lên 5.875.000 từ kỳ thanh toán 30/10/2025. Đồng thời gia hạn 5 năm</t>
        </r>
      </text>
    </comment>
    <comment ref="D9" authorId="0" shapeId="0" xr:uid="{A9FB7DD3-193F-4B34-A447-55B1C259C03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thanh toán chênh lệch 3.550.685 từ 01/10/2025 đến 14/02/2026. Tăng giá từ 7.5 lên 8.3 sau khi Mobi vào.</t>
        </r>
      </text>
    </comment>
    <comment ref="O16" authorId="0" shapeId="0" xr:uid="{D1FE000D-D7A2-48DE-B654-D2EAE9C4C1C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Chuyển trước từ 25/2/2023
Nên đến 25/11/2023 mới chuyển. Đã báo chủ nhà</t>
        </r>
      </text>
    </comment>
    <comment ref="D23" authorId="0" shapeId="0" xr:uid="{918F19F3-87E9-4730-B6DC-51703B4E663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Tính 6tr lên 7tr tử ngày 08/12/2025 đến 07082026. Đã CK bù 8tr</t>
        </r>
      </text>
    </comment>
    <comment ref="D29" authorId="0" shapeId="0" xr:uid="{A7C8FD1C-367C-4988-B649-B39F3BB2D85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5tr lên 7tr từ ngày 01012026
</t>
        </r>
      </text>
    </comment>
    <comment ref="T29" authorId="0" shapeId="0" xr:uid="{AB80FCFB-737C-4A9D-92CA-EAA1726FE27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RST lên giá 7tr/tháng
</t>
        </r>
      </text>
    </comment>
    <comment ref="N37" authorId="0" shapeId="0" xr:uid="{0E580FBF-FBDC-430D-BD76-F0AF7934DCC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 Dũng đàm phán tt được từ 01122023, vì vậy ngày tt tiếp theo là 01/06/2024
</t>
        </r>
      </text>
    </comment>
    <comment ref="O37" authorId="0" shapeId="0" xr:uid="{47D6342F-201C-4A83-A86C-13309D31BFF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 Dũng đàm phán được tt từ 01122023 đến 31052024</t>
        </r>
      </text>
    </comment>
    <comment ref="K39" authorId="0" shapeId="0" xr:uid="{7ABEE82E-666E-421B-A4D2-7F869AAF7D4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Cần ký lại PL 6 tháng</t>
        </r>
      </text>
    </comment>
    <comment ref="D65" authorId="0" shapeId="0" xr:uid="{83BD4F9D-FE88-43F2-8386-449B80C38C0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Tăng 5tr lên 7tr từ ngày 01 tháng 10 năm 2025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4" authorId="0" shapeId="0" xr:uid="{CD469296-9AB6-4AF1-9FCD-9E36120E8AC2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Giảm 30% so giá 8.3tr ban đầu</t>
        </r>
      </text>
    </comment>
    <comment ref="C15" authorId="0" shapeId="0" xr:uid="{4598195B-FDD6-44BA-9BF1-359D336871E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Giảm 20% so với giá ban đầu 11.5tr</t>
        </r>
      </text>
    </comment>
    <comment ref="C20" authorId="0" shapeId="0" xr:uid="{E4FD0575-78F2-4181-A6E3-64113CF2CB76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Giảm 20% so với giá thuê ban đầu 10tr/tháng
</t>
        </r>
      </text>
    </comment>
    <comment ref="H55" authorId="0" shapeId="0" xr:uid="{E338F18C-7E52-4B19-A114-941D13F6C25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bị đứt quảng
+13/6/2024 đến 12/9/2024
+ 13/9/2024 đến 12/3/2025</t>
        </r>
      </text>
    </comment>
    <comment ref="C57" authorId="0" shapeId="0" xr:uid="{720C391F-6F9E-44D5-9532-36F67F1538D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6.6 về 6</t>
        </r>
      </text>
    </comment>
    <comment ref="C58" authorId="0" shapeId="0" xr:uid="{301685DB-1CB8-49FB-AA4D-F01885FB713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6.7 về 5.7 --&gt; 6.3</t>
        </r>
      </text>
    </comment>
    <comment ref="C60" authorId="0" shapeId="0" xr:uid="{54E1F832-5798-4265-BF71-1CDB274CEEB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6.7 về 5.7</t>
        </r>
      </text>
    </comment>
    <comment ref="B62" authorId="0" shapeId="0" xr:uid="{8879DDCE-A508-422B-8388-A940EDA89275}">
      <text>
        <r>
          <rPr>
            <b/>
            <sz val="9"/>
            <color indexed="81"/>
            <rFont val="Tahoma"/>
            <family val="2"/>
          </rPr>
          <t>Administrator:Trạm anh Dũng</t>
        </r>
      </text>
    </comment>
  </commentList>
</comments>
</file>

<file path=xl/sharedStrings.xml><?xml version="1.0" encoding="utf-8"?>
<sst xmlns="http://schemas.openxmlformats.org/spreadsheetml/2006/main" count="3490" uniqueCount="1302">
  <si>
    <t>filter</t>
  </si>
  <si>
    <t>ViNA</t>
  </si>
  <si>
    <t>Mobi</t>
  </si>
  <si>
    <t>mã tồn Viettel</t>
  </si>
  <si>
    <t>Q/H</t>
  </si>
  <si>
    <t>Đối tác đang giao</t>
  </si>
  <si>
    <t>Nearest site VINA</t>
  </si>
  <si>
    <t>Loại trạm</t>
  </si>
  <si>
    <t>Distance (meters)</t>
  </si>
  <si>
    <t>Làm việc Vina để Vina qui hoạch</t>
  </si>
  <si>
    <t>Gần trạm đã qui hoạch Vina</t>
  </si>
  <si>
    <t>Nearest site Mobi</t>
  </si>
  <si>
    <t>Làm việc Mobi để Mobi qui hoạch</t>
  </si>
  <si>
    <t>Gần trạm đã qui hoạch Mobi</t>
  </si>
  <si>
    <t>HCM4597</t>
  </si>
  <si>
    <t>H.Hóc Môn</t>
  </si>
  <si>
    <t>TDHT MOBI</t>
  </si>
  <si>
    <t>PS</t>
  </si>
  <si>
    <t>HHM097</t>
  </si>
  <si>
    <t>SGN0362</t>
  </si>
  <si>
    <t>XHH HTC</t>
  </si>
  <si>
    <t>HCM154_89</t>
  </si>
  <si>
    <t>Newsite</t>
  </si>
  <si>
    <t>HHM083</t>
  </si>
  <si>
    <t>Stt</t>
  </si>
  <si>
    <t>Cường</t>
  </si>
  <si>
    <t>Cường xem thử</t>
  </si>
  <si>
    <t>Long thuê</t>
  </si>
  <si>
    <t>Lat thuê</t>
  </si>
  <si>
    <t>SGN0008</t>
  </si>
  <si>
    <t>SGN0341</t>
  </si>
  <si>
    <t>XHH VĨNH XUÂN</t>
  </si>
  <si>
    <t>Q.Bình Thạnh</t>
  </si>
  <si>
    <t>ACT</t>
  </si>
  <si>
    <t>giá thuê</t>
  </si>
  <si>
    <t>Địa chỉ</t>
  </si>
  <si>
    <t>Chủ nhà + SĐT</t>
  </si>
  <si>
    <t>9/9D ấp Xuân Thới Đông 1 xã Xuân Thới Đông Hóc Môn</t>
  </si>
  <si>
    <t>Nguyễn Chí Công_0918398477</t>
  </si>
  <si>
    <t>5.250.000</t>
  </si>
  <si>
    <t>Cao nhà (m)</t>
  </si>
  <si>
    <t>Cao cột (m)</t>
  </si>
  <si>
    <t>33/4U Mỹ Hòa 3 Tân Xuân Hóc môn</t>
  </si>
  <si>
    <t>5.000.000</t>
  </si>
  <si>
    <t>CSHT_HCM_03876</t>
  </si>
  <si>
    <t>58/15E ấp Tiền Lân 1 Bà Điểm Hóc Môn</t>
  </si>
  <si>
    <t>Nguyễn Phùng Thành_0983590176</t>
  </si>
  <si>
    <t>6 or 9 , chờ chốt lại</t>
  </si>
  <si>
    <t>8.000.000</t>
  </si>
  <si>
    <t>2 cóc 5m</t>
  </si>
  <si>
    <t>dự kiến</t>
  </si>
  <si>
    <t>Lê Minh Tiến_0937738721</t>
  </si>
  <si>
    <t>SGN0183</t>
  </si>
  <si>
    <t>Ghi chú</t>
  </si>
  <si>
    <t>Chủ nhà Hủy</t>
  </si>
  <si>
    <t>37/2C ấp Mỹ Hòa 3 xã Tân Xuân huyện Hóc Môn</t>
  </si>
  <si>
    <t>Hoàng Đình Cường_0938200908</t>
  </si>
  <si>
    <t>giá báo chị Trang</t>
  </si>
  <si>
    <t>6.000.000</t>
  </si>
  <si>
    <t>6.250.000</t>
  </si>
  <si>
    <t>649/27/11 Điện Biên Phủ P25 Bình Thạnh</t>
  </si>
  <si>
    <t>4.000.000</t>
  </si>
  <si>
    <t>4.500.000</t>
  </si>
  <si>
    <t>1 cóc 5m</t>
  </si>
  <si>
    <t>HCM4041</t>
  </si>
  <si>
    <t>7.000.000</t>
  </si>
  <si>
    <t>Q.Gò Vấp</t>
  </si>
  <si>
    <t>Mã tồn Viettel</t>
  </si>
  <si>
    <t>Số HĐ với chủ nhà</t>
  </si>
  <si>
    <t>4597-VT/DKV/2021</t>
  </si>
  <si>
    <t>0362-VT/DKV/2021</t>
  </si>
  <si>
    <t>0008-VT/DKV/2021</t>
  </si>
  <si>
    <t>0643-11-VT/DKV/2021</t>
  </si>
  <si>
    <t>234/53/4 Lê Đức Thọ, Phường 06, Quận Gò vấp, Tp.HCM</t>
  </si>
  <si>
    <t xml:space="preserve">Đỗ Thanh Hương        </t>
  </si>
  <si>
    <t>Nguyễn Tuấn Khanh_0913883886</t>
  </si>
  <si>
    <t>chu kỳ thanh toán</t>
  </si>
  <si>
    <t>3 tháng</t>
  </si>
  <si>
    <t>12/05/2021</t>
  </si>
  <si>
    <t>6 tháng</t>
  </si>
  <si>
    <t>Số TK chủ nhà</t>
  </si>
  <si>
    <t>Tên Ngân Hàng</t>
  </si>
  <si>
    <t>Chủ tài khoản</t>
  </si>
  <si>
    <t>Nguyễn Phùng Thành</t>
  </si>
  <si>
    <t>221954599</t>
  </si>
  <si>
    <t xml:space="preserve">Ngân hàng VP Bank </t>
  </si>
  <si>
    <t>Nguyễn Chí Công</t>
  </si>
  <si>
    <t>915049911500001</t>
  </si>
  <si>
    <t>Ngân hàng TMCP Nam Á – Chi nhánh Trường Chinh</t>
  </si>
  <si>
    <t>Hoàng Đình Cường</t>
  </si>
  <si>
    <t>Ngân hàng VietcomBank CN TPHCM</t>
  </si>
  <si>
    <t xml:space="preserve">0071004454681 </t>
  </si>
  <si>
    <t>Nội dung thanh toán</t>
  </si>
  <si>
    <t>Tgian thanh toán chủ nhà lần đầu</t>
  </si>
  <si>
    <t>Ngày đến hạn thanh toán tiếp theo</t>
  </si>
  <si>
    <t>SGN0005</t>
  </si>
  <si>
    <t>Nguyễn Thị Ly</t>
  </si>
  <si>
    <t>HCM4634</t>
  </si>
  <si>
    <t>24/8C Ấp Mới 1, Tân Xuân, Huyện Hóc Môn, TP Hồ Chí Minh</t>
  </si>
  <si>
    <t>Phạm Bá Thanh</t>
  </si>
  <si>
    <t>Từ khi PS nhưng k quá 3 tháng từ ngày ký HĐ</t>
  </si>
  <si>
    <t>19031400962018</t>
  </si>
  <si>
    <t>Techcombank</t>
  </si>
  <si>
    <t>4634-VT/DKV/2021</t>
  </si>
  <si>
    <t>Thửa đất số 503, tờ bản đồ số 33, địa chỉ 156/2A ấp Tân Thới 1, xã Tân Hiệp, huyện Hóc Môn Tp.HCM</t>
  </si>
  <si>
    <t>Giá Viettel Thuê</t>
  </si>
  <si>
    <t>HCM4081</t>
  </si>
  <si>
    <t>Q.Thủ Đức</t>
  </si>
  <si>
    <t>Thửa đất số 500, Tờ số 95, địa chỉ: 415B Song Hành Xa Lộ Hà Nội, KP6, P.Trường Thọ, Q.Thủ Đức TP Hồ Chí Minh</t>
  </si>
  <si>
    <t xml:space="preserve">Phạm Đức Hiển </t>
  </si>
  <si>
    <t>7.500.000</t>
  </si>
  <si>
    <t>10.900.000</t>
  </si>
  <si>
    <t>Nguyễn Tuấn Khanh</t>
  </si>
  <si>
    <t>060209529672</t>
  </si>
  <si>
    <t>Ngân hàng Sacombank</t>
  </si>
  <si>
    <t>theo thực tế PS</t>
  </si>
  <si>
    <t>4081-VT/DKV/2021</t>
  </si>
  <si>
    <t>H.Bình Chánh</t>
  </si>
  <si>
    <t>Thửa đất số 130, Tờ số bản đồ số 129, địa chỉ:206, đường số 2, Khu dân cư Phạm Văn Hai, Ấp 1, Xã Phạm Văn Hai, Huyện Bình Chánh, TP Hồ Chí Minh</t>
  </si>
  <si>
    <t>7313757</t>
  </si>
  <si>
    <t>Hoàng Thị Dung</t>
  </si>
  <si>
    <t>ACB Chi nhánh Chợ Lớn</t>
  </si>
  <si>
    <t>0739-VT/DKV/2021</t>
  </si>
  <si>
    <t>HCM1722_RRU</t>
  </si>
  <si>
    <t>VINA???</t>
  </si>
  <si>
    <t>NOK ngay cạnh</t>
  </si>
  <si>
    <t>Mobi  ???</t>
  </si>
  <si>
    <t>Chưa biết Cường gửi chưa???</t>
  </si>
  <si>
    <t>Chưa xây, ĐT đã KS</t>
  </si>
  <si>
    <t>Thửa đất số 76, tờ bản đồ số 71, địa chỉ: 57F Đường số 2, KP8, Phường Trường Thọ, Thành Phố Thủ Đức, Thành phố Hồ Chí Minh</t>
  </si>
  <si>
    <t>Thái Văn</t>
  </si>
  <si>
    <t>19037760913016</t>
  </si>
  <si>
    <t>0382-VT/DKV/2021</t>
  </si>
  <si>
    <t>5.500.000</t>
  </si>
  <si>
    <t>NOK</t>
  </si>
  <si>
    <t>a P đã gửi tọa độ mới</t>
  </si>
  <si>
    <t>HCM4600</t>
  </si>
  <si>
    <t>GVP</t>
  </si>
  <si>
    <t>Cty 32</t>
  </si>
  <si>
    <t>Vinhempich</t>
  </si>
  <si>
    <t>OK</t>
  </si>
  <si>
    <t>SGN0160</t>
  </si>
  <si>
    <t>HCM3695</t>
  </si>
  <si>
    <t>KCN Lê Minh Xuân 3</t>
  </si>
  <si>
    <t>Ngày ký HĐ Chủ nhà_trên HĐ</t>
  </si>
  <si>
    <t>2/1/2022</t>
  </si>
  <si>
    <t>03/15/2022</t>
  </si>
  <si>
    <t>6.500.000</t>
  </si>
  <si>
    <t>OK Viettel, Vina k cần tủ</t>
  </si>
  <si>
    <t>Thửa đất số 431 TBĐ số 16 220/50A/45C Xô Viết Nghệ Tĩnh, Phường 21 Quận Bình Thạnh TP.HCM</t>
  </si>
  <si>
    <t>7.700.000</t>
  </si>
  <si>
    <t>0071000075364</t>
  </si>
  <si>
    <t>Nghiêm Gia Thuận</t>
  </si>
  <si>
    <t>Vietcombank</t>
  </si>
  <si>
    <t>0341-VT/DKV/2022</t>
  </si>
  <si>
    <t>SGN0750</t>
  </si>
  <si>
    <t>Q.Tân Bình</t>
  </si>
  <si>
    <t>Thửa đất số 24, tờ bản đồ số 25 (BĐĐC-2005), địa chỉ: 343/33B Nguyễn Trọng Tuyển, Phường 01, Quận Tân Bình, Tp.Hồ Chí Minh</t>
  </si>
  <si>
    <t>7.300.000</t>
  </si>
  <si>
    <t>0071001305920</t>
  </si>
  <si>
    <t>Nguyễn Ngọc Quỳnh</t>
  </si>
  <si>
    <t>0750-VT/DKV/2022</t>
  </si>
  <si>
    <t>Gần SGN0739</t>
  </si>
  <si>
    <t>Thửa đất số 503, TBĐ số 1, P17, quận Gò vấp, địa chỉ 537/14/6 Nguyễn Oanh P17, quận Gò Vấp Tp.HCM</t>
  </si>
  <si>
    <t>Ngày ký HĐ Viettel</t>
  </si>
  <si>
    <t>Chị Nhung_0908026000</t>
  </si>
  <si>
    <t>6.200.000</t>
  </si>
  <si>
    <t>Giá MB thuê</t>
  </si>
  <si>
    <t>Giá Vina thuê</t>
  </si>
  <si>
    <t>Phạm Thị Hồng Nhung</t>
  </si>
  <si>
    <t>Sacombank</t>
  </si>
  <si>
    <t>0207-12-VT/DKV/2022</t>
  </si>
  <si>
    <t>Note</t>
  </si>
  <si>
    <t>Tiến độ xây_20032022</t>
  </si>
  <si>
    <t>hoàn thành</t>
  </si>
  <si>
    <t>Trạm đã bàn giao Viettel</t>
  </si>
  <si>
    <t>Chưa xây dựng</t>
  </si>
  <si>
    <t>3/11A ấp Tiền Lân, xã Bà Điểm, huyện Hóc Môn, Tp.HCM</t>
  </si>
  <si>
    <t>Chưa báo</t>
  </si>
  <si>
    <t>Nguyễn Thị Kim Dung_0907129636. a Thiệu 0918722043</t>
  </si>
  <si>
    <t>Trần Thị Mai Hương</t>
  </si>
  <si>
    <t>0065100013370003</t>
  </si>
  <si>
    <t>Ngân hàng cổ phần Phương Đông – OCB CN Quận 4</t>
  </si>
  <si>
    <t>2269-11-VT/DKV/2022</t>
  </si>
  <si>
    <t>HCM3871</t>
  </si>
  <si>
    <t>Chưa KS</t>
  </si>
  <si>
    <t>Nguyễn Thu Hương</t>
  </si>
  <si>
    <t>Trạm PS</t>
  </si>
  <si>
    <t>3871-VT/DKV/2022</t>
  </si>
  <si>
    <t>SGN0440</t>
  </si>
  <si>
    <t>Nguyễn Thị Loan_0918559528; a Quyền 0919690922</t>
  </si>
  <si>
    <t>0440-VT/DKV/2022</t>
  </si>
  <si>
    <t>59601049</t>
  </si>
  <si>
    <t>Nguyễn Thị Loan</t>
  </si>
  <si>
    <t>Ngân hàng ACB</t>
  </si>
  <si>
    <t>SGN0639</t>
  </si>
  <si>
    <t>Thửa đất số 548, Tờ số bản đồ số 20, địa chỉ:36/5A ấp 1, Xuân Thới Thượng, Hóc Môn Tp.HCM</t>
  </si>
  <si>
    <t>anh Hạnh_0935171170; chị Thanh  0988936320</t>
  </si>
  <si>
    <t>trạm PS hoặc không quá 3 tháng</t>
  </si>
  <si>
    <t>0639-VT/DKV/2022</t>
  </si>
  <si>
    <t>Công việc</t>
  </si>
  <si>
    <t>anh Dũng</t>
  </si>
  <si>
    <t>a Khoa</t>
  </si>
  <si>
    <t>Phụ trách</t>
  </si>
  <si>
    <t>Hỏi chỗ Mobi HCM4597 nhà anh Thành</t>
  </si>
  <si>
    <t>a Khoa + Vinh</t>
  </si>
  <si>
    <t>Vinh</t>
  </si>
  <si>
    <t>Soạn thảo các HĐ, các biên bản làm việc với chủ nhà và với Viettel</t>
  </si>
  <si>
    <t>Lấy thêm trạm, phối hợp với chị Trang một số việc, hỗ trợ thêm anh Dũng chỗ làm việc với chị Trang</t>
  </si>
  <si>
    <t>Theo dõi tiến độ chung của các trạm, cập nhật cơ sở dữ liệu chung</t>
  </si>
  <si>
    <r>
      <t>Thửa đất số 1176, Tờ số bản đồ số 58, địa chỉ: Số 2 ấp 7, Xuân Thới Thượng, Hóc Môn Tp.HCM (</t>
    </r>
    <r>
      <rPr>
        <sz val="9"/>
        <color rgb="FFFF0000"/>
        <rFont val="Calibri"/>
        <family val="2"/>
        <scheme val="minor"/>
      </rPr>
      <t>59/2/1B</t>
    </r>
    <r>
      <rPr>
        <sz val="9"/>
        <color theme="1"/>
        <rFont val="Calibri"/>
        <family val="2"/>
        <scheme val="minor"/>
      </rPr>
      <t>)_chị Loan_0918559528</t>
    </r>
  </si>
  <si>
    <t>Tiến độ, kết quả</t>
  </si>
  <si>
    <t>Với ViNa: đã đi cửa sau lên Ban, lên anh Thành
+Với Mobi: cần xúc tiến ký đc HĐ</t>
  </si>
  <si>
    <t>anh Khoa hỏi lại a Phú vụ Mobi SGN0750 có tiến triển tốt không???</t>
  </si>
  <si>
    <t>anh Khoa check lại Mobi??</t>
  </si>
  <si>
    <t>Doing</t>
  </si>
  <si>
    <t>Các khoản cần thanh toán sớm</t>
  </si>
  <si>
    <t>Ứng tạm Đông Dương</t>
  </si>
  <si>
    <t>Số tiền</t>
  </si>
  <si>
    <t>Thanh toán HCM0643-11 6 tháng</t>
  </si>
  <si>
    <t xml:space="preserve">Thanh toán SGN0341 </t>
  </si>
  <si>
    <t>Thanh toán RRU An Lộc</t>
  </si>
  <si>
    <t>Thanh toán SGN0341 cho Đức Trí</t>
  </si>
  <si>
    <t>Đang tồn quỹ</t>
  </si>
  <si>
    <t>Sắp đc thanh toán HCM0643-11</t>
  </si>
  <si>
    <t>SUM thanh toán</t>
  </si>
  <si>
    <t>Ngày Viettel nhận BGMB</t>
  </si>
  <si>
    <t>Ngày Viettel Thanh toán lần đầu</t>
  </si>
  <si>
    <t>SGN0161</t>
  </si>
  <si>
    <t>Q.Bình Tân</t>
  </si>
  <si>
    <t>Thửa đất số 535, tờ bản đồ số 234, địa chỉ: 288/19A Lê Văn Quới, Phường Bình Hưng Hòa A, Quận Bình Tân, Tp.Hồ Chí Minh</t>
  </si>
  <si>
    <t>S0161-VT/DKV/2022</t>
  </si>
  <si>
    <t>SGN0645</t>
  </si>
  <si>
    <t>Thửa đất số 512, Tờ số bản đồ số 69, địa chỉ:98/85 đường Đông Thạnh 8, ấp 4, xã Đông Thạnh, Hóc Môn, Tp.HCM.</t>
  </si>
  <si>
    <t xml:space="preserve">Trần Đại Thắng _ 
Nguyễn Thị Thế Huân_        </t>
  </si>
  <si>
    <t>#NA</t>
  </si>
  <si>
    <t>Nguyễn Phi Hiệp_0946383038</t>
  </si>
  <si>
    <t>Phạm Bá Thanh_0963058279</t>
  </si>
  <si>
    <t xml:space="preserve">Nguyễn Ngọc Quỳnh_0937442887 </t>
  </si>
  <si>
    <t>Nghiêm Gia Thuận
Trương Thụy Thiên Thảo_ 090 1358951</t>
  </si>
  <si>
    <t>STT</t>
  </si>
  <si>
    <t>MÃ TRẠM</t>
  </si>
  <si>
    <t>ĐỊA CHỈ</t>
  </si>
  <si>
    <t>LOẠI TRẠM</t>
  </si>
  <si>
    <t>Gía trị chốt Báo giá trước thuế</t>
  </si>
  <si>
    <t>Giá trị quyết toán theo thực tế thi công (trước thuế)</t>
  </si>
  <si>
    <t>Thửa đất số 69, Tờ Bản Đồ số 102, 58/15E Ấp Tiền Lân 1, Xã Bà Điểm, Huyện Hóc Môn</t>
  </si>
  <si>
    <t>trụ bum 6m (ống 114)</t>
  </si>
  <si>
    <t>37/2C ấp Mỹ Hòa 3, xã Tân Xuân, huyện Hóc Môn</t>
  </si>
  <si>
    <t>trụ bum 9m (ống 168)</t>
  </si>
  <si>
    <t>9/9D ấp Xuân Thới Đông 1, Xã Xuân Thới Đông, Huyện Hóc Môn</t>
  </si>
  <si>
    <t>SGN0382</t>
  </si>
  <si>
    <t>Thửa đất số 76, tờ bản đồ số 71, địa chỉ: 57F Đường số 2, KP8, Phường Trường Thọ, Thành Phố Thủ Đức, Thành phố Hồ Chí Minh)</t>
  </si>
  <si>
    <t>trụ bum 9m (ống 168)- dầm I300</t>
  </si>
  <si>
    <t>SGN0739</t>
  </si>
  <si>
    <t>Thửa đất 130, Tờ bản đồ só 129,địa chỉ: 206 Đường số 2, KDC Phạm Văn Hai, Ấp 1, Xã Phạm Văn Hai, Huyện Bình Chánh, TP.HCM</t>
  </si>
  <si>
    <t>trụ bum 12m (ống 168)</t>
  </si>
  <si>
    <t>HCM0207-12</t>
  </si>
  <si>
    <t>537/14/6 Nguyễn Oanh, Phường 17, Quận Gò Vấp</t>
  </si>
  <si>
    <t>Thi công</t>
  </si>
  <si>
    <t>Bản vẽ +Thẩm định</t>
  </si>
  <si>
    <t>Cty DKV đã tạm ứng theo hợp đồng 001/HĐKT/2022/DKV-IIC (100% giá trị HĐ trước thuế)</t>
  </si>
  <si>
    <t>R</t>
  </si>
  <si>
    <t>Thanh toán SGN0739</t>
  </si>
  <si>
    <t>Anh Dũng lobby Vina</t>
  </si>
  <si>
    <t>Sum quỹ</t>
  </si>
  <si>
    <t>Và mỗi AE đóng khoảng 170triệu/Người</t>
  </si>
  <si>
    <t>SGN0362 anh Khoa làm việc với Vina</t>
  </si>
  <si>
    <t>Thay Pum dài và lắp CB 63A trạm SGN0382 và dây điện AC cho quạt hút đẩy</t>
  </si>
  <si>
    <t>RRU An Lộc Anh Dũng làm việc Thanh Tra Quận</t>
  </si>
  <si>
    <t>SGN0161 Chuyển Đông Dương KS và lắp trong tháng 4 để cuối tháng 4 bàn giao</t>
  </si>
  <si>
    <t>thanh toán 008,382,0207-12, nợ lại 739</t>
  </si>
  <si>
    <t>Tiền thuê đăng thầu lên trang thầu</t>
  </si>
  <si>
    <t>Tiền kế toán quý 1 + Hóa đơn</t>
  </si>
  <si>
    <t>BGMB cho Viettel ngày 27/03/2022</t>
  </si>
  <si>
    <t>Xong</t>
  </si>
  <si>
    <t>Hỏi anh Phú khi nào triển khai HĐ đc với Mobi trạm SGN0382, SGN0750</t>
  </si>
  <si>
    <t>anh Khoa hỏi Loan lại SGN0440 dầm thép hay Betong để chốt làm sớm</t>
  </si>
  <si>
    <t>Xong, SGN0639 chờ chú trả lời</t>
  </si>
  <si>
    <t>Theo chỗ HĐ với Vina HCM0207-12 và Mobi SGN0739. Xúc tiến HĐ tổng thể với Vina</t>
  </si>
  <si>
    <t xml:space="preserve"> a Dũng báo tiếp xúc TGĐ Xuyên Á? Xem thêm khu đối diện</t>
  </si>
  <si>
    <t>Tồn SGN0739 chưa BG</t>
  </si>
  <si>
    <t>a Dũng p/h anh Huyến</t>
  </si>
  <si>
    <t>Trạm Di dời Đội xe KV3. Lấy BBLV đặt hàng chị Trang</t>
  </si>
  <si>
    <t>Trạm Quân HT Thủ Đức, đàm phán giá hoặc thuê chỗ khác. Trạm BBLV chị Trang đưa</t>
  </si>
  <si>
    <t>Theo dõi chung các trạm và thuê trạm, Thuê tiếp lô mới</t>
  </si>
  <si>
    <t>Đã giao thêm 5 trạm</t>
  </si>
  <si>
    <t>SGN0764</t>
  </si>
  <si>
    <t>Q.12</t>
  </si>
  <si>
    <t>Thửa đất số 382, Tờ số bản đồ số 20, địa chỉ:35/10H ấp 1, Xuân Thới Thượng, Hóc Môn, Tp.HCM</t>
  </si>
  <si>
    <t>Mai Văn Hữu</t>
  </si>
  <si>
    <t>S0639-VT/DKV/2022</t>
  </si>
  <si>
    <t>Thửa đất số 811, Tờ số bản đồ số 39, địa chỉ: 13, đường DHT05, phường Tân Hưng Thuận, Quận 12, Thành phố Hồ Chí Minh</t>
  </si>
  <si>
    <t>Khi trạm PS không quá 75 ngày</t>
  </si>
  <si>
    <t>Khi trạm PS không quá 3 tháng</t>
  </si>
  <si>
    <t>S0764-VT/DKV/2022</t>
  </si>
  <si>
    <t>Đã KS, chưa chốt HĐ</t>
  </si>
  <si>
    <t>Đã có bản vẽ, chưa xây dựng</t>
  </si>
  <si>
    <t>Hồ Nguyễn Thụy Thảo</t>
  </si>
  <si>
    <t>0511 000419347</t>
  </si>
  <si>
    <t>Vietcombank  - CN Quận 5</t>
  </si>
  <si>
    <t>Mai Văn Hữu_0908931177</t>
  </si>
  <si>
    <t>Sacombank CN Hóc Môn</t>
  </si>
  <si>
    <t>060195282024</t>
  </si>
  <si>
    <t>7662537</t>
  </si>
  <si>
    <t>5.300.000</t>
  </si>
  <si>
    <t>SGN0382, a Dũng a Khoa song kiếm</t>
  </si>
  <si>
    <t>anh Dũng + anh Khoa</t>
  </si>
  <si>
    <t>Anh Khoa đưa Đông Dương đi khảo sát, ra bản vẽ lên KH thi công có Vina. Viettel Mini cột 12m</t>
  </si>
  <si>
    <t>SGN0639, SGN0645 Vinh hỏi anh Vĩnh chốt ok hay không</t>
  </si>
  <si>
    <t>A Khoa</t>
  </si>
  <si>
    <t>BV 175 anh Khoa đặt lịch Đông Dương KS</t>
  </si>
  <si>
    <t>Trạm SGN0764 anh Khoa gửi Đông Dương làm PM 1.5m*1.5m (Loan đang báo giá PM Mini)</t>
  </si>
  <si>
    <t>HCM4644</t>
  </si>
  <si>
    <t>Thửa đất số 591, Tờ số bản đồ số 30, địa chỉ: K-11 ấp Mỹ Hòa 4, Xuân Thới Đông, Hóc Môn Tp.HCM</t>
  </si>
  <si>
    <t>Anh Tân_0908310220</t>
  </si>
  <si>
    <t>Nguyễn Thu Hương_0937755331</t>
  </si>
  <si>
    <t>HCM4644 anh Khoa gửi anh Dũng KS 2 mạng, Cột 12m, Viettel Mini + Vina</t>
  </si>
  <si>
    <t>A Vinh</t>
  </si>
  <si>
    <t xml:space="preserve">SGN0750: anh Khoa chốt chỗ Mobi, Ký được HĐ với Mobi không? </t>
  </si>
  <si>
    <t>Những trạm đã ký HĐ, Đông Dương chưa có KH thực hiện, cần thực hiện gấp theo thứ tự ưu tiên như sau: 
1/ SGN0440, Có Vina. Cần làm gấp, nhà 13m cột 12m. Đang làm
2/ SGN0764 cột 12m, PM 1.5 * 1.5
3/ SGN0161. Nhà cao 25m, 2 cóc 5m, PM 2.5*2.5
4/ BV 175 2 cột 5m
5/  HCM4634, Cột 12m nhà 11m
6/ SGN0756. Có Mobi. Cột 15m. Cải tạo 2 phòng máy
7/ Khảo sát và thiết kế HCM3871_GVP
8/ KS thiết kế HCM4644</t>
  </si>
  <si>
    <t>Trạm BV Xuyên Á, Trạm Nông nghiệp CCI, Trạm Thủ Đức, trạm Q02</t>
  </si>
  <si>
    <t>Xong 161, tồn Xuyên Á, Nông nghiệp CCI, Q09, Q02</t>
  </si>
  <si>
    <t>Dí anh Huyến nhận bàn giao SGN0739, HCM0207-12</t>
  </si>
  <si>
    <t>A Dũng dí anh Tân HCM4644 ký HĐ</t>
  </si>
  <si>
    <t>Anh Dũng hỏi anh Hùng trên Ban xem ký HĐ với Vina OK không để triển khai BV 175</t>
  </si>
  <si>
    <t>1/ 2 RRU khó thuê, không có lợi nhuận, trả Viettel TĐHT với nhà mạng --&gt; Vinh trả lại chị Trang
2/ SGN0645 đã có BBLV, chủ nhà OK. Sang tuần chốt HĐ. 3/ SGN0639 Chờ anh Vĩnh trả lời</t>
  </si>
  <si>
    <t>Thuê 2 RRU + 2 Macro SGN0639, SGN0645. Thuê các trạm ViNa Gia định</t>
  </si>
  <si>
    <t>Huỳnh Kim Thân_0913998436</t>
  </si>
  <si>
    <t>106002279059</t>
  </si>
  <si>
    <t>Nguyễn Đăng Tân</t>
  </si>
  <si>
    <t>NH Vietin Bank</t>
  </si>
  <si>
    <t>H4644-VT/DKV/2022</t>
  </si>
  <si>
    <t>Thửa đất số 528, Tờ số bản đồ số 92, địa chỉ: 20 đường TK1, ấp Tiền Lân, xã Bà Điểm, Hóc Môn, Tp.HCM</t>
  </si>
  <si>
    <t>NA</t>
  </si>
  <si>
    <t>Phạm Vũ Hạ Long_0949555248</t>
  </si>
  <si>
    <t>106870603289</t>
  </si>
  <si>
    <t>Nguyễn Thị Thu</t>
  </si>
  <si>
    <t>NH Vietin Bank CN Bắc SG</t>
  </si>
  <si>
    <t>590-359-VN/DKV/2022</t>
  </si>
  <si>
    <t>SGN0443</t>
  </si>
  <si>
    <t>Anh Phương_0903318582; chị Thủy_0906318582</t>
  </si>
  <si>
    <t>6.600.000</t>
  </si>
  <si>
    <t>Thửa đất 1381 , tờ bản đồ số 61, 86/12 ấp 7, Xuân Thới Thượng Hóc Môn, Tp.HCM</t>
  </si>
  <si>
    <t>HCM0629-11</t>
  </si>
  <si>
    <t>S0443-VT/DKV/2022</t>
  </si>
  <si>
    <t>HCM0629-11-VT/DKV/2022</t>
  </si>
  <si>
    <t>Tòa nhà Bệnh viện Quân Y 175, 786 Nguyễn Kiệm, P.03, Q.Gò Vấp, Tp.HCM (Khu nhà Công vụ số 1).</t>
  </si>
  <si>
    <t>Hoàng Văn Dũng_Trưởng phòng Tham mưu Hành chính – Bệnh viện Quân Y 175</t>
  </si>
  <si>
    <t>Tiền mặt</t>
  </si>
  <si>
    <t>0504-VN/DKV/2022</t>
  </si>
  <si>
    <t>Ngày ViNa nhận BGMB</t>
  </si>
  <si>
    <t>Ngày Mobi nhận BGMB</t>
  </si>
  <si>
    <t>Macro</t>
  </si>
  <si>
    <t>RRU</t>
  </si>
  <si>
    <t>Ngày Viettel PS</t>
  </si>
  <si>
    <t>Ngày ViNa PS</t>
  </si>
  <si>
    <t>Ngày Mobi PS</t>
  </si>
  <si>
    <t>Ngày ký HĐ ViNa</t>
  </si>
  <si>
    <t>Ngày ViNa Thanh toán lần đầu</t>
  </si>
  <si>
    <t>Ngày ký HĐ Mobi</t>
  </si>
  <si>
    <t>Ngày Mobi Thanh toán lần đầu</t>
  </si>
  <si>
    <t>giá thuê chủ nhà</t>
  </si>
  <si>
    <t>Mã trạm</t>
  </si>
  <si>
    <t>Thửa đất số 18, Tờ số bản đồ 260, địa chỉ: 112/23 Bùi Quang Là P.12 Q.Gò Vấp Tp.HCM.</t>
  </si>
  <si>
    <t>Trần Quang Vũ_0973716888</t>
  </si>
  <si>
    <t>chưa ĐX</t>
  </si>
  <si>
    <t>Trần Quang Vũ</t>
  </si>
  <si>
    <t>1010105106008</t>
  </si>
  <si>
    <t>Ngan Hang Quan Doi MB</t>
  </si>
  <si>
    <t>Thửa đất số 611, Tờ số bản đồ số 56, địa chỉ: 2/2 Ấp 4, xã Đông Thạnh, Huyện Hóc Môn, Tp.HCM</t>
  </si>
  <si>
    <t>Khi trạm PS không quá tháng 01/2023</t>
  </si>
  <si>
    <t>6140205903134</t>
  </si>
  <si>
    <t>Trần Thị Hồng Thảo</t>
  </si>
  <si>
    <t>Ngân hàng: Agribank</t>
  </si>
  <si>
    <t>S0645-VT/DKV/2022</t>
  </si>
  <si>
    <t>Q.09</t>
  </si>
  <si>
    <t>Thửa đất số 506, tờ bản đồ số 95, địa chỉ: 415A Song Hành Hà Nội, Kp6 P.Trường Thọ, Thành Phố Thủ Đức, Thành phố Hồ Chí Minh</t>
  </si>
  <si>
    <t>Từ khi trạm PS</t>
  </si>
  <si>
    <t>H4081-VT/DKV/2022</t>
  </si>
  <si>
    <t>HCM2022-TUH-013</t>
  </si>
  <si>
    <t>HCM2022-TUH-010</t>
  </si>
  <si>
    <t>Thửa đất số 03, tờ số bản đồ số 58 (BĐĐC-2005), địa chỉ: 169 Nguyễn Thái Bình, phường 04, quận Tân Bình, Tp.HCM</t>
  </si>
  <si>
    <t xml:space="preserve">Nguyễn Thúy Kiều                </t>
  </si>
  <si>
    <t>TUH-013-VN/DKV/2022</t>
  </si>
  <si>
    <t>TUH-010-VN/DKV/2022</t>
  </si>
  <si>
    <t>Thửa đất số 5, Tờ số bản đồ số 22 phường 04, địa chỉ: 31/3 Nguyễn Văn Bảo, phường 04, Q.Gò Vấp Tp.HCM.</t>
  </si>
  <si>
    <t>Nguyễn Thị Tuyết Hồng</t>
  </si>
  <si>
    <t>Ngân Hàng Vietcombank – Tây Sài Gòn</t>
  </si>
  <si>
    <t>5.800.000</t>
  </si>
  <si>
    <t>04/16/2022 -&gt;06/30/2022</t>
  </si>
  <si>
    <t>Khi trạm PS không quá 75 ngày (08/08/2022)</t>
  </si>
  <si>
    <t>HCM4332</t>
  </si>
  <si>
    <t>VIB</t>
  </si>
  <si>
    <t>H.Củ Chi</t>
  </si>
  <si>
    <t>Thửa đất số 699, tờ bản đồ số 10, địa chỉ: Xã Phước Hiệp, Huyện Củ Chi, Thành phố Hồ Chí Minh.</t>
  </si>
  <si>
    <t>Nguyễn Anh Khoa</t>
  </si>
  <si>
    <t>2200116730002</t>
  </si>
  <si>
    <t>MB Bank</t>
  </si>
  <si>
    <t>H4332-VT/DKV/2022</t>
  </si>
  <si>
    <t>SGN0789</t>
  </si>
  <si>
    <t>Q.04</t>
  </si>
  <si>
    <t>Thửa đất số 79, Tờ số bản đồ số 14, địa chỉ: 122/27/109 Tôn Đản, Phường 8, Quận 4, Tp.HCM.</t>
  </si>
  <si>
    <t>S0789-VT/DKV/2022</t>
  </si>
  <si>
    <t>Thửa đất số 1, tờ bản đồ số thứ  3-F.12-Q.GV, Số 9 (6/11A số cũ)  Phạm Văn Chiêu, P12, Quận Gò Vấp</t>
  </si>
  <si>
    <t>chưa nhận</t>
  </si>
  <si>
    <t>Nguyễn Đắc Duy</t>
  </si>
  <si>
    <t>13212000002119</t>
  </si>
  <si>
    <t>BIDV</t>
  </si>
  <si>
    <t>Khi trạm PS không quá 06/07/2022</t>
  </si>
  <si>
    <t>K có Viettel</t>
  </si>
  <si>
    <t>6,000,000</t>
  </si>
  <si>
    <t>6,500,000</t>
  </si>
  <si>
    <t>4,500,000</t>
  </si>
  <si>
    <t>5,750,000</t>
  </si>
  <si>
    <t>SGN0756</t>
  </si>
  <si>
    <t>Nguyễn Đắc Duy_0934078686</t>
  </si>
  <si>
    <t>OK Vtel Mbi VN</t>
  </si>
  <si>
    <t>chưa xây dựng</t>
  </si>
  <si>
    <t>HCM590-359</t>
  </si>
  <si>
    <t>SGN0580</t>
  </si>
  <si>
    <t>Thửa đất số 733, tờ bản đồ số 122, địa chỉ: 2A24 Ấp 2, Xã Phạm Văn Hai, Huyện Bình Chánh, Tp.Hồ Chí Minh</t>
  </si>
  <si>
    <t>Đinh Thái Lâm</t>
  </si>
  <si>
    <t>Từ khi PS không quá 3 tháng</t>
  </si>
  <si>
    <t>060252739761</t>
  </si>
  <si>
    <t>S0580-VT/DKV/2022</t>
  </si>
  <si>
    <t>HCM1550-11</t>
  </si>
  <si>
    <t>Thửa đất số 450, tờ bản đồ số 38, 84/12 ấp 2, Xuân Thới Thượng, Hóc Môn, TP.HCM</t>
  </si>
  <si>
    <t>SGN0676</t>
  </si>
  <si>
    <t>Thửa đất số 79, tờ bản đồ số 22, địa chỉ: 1038/15 TL43, Kp1 P.Bình Chiểu, Thành Phố Thủ Đức, Thành phố Hồ Chí Minh</t>
  </si>
  <si>
    <t>Nguyễn Hữu Hồng</t>
  </si>
  <si>
    <t xml:space="preserve">- 8.500.000 VND/1tháng cho 2 năm đầu tính từ thời điểm  trạm phát sóng.
- Từ năm thứ 3 (tăng thêm 2% của 8.500.000) số tiền: 8.670.000VNĐ/1tháng
- Từ năm thứ 4 (tăng thêm 4% của 8.500.000) số tiền: 8.840.001VNĐ/1tháng
- Từ năm thứ 5 (tăng thêm 6% của 8.500.000) số tiền: 9.010.002VNĐ/1tháng
- Từ năm thứ 6 (tăng thêm 8% của 8.500.000) số tiền: 9.180.003VNĐ/1tháng
- Từ năm thứ 7 (tăng thêm 10% của 8.500.000) số tiền: 9.350.004VNĐ/1tháng
</t>
  </si>
  <si>
    <t>14010000654036</t>
  </si>
  <si>
    <t>NH BIDV</t>
  </si>
  <si>
    <t>S0676-VT/DKV/2022</t>
  </si>
  <si>
    <t>Hoàng Thị Thu Thuỷ</t>
  </si>
  <si>
    <t>31810000230918</t>
  </si>
  <si>
    <t>H1550-11/VT/DKV/2022</t>
  </si>
  <si>
    <t>Khi trạm PS</t>
  </si>
  <si>
    <t>HCM3680</t>
  </si>
  <si>
    <t>Thửa đất số 566, tờ bản đồ số 61, địa chỉ: Ấp An Đông, xã An Thới Đông, Huyện Cần Giờ, Thành phố Hồ Chí Minh</t>
  </si>
  <si>
    <t>Ok</t>
  </si>
  <si>
    <t>Trương Ngọc Vàng</t>
  </si>
  <si>
    <t>5 tháng từ ngày ký HĐ</t>
  </si>
  <si>
    <t>4000415069999</t>
  </si>
  <si>
    <t>Trương Thị Minh Nguyệt</t>
  </si>
  <si>
    <t>S3680-VT/DKV/2022</t>
  </si>
  <si>
    <t>Thửa đất số 612, Tờ số bản đồ số 55, địa chỉ: 18/82F  ấp 7, Xuân Thới Thượng, Hóc Môn Tp.HCM</t>
  </si>
  <si>
    <t>Khi trạm PS không quá 2 tháng</t>
  </si>
  <si>
    <t>SGN0754</t>
  </si>
  <si>
    <t>thửa đất số 26, tờ BĐ số 99, 96/50 đường D1, P.25, Quận Bình Thạnh TP.HCM.</t>
  </si>
  <si>
    <t>Kiều Thị Thuý Nga</t>
  </si>
  <si>
    <t>101006160611</t>
  </si>
  <si>
    <t>Viettinbank</t>
  </si>
  <si>
    <t>S0754-VN/DKV/2022</t>
  </si>
  <si>
    <t>HCM2331-11</t>
  </si>
  <si>
    <t>Số 42 Quốc Lộ 22, Ấp Chợ, Xã Tân Phú Trung H. Củ Chi, TP. Hồ Chí Minh</t>
  </si>
  <si>
    <t>BV Xuyên Á</t>
  </si>
  <si>
    <t>Từ khi trạm PS, k quá 2 tháng</t>
  </si>
  <si>
    <t>H.Cần Giờ</t>
  </si>
  <si>
    <t>Tiến độ xây_12092022</t>
  </si>
  <si>
    <t>SGN0480</t>
  </si>
  <si>
    <t>Thửa đất số 754, Tờ số bản đồ số 27, địa chỉ: 117 Đường HT19, Khu phố 6, Phường Hiệp Thành, Quận 12, Tp.HCM</t>
  </si>
  <si>
    <t>0109536714</t>
  </si>
  <si>
    <t xml:space="preserve">Hà Thị Nga </t>
  </si>
  <si>
    <t>Ngân hàng Đông Á</t>
  </si>
  <si>
    <t>S0480 -VT/DKV/2022</t>
  </si>
  <si>
    <t>SGN0504</t>
  </si>
  <si>
    <t>Q.Tân Phú</t>
  </si>
  <si>
    <t>Thửa đất số 1, Tờ số bản đồ số 32, địa chỉ: 177 Lê Thúc Hoạch, Phường Phú Thọ Hòa, Quận Tân Phú, Tp.HCM</t>
  </si>
  <si>
    <t>060234285591</t>
  </si>
  <si>
    <t xml:space="preserve">Duong Thai Anh </t>
  </si>
  <si>
    <t>S0504 -VT/DKV/2022</t>
  </si>
  <si>
    <t>Công ty Cổ phần 32, địa chỉ: 170 Quang Trung, Phường 10, Gò Vấp Tp.HCM.</t>
  </si>
  <si>
    <t>20111 0000 3006</t>
  </si>
  <si>
    <t>Công ty CP 32</t>
  </si>
  <si>
    <t>TMCP Quân Đội - Bắc SG</t>
  </si>
  <si>
    <t>S0160 -VT/DKV/2022</t>
  </si>
  <si>
    <t>SGN0792</t>
  </si>
  <si>
    <t>Thửa đất số 59, Tờ số bản đồ số 12, địa chỉ: 140 Bùi Dương Lịch, Phường Bình Hưng Hòa B, Quận Bình Tân, Tp.HCM.</t>
  </si>
  <si>
    <t>6360903176599</t>
  </si>
  <si>
    <t>Ngân hàng Agribank</t>
  </si>
  <si>
    <t>Nguyễn Văn Quế</t>
  </si>
  <si>
    <t>S0792 -VT/DKV/2022</t>
  </si>
  <si>
    <t>HCM1636-12</t>
  </si>
  <si>
    <t>31810000506628</t>
  </si>
  <si>
    <t>Đặng Kiên Cường</t>
  </si>
  <si>
    <t>SGN0815</t>
  </si>
  <si>
    <t>Thửa đất số 544, Tờ số bản đồ số 38, địa chỉ: 435A Phú Thọ Hòa, Phường Phú Thọ Hòa, Quận Tân Phú, Tp.HCM</t>
  </si>
  <si>
    <t>62321019</t>
  </si>
  <si>
    <t xml:space="preserve">Bùi Phước Hải </t>
  </si>
  <si>
    <t>S0815-VT/DKV/2022</t>
  </si>
  <si>
    <t>SGN0862</t>
  </si>
  <si>
    <t>HCM3266</t>
  </si>
  <si>
    <t>Thửa đất số 424, Tờ số bản đồ số 31, địa chỉ: 19/34 Trần Bình Trọng, Phường 5, Quận Bình Thạnh, Tp.HCM</t>
  </si>
  <si>
    <t>0531002535283</t>
  </si>
  <si>
    <t>Ngân hàng Vietcombank</t>
  </si>
  <si>
    <t>Hồ Hoàng Nam</t>
  </si>
  <si>
    <t>H3266-VT/DKV/2022</t>
  </si>
  <si>
    <t>Thửa đất số 11, Tờ số bản đồ số 34, địa chỉ: 170 Ung Văn Khiêm, Phường 25, Quận Bình Thạnh, Tp.HCM</t>
  </si>
  <si>
    <t xml:space="preserve">Nguyễn Khắc Anh </t>
  </si>
  <si>
    <t>Ngân hàng ACB Chi nhánh Bình Thạnh</t>
  </si>
  <si>
    <t>S862-VT/DKV/2022</t>
  </si>
  <si>
    <t>Thửa đất số 501, Tờ số bản đồ số 99, địa chỉ: 56 Đường số 6, Phường 05, Quận Gò Vấp, Tp.HCM</t>
  </si>
  <si>
    <t>Đặng Ngọc Phúc</t>
  </si>
  <si>
    <t>19033785562018</t>
  </si>
  <si>
    <t>Ngân hàng Techcombank</t>
  </si>
  <si>
    <t>H1636-12-VT/DKV/2022</t>
  </si>
  <si>
    <t>2310718</t>
  </si>
  <si>
    <t>11/07/2022</t>
  </si>
  <si>
    <t>6120201006313</t>
  </si>
  <si>
    <t>Nguyễn Văn Châu</t>
  </si>
  <si>
    <t>NH Agribank</t>
  </si>
  <si>
    <t>H2331-11/VT/DKV/2022</t>
  </si>
  <si>
    <t>Dự kiến chi</t>
  </si>
  <si>
    <t>$ phát sinh có</t>
  </si>
  <si>
    <t>Chi quà Tết ngoại giao (a Minh, a Bình, chị Trang, Hoàng PHT, Cường CCI….). Dự kiến 3.5tr/phần</t>
  </si>
  <si>
    <t>Mỗi người góp</t>
  </si>
  <si>
    <t>Vina Thanh toán DKV tính đến Tết_RRU an lộc và ĐH Công Nghiệp</t>
  </si>
  <si>
    <t>Chênh lệch (CẦN GÓP THÊM)</t>
  </si>
  <si>
    <t>Thanh toán chủ nhà đến 31/01/2023 (Mùng 10 Tết)</t>
  </si>
  <si>
    <t>Tài khoản DKV đang có</t>
  </si>
  <si>
    <t>Dự kiến thứ 2 ngày 26/12 Vtel trả cho DKV</t>
  </si>
  <si>
    <t>Thưởng Tết CBCNV DKV</t>
  </si>
  <si>
    <t>Tiệc Tết niên Cty DKV</t>
  </si>
  <si>
    <t>DKV Thanh toán Đông Dương. Dự kiến ngày 27/12 thanh toán</t>
  </si>
  <si>
    <t>Mobi thanh toán cho DKV đến tết_Trạm 4597</t>
  </si>
  <si>
    <t>SGN0645--&gt;SGN0808</t>
  </si>
  <si>
    <t>Dự kiến Vtel trả cho DKV trước tết âm (ngày 9 hoặc ngày 13/01)</t>
  </si>
  <si>
    <t>Tài khoản DKV đang còn</t>
  </si>
  <si>
    <t>DKV Thanh toán Đông Dương. Dự kiến ngày XXXXX thanh toán</t>
  </si>
  <si>
    <t>Thanh toán chủ nhà đến 31/01/2023 (Mùng 11 Tết)</t>
  </si>
  <si>
    <t>Tiệc Tết niên Cty DKV dự kiến</t>
  </si>
  <si>
    <t>Chi quà Tết ngoại giao (a Minh, a Bình, chị Trang, Hoàng PHT, Cường CCI, TâmPHT….). Dự kiến 3.5tr/phần</t>
  </si>
  <si>
    <t>Chênh lệch (CÒN DƯ)</t>
  </si>
  <si>
    <t>Thanh toán chủ nhà SGN0756</t>
  </si>
  <si>
    <t>Chi quà Tết ms Trang</t>
  </si>
  <si>
    <t>SUM</t>
  </si>
  <si>
    <t>(CÒN DƯ)</t>
  </si>
  <si>
    <t>Chi</t>
  </si>
  <si>
    <t>Tài khoản có</t>
  </si>
  <si>
    <t>SGN1092</t>
  </si>
  <si>
    <t>614/39 đường 614, P.Phước Long B, TP.Thủ Đức, TPHCM. Thửa đất số 65, Tờ số bản đồ số 618, địa chỉ Phường Tân Phú, Quận 9, Tp.HCM</t>
  </si>
  <si>
    <t>22097788</t>
  </si>
  <si>
    <t>Hà Thị Thuý Nga</t>
  </si>
  <si>
    <t>S1092 -VT/DKV/2023</t>
  </si>
  <si>
    <t>Dự kiến Vtel trả cho DKV trước 18/03/2023</t>
  </si>
  <si>
    <t>Vina Thanh toán DKV tính đến trước 18/03/2023</t>
  </si>
  <si>
    <t>Thanh toán chủ nhà đến 15/03/2023</t>
  </si>
  <si>
    <t>Chênh lệch (CÒN THIẾU)</t>
  </si>
  <si>
    <t>HCM4639</t>
  </si>
  <si>
    <t>Thửa đất số 391, Tờ số bản đồ số 131, địa chỉ: 184A đường số 6, Phường Bình Hưng Hòa, Q.Bình Tân, Tp.HCM</t>
  </si>
  <si>
    <t>060140286845</t>
  </si>
  <si>
    <t>Nguyễn Ngọc Cương</t>
  </si>
  <si>
    <t>H4639 -VT/DKV/2023</t>
  </si>
  <si>
    <t>Thửa đất số 87, tờ bản đồ số 16, địa chỉ: 44 Trần Quang Diệu, Phường 14, Quận 3, TpHCM</t>
  </si>
  <si>
    <t>Q.03</t>
  </si>
  <si>
    <t>HCM1041-13</t>
  </si>
  <si>
    <t>H1041-13 -VT/DKV/2023</t>
  </si>
  <si>
    <t>Nguyễn Thảo Quyên</t>
  </si>
  <si>
    <t>1010127605008</t>
  </si>
  <si>
    <t>Thửa đất số 59, Tờ BĐ số 10, 163 Xô Viết Nghệ Tĩnh P17 Quận Bình Thạnh HCM</t>
  </si>
  <si>
    <t>"+" dư  ;   "-" thiếu</t>
  </si>
  <si>
    <r>
      <t>Thanh toán chủ nhà đến</t>
    </r>
    <r>
      <rPr>
        <sz val="12"/>
        <color rgb="FFFF0000"/>
        <rFont val="Times New Roman"/>
        <family val="1"/>
      </rPr>
      <t xml:space="preserve"> 22/06/2023</t>
    </r>
  </si>
  <si>
    <r>
      <t xml:space="preserve">Vina Thanh toán DKV tính đến trước </t>
    </r>
    <r>
      <rPr>
        <sz val="12"/>
        <color rgb="FFFF0000"/>
        <rFont val="Times New Roman"/>
        <family val="1"/>
      </rPr>
      <t>20/06/2023</t>
    </r>
  </si>
  <si>
    <t>Dự kiến Vtel trả cho DKV trước 20/06/2023</t>
  </si>
  <si>
    <t>Có thể trả 700tr, dư 42tr</t>
  </si>
  <si>
    <r>
      <t xml:space="preserve">DKV Thanh toán Đông Dương. Dự kiến ngày </t>
    </r>
    <r>
      <rPr>
        <sz val="12"/>
        <color rgb="FFFF0000"/>
        <rFont val="Times New Roman"/>
        <family val="1"/>
      </rPr>
      <t>20 đến 25/6</t>
    </r>
    <r>
      <rPr>
        <sz val="12"/>
        <color theme="1"/>
        <rFont val="Times New Roman"/>
        <family val="1"/>
      </rPr>
      <t xml:space="preserve"> thanh toán</t>
    </r>
  </si>
  <si>
    <t>HCM0926-11</t>
  </si>
  <si>
    <t>SGN1007</t>
  </si>
  <si>
    <t>HCM1065-11</t>
  </si>
  <si>
    <t>HCM1074-12</t>
  </si>
  <si>
    <t>SGN0203</t>
  </si>
  <si>
    <t>Tp.Thủ Đức</t>
  </si>
  <si>
    <t>Thửa đất số 41, Tờ bản đồ số 04 BĐC xã Phước Long, địa chỉ: 21 Đỗ Xuân Hợp, Phước Long B, Tp.Thủ Đức, Hồ Chí Minh</t>
  </si>
  <si>
    <t>1020192779779</t>
  </si>
  <si>
    <t>Trần Phú Lâm</t>
  </si>
  <si>
    <t>S1007-VT/DKV/2023</t>
  </si>
  <si>
    <t>Thửa đất số 13, tờ bản đồ số 49, địa chỉ: 100/22 Nguyễn Ngọc Lộc, Phường 14, Quận 10, TpHCM</t>
  </si>
  <si>
    <t>Q.10</t>
  </si>
  <si>
    <t>060141139919</t>
  </si>
  <si>
    <t>Nguyễn Thị Dung</t>
  </si>
  <si>
    <t>H1065-11-VT/DKV/2023</t>
  </si>
  <si>
    <t>Thửa đất số 26, tờ bản đồ số 30, địa chỉ: 601/8/9 CMT8, Phường 15, Quận 10, TpHCM</t>
  </si>
  <si>
    <t>Nguyễn Ngọc Diệp Phương Linh</t>
  </si>
  <si>
    <t>Mbbank</t>
  </si>
  <si>
    <t>H1074-12-VT/DKV/2023</t>
  </si>
  <si>
    <t>Thửa đất số 45, Tờ số bản đồ số 16, địa chỉ: 763 Luỹ Bán Bích, Phường Phú Thọ Hòa, Quân Tân Phú, TP.HCM.</t>
  </si>
  <si>
    <t xml:space="preserve">Lê Văn Thành  </t>
  </si>
  <si>
    <t>000001927590</t>
  </si>
  <si>
    <t>VietBank</t>
  </si>
  <si>
    <t>S0203 -VT/DKV/2023</t>
  </si>
  <si>
    <t>Hàn Đức Vinh</t>
  </si>
  <si>
    <t>Thửa đất số 343, tờ bản đồ số 58, 196/42 Vườn Lài, Phường Tân Thành, Quận Tân Phú, TpHCM</t>
  </si>
  <si>
    <t>1603205228943</t>
  </si>
  <si>
    <t xml:space="preserve">Agribank </t>
  </si>
  <si>
    <t>Nguyễn Hoàng Yến</t>
  </si>
  <si>
    <t>H0926-11 -VT/DKV/2023</t>
  </si>
  <si>
    <t>0908002423</t>
  </si>
  <si>
    <r>
      <t xml:space="preserve">Vina Thanh toán DKV tính đến trước </t>
    </r>
    <r>
      <rPr>
        <sz val="12"/>
        <color rgb="FFFF0000"/>
        <rFont val="Times New Roman"/>
        <family val="1"/>
      </rPr>
      <t>26/09/2023</t>
    </r>
  </si>
  <si>
    <r>
      <t xml:space="preserve">Dự kiến Vtel trả cho DKV trước </t>
    </r>
    <r>
      <rPr>
        <sz val="12"/>
        <color rgb="FFFF0000"/>
        <rFont val="Times New Roman"/>
        <family val="1"/>
      </rPr>
      <t>26/09/2023</t>
    </r>
  </si>
  <si>
    <r>
      <t>Thanh toán chủ nhà đến</t>
    </r>
    <r>
      <rPr>
        <sz val="12"/>
        <color rgb="FFFF0000"/>
        <rFont val="Times New Roman"/>
        <family val="1"/>
      </rPr>
      <t xml:space="preserve"> 26/09/2023</t>
    </r>
  </si>
  <si>
    <t>Chênh lệch
"+": Dư
"-": Thiếu</t>
  </si>
  <si>
    <t>Có thể trả ĐD hơn 200 triệu</t>
  </si>
  <si>
    <r>
      <t>Tài khoản DKV đang còn_</t>
    </r>
    <r>
      <rPr>
        <sz val="12"/>
        <color rgb="FFFF0000"/>
        <rFont val="Times New Roman"/>
        <family val="1"/>
      </rPr>
      <t>thời điểm 22h ngày 12/9/2023</t>
    </r>
  </si>
  <si>
    <r>
      <t xml:space="preserve">DKV Thanh toán Đông Dương. Dự kiến ngày </t>
    </r>
    <r>
      <rPr>
        <sz val="12"/>
        <color rgb="FFFF0000"/>
        <rFont val="Times New Roman"/>
        <family val="1"/>
      </rPr>
      <t>20 đến 25/9</t>
    </r>
    <r>
      <rPr>
        <sz val="12"/>
        <color theme="1"/>
        <rFont val="Times New Roman"/>
        <family val="1"/>
      </rPr>
      <t xml:space="preserve"> thanh toán</t>
    </r>
  </si>
  <si>
    <t>HCM3570-16</t>
  </si>
  <si>
    <t>SGN1273</t>
  </si>
  <si>
    <t>Dự kiến Vtel trả cho DKV trong Tháng 11</t>
  </si>
  <si>
    <r>
      <t>Tài khoản DKV đang còn_</t>
    </r>
    <r>
      <rPr>
        <sz val="12"/>
        <color rgb="FFFF0000"/>
        <rFont val="Times New Roman"/>
        <family val="1"/>
      </rPr>
      <t>thời điểm 24h ngày 19/10/2023</t>
    </r>
  </si>
  <si>
    <r>
      <t>Thanh toán chủ nhà đến</t>
    </r>
    <r>
      <rPr>
        <sz val="12"/>
        <color rgb="FFFF0000"/>
        <rFont val="Times New Roman"/>
        <family val="1"/>
      </rPr>
      <t xml:space="preserve"> đầu tháng 12_dự kiến</t>
    </r>
  </si>
  <si>
    <t>DKV Thanh toán Đông Dương. Dự kiến???</t>
  </si>
  <si>
    <t>Vina Thanh toán DKV tính đến hết T11</t>
  </si>
  <si>
    <t>SGN1012</t>
  </si>
  <si>
    <t>Thửa đất số 597, tờ bản đồ số 108, địa chỉ: G5 Đường số 5, Khu dân cư Tam Bình, KP4, Phường Tam Bình, TP.Thủ Đức, TP.HCM</t>
  </si>
  <si>
    <t>Nguyễn Minh Đức</t>
  </si>
  <si>
    <t>686861972</t>
  </si>
  <si>
    <t>S1012 -VT/DKV/2023</t>
  </si>
  <si>
    <t>SGN1008</t>
  </si>
  <si>
    <t>Thửa đất số 607, tờ bản đồ số 66, địa chỉ: 44C Đường số 12, KP9, Phường Trường Thọ, TP.Thủ Đức, TP.HCM</t>
  </si>
  <si>
    <t>Hồ Hữu Hải</t>
  </si>
  <si>
    <t>072100058574</t>
  </si>
  <si>
    <t>VietComBank chi nhánh Kỳ Đồng</t>
  </si>
  <si>
    <t>S10008 -VT/DKV/2023</t>
  </si>
  <si>
    <t>Thửa đất số 457, Tờ bản đồ số 17, địa chỉ: Số 3 Đường Số 1 Khu Tái Định Cư Long Sơn Phường Long Bình Tp. Thủ Đức (Quận 9 cũ)</t>
  </si>
  <si>
    <t>0381000416443</t>
  </si>
  <si>
    <t>Trương Minh Hùng</t>
  </si>
  <si>
    <t>Ngân hàng Vietcombank CN Thủ Đức</t>
  </si>
  <si>
    <t>S1273 -VT/DKV/2023</t>
  </si>
  <si>
    <r>
      <t xml:space="preserve">Agribank CN Q09
</t>
    </r>
    <r>
      <rPr>
        <sz val="9"/>
        <color rgb="FFFF0000"/>
        <rFont val="Times New Roman"/>
        <family val="1"/>
      </rPr>
      <t>MB Bank</t>
    </r>
  </si>
  <si>
    <r>
      <t xml:space="preserve">Phạm Tiến Mạnh
</t>
    </r>
    <r>
      <rPr>
        <sz val="9"/>
        <color rgb="FFFF0000"/>
        <rFont val="Times New Roman"/>
        <family val="1"/>
      </rPr>
      <t>Bùi Thị Liên</t>
    </r>
  </si>
  <si>
    <r>
      <t xml:space="preserve">6300205203149
</t>
    </r>
    <r>
      <rPr>
        <sz val="9"/>
        <color rgb="FFFF0000"/>
        <rFont val="Times New Roman"/>
        <family val="1"/>
      </rPr>
      <t>823459089999</t>
    </r>
  </si>
  <si>
    <t>100.000.136.053</t>
  </si>
  <si>
    <t>Nguyễn Thị Ấm</t>
  </si>
  <si>
    <t xml:space="preserve">NH Vietinbank </t>
  </si>
  <si>
    <t>HCM2434-11</t>
  </si>
  <si>
    <t>HCM0498-15</t>
  </si>
  <si>
    <t>Thửa đất số 6, tờ bản đồ số 18, địa chỉ: 166/5/63 Lý Thái Tổ, Phường 1, Quận 3, TP. Hồ Chí Minh.</t>
  </si>
  <si>
    <t>Thửa đất số 401, tờ bản đồ số 33, địa chỉ: Lô A4, hẻm 557, Nguyễn Tri Phương, Phường 14, Quận 10, TP. Hồ Chí Minh.</t>
  </si>
  <si>
    <t>H0339</t>
  </si>
  <si>
    <t>HCM2022-193, HCM3751-11_BV175</t>
  </si>
  <si>
    <t>DKV Thanh toán Đông Dương (Dự kiến)</t>
  </si>
  <si>
    <r>
      <t>Thanh toán chủ nhà đến</t>
    </r>
    <r>
      <rPr>
        <sz val="12"/>
        <color rgb="FFFF0000"/>
        <rFont val="Times New Roman"/>
        <family val="1"/>
      </rPr>
      <t xml:space="preserve"> 29/02/2024 (Dự kiến)</t>
    </r>
  </si>
  <si>
    <t>Chênh lệch</t>
  </si>
  <si>
    <t>"+" tiền dư  ;   "-" tiền thiếu</t>
  </si>
  <si>
    <r>
      <t xml:space="preserve">Dự kiến Vtel trả cho DKV trước </t>
    </r>
    <r>
      <rPr>
        <sz val="12"/>
        <color rgb="FFFF0000"/>
        <rFont val="Times New Roman"/>
        <family val="1"/>
      </rPr>
      <t>29/02/2024</t>
    </r>
  </si>
  <si>
    <r>
      <t>Vina Thanh toán DKV tính đến trước</t>
    </r>
    <r>
      <rPr>
        <sz val="12"/>
        <color rgb="FFFF0000"/>
        <rFont val="Times New Roman"/>
        <family val="1"/>
      </rPr>
      <t xml:space="preserve"> 29/02/2024</t>
    </r>
  </si>
  <si>
    <r>
      <t xml:space="preserve">Mobi Thanh toán DKV tính đến trước </t>
    </r>
    <r>
      <rPr>
        <sz val="12"/>
        <color rgb="FFFF0000"/>
        <rFont val="Times New Roman"/>
        <family val="1"/>
      </rPr>
      <t>29/02/2024</t>
    </r>
  </si>
  <si>
    <t>Bùi Thế Đích</t>
  </si>
  <si>
    <t>0031000141408</t>
  </si>
  <si>
    <t>H2434-11-VT/DKV/2023</t>
  </si>
  <si>
    <t>H0498-15-VT/DKV/2023</t>
  </si>
  <si>
    <t>1010115364005</t>
  </si>
  <si>
    <t>Võ Minh Trí</t>
  </si>
  <si>
    <t>Tài khoản DKV đang có (tính đến 12h ngày 19/12/2023)</t>
  </si>
  <si>
    <t>Gia đình</t>
  </si>
  <si>
    <t>5 &lt; Trẻ &lt; 12</t>
  </si>
  <si>
    <t>Trẻ &lt; 6t</t>
  </si>
  <si>
    <t>GĐ Anh Dũng</t>
  </si>
  <si>
    <t>GĐ Anh Khoa</t>
  </si>
  <si>
    <t>Người lớn &gt; 12t</t>
  </si>
  <si>
    <t>GĐ Vinh</t>
  </si>
  <si>
    <t>Sum</t>
  </si>
  <si>
    <t>0071001210156</t>
  </si>
  <si>
    <t>Lâm Ngô Hoàng Anh</t>
  </si>
  <si>
    <t>VietComBank</t>
  </si>
  <si>
    <t>H3570-16-VT/DKV/2023</t>
  </si>
  <si>
    <t>HCM0612-12</t>
  </si>
  <si>
    <t>HCM1096-11</t>
  </si>
  <si>
    <t>HCM0373-15</t>
  </si>
  <si>
    <t>HCM0354-15</t>
  </si>
  <si>
    <t>HCM2406-15</t>
  </si>
  <si>
    <t>Thửa đất số 115, tờ bản đồ số 18, địa chỉ: 219 đường số 28, Phường 6, Quận Gò Vấp, TpHCM</t>
  </si>
  <si>
    <t>12 Nguyễn Huy Tưởng, Phường 06, Quận Bình Thạnh, TP.HCM</t>
  </si>
  <si>
    <t>Thửa đất số 452, tờ bản đồ số 39, địa chỉ: 283/14 CMT8, P.12, Q.10, TpHCM</t>
  </si>
  <si>
    <t>Thửa đất số 115, tờ bản đồ số 95,  27/17 Đồng Xoài, Phường 13, Quận Tân Bình, TP.HCM</t>
  </si>
  <si>
    <t>58 Trần Khánh Dư, Phường 13, Quận Tân Bình</t>
  </si>
  <si>
    <t>1709.1965.99999</t>
  </si>
  <si>
    <t>Nguyễn Thái Thìn</t>
  </si>
  <si>
    <t>H0612-12-VT/DKV/2024</t>
  </si>
  <si>
    <t>H1096-11-VT/DKV/2024</t>
  </si>
  <si>
    <t>13610000117945</t>
  </si>
  <si>
    <t xml:space="preserve">Nguyen Vinh Thuy </t>
  </si>
  <si>
    <t>H0373-15-VT/DKV/2024</t>
  </si>
  <si>
    <t>933007020</t>
  </si>
  <si>
    <t>Cao Kế Siêu</t>
  </si>
  <si>
    <t>VIB Bank</t>
  </si>
  <si>
    <t>H2406-15-VT/DKV/2024</t>
  </si>
  <si>
    <t>103876182664</t>
  </si>
  <si>
    <t>Phạm Thị Xuân</t>
  </si>
  <si>
    <t>VietinBank</t>
  </si>
  <si>
    <t>H0354-15-VT/DKV/2024</t>
  </si>
  <si>
    <t>Đặng Minh Hải</t>
  </si>
  <si>
    <t>14010000624127</t>
  </si>
  <si>
    <t>9949978957</t>
  </si>
  <si>
    <t>Nguyễn Phi Linh</t>
  </si>
  <si>
    <t>vietcombank</t>
  </si>
  <si>
    <t>H1738-12-VT/DKV/2024</t>
  </si>
  <si>
    <r>
      <t xml:space="preserve">060223722272 _ Sacom
</t>
    </r>
    <r>
      <rPr>
        <sz val="11"/>
        <color rgb="FFFF0000"/>
        <rFont val="Times New Roman"/>
        <family val="1"/>
      </rPr>
      <t>38803257_ACB</t>
    </r>
  </si>
  <si>
    <r>
      <t xml:space="preserve">Sacombank
</t>
    </r>
    <r>
      <rPr>
        <sz val="11"/>
        <color rgb="FFFF0000"/>
        <rFont val="Times New Roman"/>
        <family val="1"/>
      </rPr>
      <t>ACB</t>
    </r>
  </si>
  <si>
    <t>ACB</t>
  </si>
  <si>
    <t>SGN1353</t>
  </si>
  <si>
    <t>Thửa đất số 616, Tờ số bản đồ số 1, địa chỉ: 442/119/31/24 Quốc Lộ 1, Khu phố 3, Phường An Phú Đông, Quận 12, Tp.HCM</t>
  </si>
  <si>
    <t>S1353-VT/DKV/2024</t>
  </si>
  <si>
    <t>SGN1164</t>
  </si>
  <si>
    <t>Thửa đất số 930, Tờ số bản đồ số 3, địa chỉ: 563/75 Lê Văn Khương, Khu Phố 7, Phường Hiệp Thành, Quận 12, Tp.HCM</t>
  </si>
  <si>
    <t>S1164-VT/DKV/2024</t>
  </si>
  <si>
    <t>HCM3817</t>
  </si>
  <si>
    <t>348/13A Ung Văn Khiêm, Phường 25, Q. Bình Thạnh, TP.HCM</t>
  </si>
  <si>
    <t>H3817-VT/DKV/2024</t>
  </si>
  <si>
    <t>SGN1001</t>
  </si>
  <si>
    <t>Thửa đất số 752, Tờ số bản đồ số 24, địa chỉ: 1788/19/14/A4 Tỉnh Lộ 10, Khu phố 1, Phường Tân Tạo, Q.Bình Tân, Tp.HCM.</t>
  </si>
  <si>
    <t>S1001 -VT/DKV/2024</t>
  </si>
  <si>
    <t>060307868922</t>
  </si>
  <si>
    <t>Tôn Quang Đức</t>
  </si>
  <si>
    <t>Lê Thị Tuyền</t>
  </si>
  <si>
    <t>3180507764</t>
  </si>
  <si>
    <t>20 tháng 06 năm 2024 trở đi</t>
  </si>
  <si>
    <t>10 tháng 06 năm 2024 trở đi</t>
  </si>
  <si>
    <t>Trần Thị Thu Hà</t>
  </si>
  <si>
    <t>0911000062234</t>
  </si>
  <si>
    <t>18/07/2024 trở đi</t>
  </si>
  <si>
    <t>SGN1364</t>
  </si>
  <si>
    <t>Thửa đất số 762, Tờ số bản đồ số 37 , địa chỉ: 82 Nguyễn Thị Huê, Ấp Đông Lân,  Xã Bà Điểm, Huyện Hóc Môn, Tp.HCM</t>
  </si>
  <si>
    <t>974623456</t>
  </si>
  <si>
    <t>Phùng Quang Hanh</t>
  </si>
  <si>
    <t>S1364 -VT/DKV/2024</t>
  </si>
  <si>
    <t xml:space="preserve">Hoàng Tiến Lê </t>
  </si>
  <si>
    <t>19027375332023</t>
  </si>
  <si>
    <t>HCM1527-12</t>
  </si>
  <si>
    <t>Thửa đất số 520, tờ bản đồ số 52; địa chỉ: 251/11 Vườn Lài, Phường An Phú Đông,
Quận 12, TPHCM</t>
  </si>
  <si>
    <t>Trần Thị Lan</t>
  </si>
  <si>
    <t>4510104791002</t>
  </si>
  <si>
    <t>6/6/2024 trở đi</t>
  </si>
  <si>
    <t>MB</t>
  </si>
  <si>
    <t>H1527-12-VT/DKV/2024</t>
  </si>
  <si>
    <t>15/06/2024 trở đi</t>
  </si>
  <si>
    <t>HCM1738-12</t>
  </si>
  <si>
    <t>10/07/2024 trở đi</t>
  </si>
  <si>
    <t>SGN1378</t>
  </si>
  <si>
    <t>HCM2187-11</t>
  </si>
  <si>
    <t>SGN1061</t>
  </si>
  <si>
    <t>SGN1379</t>
  </si>
  <si>
    <t>Thửa đất số 280, Tờ bản đồ số 57 (TL-2004), địa chỉ: 133/75, Ấp 5, Xã Đông Thạnh, H.Hóc Môn, Tp.HCM</t>
  </si>
  <si>
    <t>S1061 -VT/DKV/2024</t>
  </si>
  <si>
    <t>Thửa đất số 23, Tờ bản đồ số 242 (TL-2005), địa chỉ: 46 đường số 18B, Phường Bình Hưng Hòa A, Q.Bình Tân, Tp.HCM</t>
  </si>
  <si>
    <t>S1379 -VT/DKV/2024</t>
  </si>
  <si>
    <t>Thửa đất số 313 tờ bản đồ số 2, địa chỉ: A2/10 Ấp 1, Thị trấn Tân Túc, Huyện Bình Chánh, TP Hồ Chí Minh</t>
  </si>
  <si>
    <t>Nguyễn Minh Trí</t>
  </si>
  <si>
    <t>7995758</t>
  </si>
  <si>
    <t>H2817-11-VT/DKV/2024</t>
  </si>
  <si>
    <t>S1378 -VT/DKV/2024</t>
  </si>
  <si>
    <t>Thửa đất số 267, Tờ số bản đồ số 32, địa chỉ: 150/1B Ấp Trung Chánh 2, Xã Trung Chánh, Huyện Hóc Môn, Tp.HCM</t>
  </si>
  <si>
    <t>252142279</t>
  </si>
  <si>
    <t>Đỗ Trọng Phương</t>
  </si>
  <si>
    <t>Phạm Văn Phú</t>
  </si>
  <si>
    <t>6140205750235</t>
  </si>
  <si>
    <t>Agribank</t>
  </si>
  <si>
    <t>22/8/2024 trở đi</t>
  </si>
  <si>
    <t>S0005VT/DKV/2022</t>
  </si>
  <si>
    <t>Thửa đất số 806, TBĐ số 1, 22B Nguyễn Thiện Thuật, P.24, Q.Bình Thạnh, Tp.HCM</t>
  </si>
  <si>
    <t>Q.01</t>
  </si>
  <si>
    <t>33 Trần Đình Xu, P. Cầu Kho, Q.01</t>
  </si>
  <si>
    <t>2021</t>
  </si>
  <si>
    <t>2022</t>
  </si>
  <si>
    <t>2023</t>
  </si>
  <si>
    <t>0339</t>
  </si>
  <si>
    <t>2024</t>
  </si>
  <si>
    <t>0101473379</t>
  </si>
  <si>
    <t>Dương Thị Chung</t>
  </si>
  <si>
    <t>Đông Á</t>
  </si>
  <si>
    <t>SGN1411</t>
  </si>
  <si>
    <t>Thửa đất số 1299, Tờ số bản đồ số 12 Bộ địa chính P12, địa chỉ: Anh DŨNG ĐIỀN.</t>
  </si>
  <si>
    <t>Sau 2 tháng</t>
  </si>
  <si>
    <t>0108271178</t>
  </si>
  <si>
    <t>Lê Đồng Cội</t>
  </si>
  <si>
    <t>S1411 -VT/DKV/2024</t>
  </si>
  <si>
    <t>??</t>
  </si>
  <si>
    <t>HCM0890-15</t>
  </si>
  <si>
    <t>1237/11 Hoàng Sa, Phường 05, Quận Tân Bình, TP Hồ Chí Minh</t>
  </si>
  <si>
    <t>104872435744</t>
  </si>
  <si>
    <t>Đặng Văn Hạ Long</t>
  </si>
  <si>
    <t>Vietinbank</t>
  </si>
  <si>
    <t>H0890-15 -VT/DKV/2024</t>
  </si>
  <si>
    <t>?</t>
  </si>
  <si>
    <t>S1467 -VT/DKV/2024</t>
  </si>
  <si>
    <t>Thửa đất số 150, Tờ số bản đồ số 37, địa chỉ: Số 51 đường 37-CL KDC Cát Lái, Lô B2-08, P.Cát Lái, Tp.Thủ Đức, Tp.HCM</t>
  </si>
  <si>
    <t>SGN1467</t>
  </si>
  <si>
    <t>Phạm Thị Dịu Thanh</t>
  </si>
  <si>
    <t>220846229</t>
  </si>
  <si>
    <t>ACB Chi nhánh Tân Thuận</t>
  </si>
  <si>
    <t>HCM3416-15</t>
  </si>
  <si>
    <t>HCM3125-15</t>
  </si>
  <si>
    <t>Thửa đất số 29, tờ bản đồ số 91 (BĐĐC-2005) địa chỉ: 32 Lê Bình, Phường 04, Quận Tân Bình, TpHCM</t>
  </si>
  <si>
    <t>060155128545</t>
  </si>
  <si>
    <t>NGUYỄN THỊ BÍCH HẰNG</t>
  </si>
  <si>
    <t>H3125-15 -VT/DKV/2024</t>
  </si>
  <si>
    <t>H3416-15 -VT/DKV/2024</t>
  </si>
  <si>
    <t>0021000257477</t>
  </si>
  <si>
    <t>45 ngày sau ký HĐ</t>
  </si>
  <si>
    <t>2 tháng</t>
  </si>
  <si>
    <t>Thửa đất số 27, TBĐ số 26. Địa chỉ: 117/128/7 Nguyễn Hữu Cảnh, Phường 22, Quận Bình Thạnh, TP Hồ Chí Minh</t>
  </si>
  <si>
    <t>Techcombank TCB – CN Văn Thánh HCM</t>
  </si>
  <si>
    <t>SGN1499</t>
  </si>
  <si>
    <t>16 Đường số 3A, KDC Gia Hoà, ấp 5, Xã Phong Phú, Huyện Bình Chánh, TP Hồ Chí Minh</t>
  </si>
  <si>
    <t>1023967801</t>
  </si>
  <si>
    <t>Nguyễn Thị Nguyệt</t>
  </si>
  <si>
    <t>S1499 -VT/DKV/2024</t>
  </si>
  <si>
    <t>SGN1631</t>
  </si>
  <si>
    <t>060199413891</t>
  </si>
  <si>
    <t>Đỗ Thị Lân</t>
  </si>
  <si>
    <t>Nguyễn Đức Hạnh</t>
  </si>
  <si>
    <t>0933366688</t>
  </si>
  <si>
    <t>H1709-11-VT/DKV/2025</t>
  </si>
  <si>
    <t>SGN0160-41</t>
  </si>
  <si>
    <t>SGN0160-42</t>
  </si>
  <si>
    <t>SGN0160-43</t>
  </si>
  <si>
    <t>SGN0160-44</t>
  </si>
  <si>
    <t>SGN0160-45</t>
  </si>
  <si>
    <t>SGN0160-46</t>
  </si>
  <si>
    <t>SGN0160-47</t>
  </si>
  <si>
    <t>SGN0160-48</t>
  </si>
  <si>
    <t>HCM0429-43</t>
  </si>
  <si>
    <t>HCM0429-44</t>
  </si>
  <si>
    <t>HCM0429-45</t>
  </si>
  <si>
    <t>HCM0429-47</t>
  </si>
  <si>
    <t>393/3/81A Quang Trung, P10, Q.Gò Vấp</t>
  </si>
  <si>
    <t>Đối diện nhà 275/133/58 Quang Trung, P10, Q.Gò Vấp</t>
  </si>
  <si>
    <t>275/133/30 Quang Trung, P10, Q.Gò Vấp</t>
  </si>
  <si>
    <t>271/125/5 Quang Trung, P10, Q.Gò Vấp</t>
  </si>
  <si>
    <t>Tiền Camera</t>
  </si>
  <si>
    <t>SGN1678</t>
  </si>
  <si>
    <t>Thửa đất số 435, Tờ số bản đồ số 30, địa chỉ: J6 Ấp Mỹ Hòa 4, Xã Xuân Thới Đông, Huyện Hóc Môn, TP Hồ Chí Minh</t>
  </si>
  <si>
    <t>SGN1623</t>
  </si>
  <si>
    <t>HCM4273-15</t>
  </si>
  <si>
    <t>HCM0763-11</t>
  </si>
  <si>
    <t>Thửa đất số: 65, tờ bản đồ số: 42, địa chỉ: 514 Dương Quảng Hàm,
Phường 06 Quận Gò Vấp, TP. HCM</t>
  </si>
  <si>
    <t xml:space="preserve"> Eximbank</t>
  </si>
  <si>
    <t>Nguyễn Ngọc Oanh</t>
  </si>
  <si>
    <t>7908669233</t>
  </si>
  <si>
    <t>S1678 -VT/DKV/2025</t>
  </si>
  <si>
    <t>H0763-11-VT/DKV/2025</t>
  </si>
  <si>
    <t>Thửa số: 541, tờ bản đồ số: 52 Địa chỉ: 382/29 Nguyễn Thị Đặng , Phường Hiệp Thành, Quận 12, Thành phố Hồ Chí Minh</t>
  </si>
  <si>
    <t>Nguyễn Ngọc Lâu</t>
  </si>
  <si>
    <t>0979750876</t>
  </si>
  <si>
    <t>Shinhan Bank</t>
  </si>
  <si>
    <t>S1623-VT/DKV/2025</t>
  </si>
  <si>
    <t>Thửa số: 38, tờ bản đồ số: 80 Địa chỉ:539/32 Hương Lộ 3, Khu phố 9, Phường Bình Hưng Hòa, Thành phố Hồ Chí Minh</t>
  </si>
  <si>
    <t>Lê Thị Bích Lệ</t>
  </si>
  <si>
    <t>0026100004781007</t>
  </si>
  <si>
    <t>OCB Bank</t>
  </si>
  <si>
    <t>Thửa đất số 880, Tờ số bản đồ số 77, địa chỉ: Xã Lê Minh Xuân, Huyện Bình Chánh, TP Hồ Chí Minh</t>
  </si>
  <si>
    <t>S1631-VT/DKV/2025</t>
  </si>
  <si>
    <t>268 Nguyễn Duy Dương, P.04, Quận 10, Tp.HCM</t>
  </si>
  <si>
    <t>Lê Nguyễn Phương Thanh</t>
  </si>
  <si>
    <t>VP Bank</t>
  </si>
  <si>
    <t>0909974750</t>
  </si>
  <si>
    <t>H4273-15-VT/DKV/2025</t>
  </si>
  <si>
    <t>Đoàn Thị THoa</t>
  </si>
  <si>
    <t>106.6744</t>
  </si>
  <si>
    <t>10.82888</t>
  </si>
  <si>
    <t>106.67403</t>
  </si>
  <si>
    <t>106.67421</t>
  </si>
  <si>
    <t>10.82916</t>
  </si>
  <si>
    <t>106.67391</t>
  </si>
  <si>
    <t>10.82946</t>
  </si>
  <si>
    <t>106.67444</t>
  </si>
  <si>
    <t>10.82984</t>
  </si>
  <si>
    <t>106.67375</t>
  </si>
  <si>
    <t>10.83007</t>
  </si>
  <si>
    <t>106.67386</t>
  </si>
  <si>
    <t>10.83139</t>
  </si>
  <si>
    <t>106.67439</t>
  </si>
  <si>
    <t>10.83143</t>
  </si>
  <si>
    <t>106.66934</t>
  </si>
  <si>
    <t>10.82852</t>
  </si>
  <si>
    <t>106.66942</t>
  </si>
  <si>
    <t>10.82816</t>
  </si>
  <si>
    <t>106.66946</t>
  </si>
  <si>
    <t>10.82782</t>
  </si>
  <si>
    <t>106.66996</t>
  </si>
  <si>
    <t>10.82791</t>
  </si>
  <si>
    <t>HCM3282-13</t>
  </si>
  <si>
    <t>Nguyen Van Nhat</t>
  </si>
  <si>
    <t>102871860473</t>
  </si>
  <si>
    <t>H3282-13-VT/DKV/2025</t>
  </si>
  <si>
    <t>Thửa số 37, Tờ bản đồ số 151, 18/5C Phạm Văn Chiêu, Phường 9, Quận Gò Vấp,
Thành Phố Hồ Chí Minh</t>
  </si>
  <si>
    <t>Thửa đất số 530, Tờ số bản đồ số 107, địa chỉ: 382/3/15 Nguyễn Thái Sơn, Phường 5,
Quận Gò Vấp, Tp.HCM</t>
  </si>
  <si>
    <t>Nguyễn Thành Công</t>
  </si>
  <si>
    <t>SGN1826</t>
  </si>
  <si>
    <t>19040101352016</t>
  </si>
  <si>
    <t>S1826 -VT/DKV/2025</t>
  </si>
  <si>
    <t>Không có</t>
  </si>
  <si>
    <t>SMC</t>
  </si>
  <si>
    <t>Viettel</t>
  </si>
  <si>
    <t>Vina</t>
  </si>
  <si>
    <t>Chưa update</t>
  </si>
  <si>
    <t>không cần trả</t>
  </si>
  <si>
    <t>Chị Nga_0975014207</t>
  </si>
  <si>
    <t>Anh Quế_0373839678</t>
  </si>
  <si>
    <t>a Thắng_0916285729</t>
  </si>
  <si>
    <t>Chị Linh_0938089918</t>
  </si>
  <si>
    <t>Chị Xuân_0945386833</t>
  </si>
  <si>
    <t>A Sáng_0983888779</t>
  </si>
  <si>
    <t>A Hùng_0972712569</t>
  </si>
  <si>
    <t>A Đức_0785916179</t>
  </si>
  <si>
    <t>A Hanh_0974623456; a Tứ em trai_0977869616</t>
  </si>
  <si>
    <t>A Phương_0908196014</t>
  </si>
  <si>
    <t>Hòa_0903023987</t>
  </si>
  <si>
    <t>Hoàng Thị Thu Thuỷ_0902502539</t>
  </si>
  <si>
    <t>Nguyễn Thị Hồng Liên, a Cường_0764088296_0979141745</t>
  </si>
  <si>
    <t>chu kỳ thanh toán cho chủ nhà</t>
  </si>
  <si>
    <t>Tiền internet</t>
  </si>
  <si>
    <t>Ngày hết hạn HĐ</t>
  </si>
  <si>
    <t>Quận/huyện</t>
  </si>
  <si>
    <t>Số tiền thuê/tháng</t>
  </si>
  <si>
    <t>Chu kỳ thanh toán (tháng)</t>
  </si>
  <si>
    <t>Ngày thanh toán N+2</t>
  </si>
  <si>
    <t>Ngày thanh toán N+3</t>
  </si>
  <si>
    <t>Ngày thanh toán N+4</t>
  </si>
  <si>
    <t>Ngày thanh toán N+5</t>
  </si>
  <si>
    <t>Ngày thanh toán N+6</t>
  </si>
  <si>
    <t>Ngày thanh toán N+7</t>
  </si>
  <si>
    <t>Ngày thanh toán N+8</t>
  </si>
  <si>
    <t>Ngày thanh toán N+9</t>
  </si>
  <si>
    <t>Ngày thanh toán N+10</t>
  </si>
  <si>
    <t>Ngày thanh toán N+11</t>
  </si>
  <si>
    <t>Ngày thanh toán N+12</t>
  </si>
  <si>
    <t>Ngày thanh toán N+13</t>
  </si>
  <si>
    <t>Ngày thanh toán N+14</t>
  </si>
  <si>
    <t>Ngày thanh toán N+15</t>
  </si>
  <si>
    <t>Ngày thanh toán N+16</t>
  </si>
  <si>
    <t>Ngày thanh toán N+17</t>
  </si>
  <si>
    <t>Ngày thanh toán N+18</t>
  </si>
  <si>
    <t>Alarm thanh toán_Ngày còn lại</t>
  </si>
  <si>
    <t>Số tiền thanh toán</t>
  </si>
  <si>
    <t>Đã thanh toán L17</t>
  </si>
  <si>
    <t>Đã thanh toán L18</t>
  </si>
  <si>
    <t>Đã thanh toán L16</t>
  </si>
  <si>
    <t>Đã thanh toán L8</t>
  </si>
  <si>
    <t>Đã thanh toán L16+thanh toán chênh lệch</t>
  </si>
  <si>
    <t>Đã thanh toán L15</t>
  </si>
  <si>
    <t>38803257_ACB</t>
  </si>
  <si>
    <t>60195282024</t>
  </si>
  <si>
    <t>Đã thanh toán L14</t>
  </si>
  <si>
    <t>823459089999</t>
  </si>
  <si>
    <t>Bùi Thị Liên</t>
  </si>
  <si>
    <t>Đã thanh toán L7</t>
  </si>
  <si>
    <t>9903280393</t>
  </si>
  <si>
    <t>Đã thanh toán L7 theo HĐ cũ
Đã TT lần 1 từ 01012026 theo HĐ gia hạn</t>
  </si>
  <si>
    <t>Đã thanh toán L13</t>
  </si>
  <si>
    <t>Đã thanh toán L12</t>
  </si>
  <si>
    <t>LTD</t>
  </si>
  <si>
    <t>Trạm anh Dũng</t>
  </si>
  <si>
    <t>Đã thanh toán L6</t>
  </si>
  <si>
    <t>Đã thanh toán L13, 1 tháng</t>
  </si>
  <si>
    <t>Đã thanh toán L5</t>
  </si>
  <si>
    <t>0721000585743</t>
  </si>
  <si>
    <t>VietComBank Kỳ Đồng</t>
  </si>
  <si>
    <t>S1008-VT/DKV/2023</t>
  </si>
  <si>
    <t>S1012-VT/DKV/2023</t>
  </si>
  <si>
    <t>Q10</t>
  </si>
  <si>
    <t>Đã thanh toán L3</t>
  </si>
  <si>
    <t>Đã thanh toán L4</t>
  </si>
  <si>
    <t>MB bank</t>
  </si>
  <si>
    <t>Ngân hàng Techcombank TCB – CN Văn Thánh HCM</t>
  </si>
  <si>
    <t>Đã Thanh toán L3</t>
  </si>
  <si>
    <t>S1631 -VT/DKV/2025</t>
  </si>
  <si>
    <t>Đã thanh toán L2</t>
  </si>
  <si>
    <t>Eximbank</t>
  </si>
  <si>
    <t>Đã thanh toán L1</t>
  </si>
  <si>
    <t>HCM0643-11-&gt;SGN0754-11</t>
  </si>
  <si>
    <t>HCM1709-11-&gt;SGN0712-11</t>
  </si>
  <si>
    <t>Ngày thanh toán N+19</t>
  </si>
  <si>
    <t>Ngày thanh toán N+20</t>
  </si>
  <si>
    <t>Ngày thanh toán N+21</t>
  </si>
  <si>
    <t>Ngày thanh toán N+22</t>
  </si>
  <si>
    <t>Ngày thanh toán N+23</t>
  </si>
  <si>
    <t>Tgian thanh toán chủ nhà lần đầu: N+1</t>
  </si>
  <si>
    <t>Ngày Ký HĐ Viettel</t>
  </si>
  <si>
    <t>Loại Thanh toán L1</t>
  </si>
  <si>
    <t>Kỳ n+2</t>
  </si>
  <si>
    <t>Kỳ n+3</t>
  </si>
  <si>
    <t>Kỳ n+4</t>
  </si>
  <si>
    <t>Kỳ n+5</t>
  </si>
  <si>
    <t>Kỳ n+6</t>
  </si>
  <si>
    <t>Kỳ n+7</t>
  </si>
  <si>
    <t>Kỳ n+8</t>
  </si>
  <si>
    <t>Kỳ n+9</t>
  </si>
  <si>
    <t>Kỳ n+10</t>
  </si>
  <si>
    <t>Viettel trả theo kỳ_Có VAT</t>
  </si>
  <si>
    <t>BB nghiệm thu</t>
  </si>
  <si>
    <t>Ngày PS_04042022</t>
  </si>
  <si>
    <t>08/03/2024</t>
  </si>
  <si>
    <t>Ngày PS_25042022</t>
  </si>
  <si>
    <t>Ngày PS_07072022</t>
  </si>
  <si>
    <t>01/05/2022</t>
  </si>
  <si>
    <t>Ngày PS_07062022</t>
  </si>
  <si>
    <t>Ngày PS_10082022</t>
  </si>
  <si>
    <t>Ngày PS_08082022</t>
  </si>
  <si>
    <t>PS_09092022</t>
  </si>
  <si>
    <t>15/09/2022</t>
  </si>
  <si>
    <t>PS_09122022</t>
  </si>
  <si>
    <t>Ngày PS_12082022</t>
  </si>
  <si>
    <t>BBBG</t>
  </si>
  <si>
    <t>Ngày PS_03102022</t>
  </si>
  <si>
    <t>11/08/2024</t>
  </si>
  <si>
    <t>PS_13122022</t>
  </si>
  <si>
    <t>20/10/2022</t>
  </si>
  <si>
    <t>PS_16122022</t>
  </si>
  <si>
    <t>01/11/2022</t>
  </si>
  <si>
    <t>10/12/2022</t>
  </si>
  <si>
    <t>15/11/2022</t>
  </si>
  <si>
    <t>25/11/2022</t>
  </si>
  <si>
    <t>PS_14122022</t>
  </si>
  <si>
    <t>TGG0845</t>
  </si>
  <si>
    <t>Ngày PS_06072022</t>
  </si>
  <si>
    <t>Ngày PS_14012022</t>
  </si>
  <si>
    <t>Ngày PS</t>
  </si>
  <si>
    <t>15/04/2023</t>
  </si>
  <si>
    <t>Ngày PS_7/21/2023</t>
  </si>
  <si>
    <t>PS_25082023</t>
  </si>
  <si>
    <t>Ngày PS_7/14/2023</t>
  </si>
  <si>
    <t>Ngày PS '05092023</t>
  </si>
  <si>
    <t>PS_23082023</t>
  </si>
  <si>
    <t>SGN0933</t>
  </si>
  <si>
    <t>Ngày PS_7/26/2023</t>
  </si>
  <si>
    <t>23/11/2023</t>
  </si>
  <si>
    <t>15/11/2023</t>
  </si>
  <si>
    <t>BBBG_04122023</t>
  </si>
  <si>
    <t>SGN1167</t>
  </si>
  <si>
    <t>PS_06062024</t>
  </si>
  <si>
    <t>18/06/2024</t>
  </si>
  <si>
    <t>PS_20062024</t>
  </si>
  <si>
    <t>27/05/2024</t>
  </si>
  <si>
    <t>PS_11062024</t>
  </si>
  <si>
    <t>SGN0160-4x (41,42,43,44,45,46,47,48)</t>
  </si>
  <si>
    <t>HCM0429-4X (43; 44; 45; 47)</t>
  </si>
  <si>
    <t>Kỳ n+11</t>
  </si>
  <si>
    <t>Kỳ n+12</t>
  </si>
  <si>
    <t>Kỳ n+13</t>
  </si>
  <si>
    <t>Kỳ n+14</t>
  </si>
  <si>
    <t>Kỳ n+15</t>
  </si>
  <si>
    <t>Kỳ n+16</t>
  </si>
  <si>
    <t>Kỳ n+17</t>
  </si>
  <si>
    <t>Kỳ n+18</t>
  </si>
  <si>
    <t>Tiền Viettel trả/tháng (gồm VAT)</t>
  </si>
  <si>
    <t>Viettel thanh toán lần 1 (n+1)</t>
  </si>
  <si>
    <t>Mã Vina</t>
  </si>
  <si>
    <t>Mã Hợp đồng</t>
  </si>
  <si>
    <t>Ký ngày</t>
  </si>
  <si>
    <r>
      <t>SGN0005 (</t>
    </r>
    <r>
      <rPr>
        <sz val="11"/>
        <color rgb="FFFF0000"/>
        <rFont val="Times New Roman"/>
        <family val="1"/>
      </rPr>
      <t>Hưng Thịnh--&gt;DKV</t>
    </r>
    <r>
      <rPr>
        <sz val="11"/>
        <color theme="1"/>
        <rFont val="Times New Roman"/>
        <family val="1"/>
      </rPr>
      <t>)</t>
    </r>
  </si>
  <si>
    <t>HCM2021-PTM-010</t>
  </si>
  <si>
    <t>29-2022/HDTCSHT-VNPT.TPHCM-VTHM
và PLHĐ chuyển chủ thể HĐ bên cho thuê ngày 10/01/2025</t>
  </si>
  <si>
    <t>01/09/2022</t>
  </si>
  <si>
    <t>HCM2021-PTM-102</t>
  </si>
  <si>
    <t>40-2022/HDTCSHT-VNPT.TPHCM-VTHM</t>
  </si>
  <si>
    <t>24/05/2022</t>
  </si>
  <si>
    <t>HCM2018-BLL-186</t>
  </si>
  <si>
    <t>186/HĐ.TCSHT-VTGĐ-DKV
Và PLHĐ số 01 ký ngày 01/12/2022</t>
  </si>
  <si>
    <t>12/04/2022</t>
  </si>
  <si>
    <t>BV175</t>
  </si>
  <si>
    <t>HCM2022-193</t>
  </si>
  <si>
    <t>193/HĐ.TCSHT-VTGĐ-DKV</t>
  </si>
  <si>
    <t>19/05/2022</t>
  </si>
  <si>
    <t>Nguyễn Thái Bình</t>
  </si>
  <si>
    <t>13/HĐ.TCSHT-VTGĐ-DKV</t>
  </si>
  <si>
    <t>01/07/2022</t>
  </si>
  <si>
    <t>ĐH Công Nghiệp</t>
  </si>
  <si>
    <t>10/HĐ.TCSHT-VTGĐ-DKV</t>
  </si>
  <si>
    <t>07/05/2022 -&gt;09/30/2022</t>
  </si>
  <si>
    <t>Tram a V_HCM590-359</t>
  </si>
  <si>
    <t>43-2022/HDTCSHT-VNPT.TPHCM-VTHM</t>
  </si>
  <si>
    <t>26/05/2022</t>
  </si>
  <si>
    <t>HCM2022-PTM-005</t>
  </si>
  <si>
    <t xml:space="preserve">10/XHH2024-VTHM </t>
  </si>
  <si>
    <t>02/04/2025</t>
  </si>
  <si>
    <t>HCM2022-PTM-001</t>
  </si>
  <si>
    <t>09/XHH2024-VTHM</t>
  </si>
  <si>
    <t>27/03/2024</t>
  </si>
  <si>
    <t>Chu kỳ thanh toán</t>
  </si>
  <si>
    <t>Tiền Vina trả/tháng (gồm VAT)</t>
  </si>
  <si>
    <t>VN thanh toán lần 1 (n+1)</t>
  </si>
  <si>
    <t>Vina trả theo kỳ_Có VAT</t>
  </si>
  <si>
    <t>Kỳ n+19</t>
  </si>
  <si>
    <t>Kỳ n+20</t>
  </si>
  <si>
    <t>Kỳ n+21</t>
  </si>
  <si>
    <t>Kỳ n+22</t>
  </si>
  <si>
    <t>Kỳ n+23</t>
  </si>
  <si>
    <t>Mã Mobi</t>
  </si>
  <si>
    <t>Mã HĐ</t>
  </si>
  <si>
    <t>Tên trạm</t>
  </si>
  <si>
    <t>Chu kỳ (tháng)</t>
  </si>
  <si>
    <t>MB thanh toán lần 1</t>
  </si>
  <si>
    <t>Mobi trả theo kỳ_Có VAT</t>
  </si>
  <si>
    <t>HBC021</t>
  </si>
  <si>
    <t>55-22/TL.MLMN-ĐVTT</t>
  </si>
  <si>
    <t>14/4/2022</t>
  </si>
  <si>
    <t>113-22/TT.MLMN-ĐVTT</t>
  </si>
  <si>
    <t>25/6/2022</t>
  </si>
  <si>
    <t>21HTD010</t>
  </si>
  <si>
    <t>2125/HĐ-TT.MLMN và PLHĐ Số 01 v/v điều chỉnh HĐ số 2125</t>
  </si>
  <si>
    <t>HĐ ký ngày: 05/9/2022 và PLHĐ ký ngày 30/6/2023</t>
  </si>
  <si>
    <t>HTD281</t>
  </si>
  <si>
    <t>22HGV004</t>
  </si>
  <si>
    <t>266-24 LĐ/TT.MLMN-ĐVTT</t>
  </si>
  <si>
    <t>28/5/2024</t>
  </si>
  <si>
    <t>HGV228</t>
  </si>
  <si>
    <t>HCM2331-11_BV Xuyên Á</t>
  </si>
  <si>
    <t>HCC143</t>
  </si>
  <si>
    <t>443-24/TT.MLMN-ĐVTT</t>
  </si>
  <si>
    <t>24/10/2024</t>
  </si>
  <si>
    <t>22HTD009</t>
  </si>
  <si>
    <t>131/2025/HĐ-TT.MLMN-ĐVTĐHCM</t>
  </si>
  <si>
    <t>26/5/2025</t>
  </si>
  <si>
    <t>HTD297</t>
  </si>
  <si>
    <t>24H12102</t>
  </si>
  <si>
    <t>171-25/TT.MLMN-ĐVTT</t>
  </si>
  <si>
    <t>12/5/2025</t>
  </si>
  <si>
    <t>SGN0808</t>
  </si>
  <si>
    <t>24HHM514</t>
  </si>
  <si>
    <t>170-25/TT.MLMN-ĐVTT</t>
  </si>
  <si>
    <t>22HHM006</t>
  </si>
  <si>
    <t>169-25/TT.MLMN-ĐVTT</t>
  </si>
  <si>
    <t>Tiền mobi trả/tháng (gồm VAT)</t>
  </si>
  <si>
    <t>Thửa đất số 700, Tờ BĐ số 24, Xã Hòa Phú, Củ Chi, TPHCM</t>
  </si>
  <si>
    <t>Lê Trí Dũng</t>
  </si>
  <si>
    <t>1010119784009</t>
  </si>
  <si>
    <t>S1167 -VT/DKV/2023</t>
  </si>
  <si>
    <t>SGN1680</t>
  </si>
  <si>
    <t>Thửa đất số 611, Tờ số bản đồ số 41, địa chỉ: 85/1A đường Đông Thạnh 4-2, Xã Đông Thạnh, TP Hồ Chí Minh</t>
  </si>
  <si>
    <t>Nguyễn Thị Lệ Thủy</t>
  </si>
  <si>
    <t>245343459</t>
  </si>
  <si>
    <t>ACB Bank</t>
  </si>
  <si>
    <t>S1680 -VT/DKV/2025</t>
  </si>
  <si>
    <t>Tái ký, tt từ 01012026</t>
  </si>
  <si>
    <t>SGN0339</t>
  </si>
  <si>
    <t>Cá nhân</t>
  </si>
  <si>
    <t>Phòng máy Mobi</t>
  </si>
  <si>
    <t>Chân đế để Vina lắp phòng máy</t>
  </si>
  <si>
    <t>Chi phí lãi vay</t>
  </si>
  <si>
    <t>Chi phí feedback lại Vina</t>
  </si>
  <si>
    <t>Chi phí feedback lại Mobi</t>
  </si>
  <si>
    <t>Tiền trả chủ nhà/tháng</t>
  </si>
  <si>
    <t>Tiền nhà mạng Viettel trả/tháng</t>
  </si>
  <si>
    <t>Tiền nhà mạng Vina trả/tháng</t>
  </si>
  <si>
    <t>Tiền nhà mạng Mobi trả/tháng</t>
  </si>
  <si>
    <t>Tổng thu/tháng (gồm VAT)</t>
  </si>
  <si>
    <t>Tổng thu/tháng sau khi trừ thuế 10%</t>
  </si>
  <si>
    <t>Thời gian (tháng) hoàn vốn</t>
  </si>
  <si>
    <t>Tổng cộng</t>
  </si>
  <si>
    <t>SGN0645-&gt;SGN0808</t>
  </si>
  <si>
    <t>Tổng Chi phí Sau VAT</t>
  </si>
  <si>
    <t>Tổng chi phí thực bỏ ra (có tính lãi vay)</t>
  </si>
  <si>
    <t>Tổng chi phí bỏ ra</t>
  </si>
  <si>
    <t>Delta, lãi ròng/tháng</t>
  </si>
  <si>
    <t>1 tháng</t>
  </si>
  <si>
    <t>9903280393
'017003453071</t>
  </si>
  <si>
    <t>Thái Văn_0914188536</t>
  </si>
  <si>
    <t>Nguyễn Thanh Hoàng_0982036730</t>
  </si>
  <si>
    <t>Nguyễn Phước Hưng_0906716171</t>
  </si>
  <si>
    <t>Phạm Tiến Mạnh (đã ký PL HĐ cho Lê Thị Liên đứng tên 10/2023)_0903825046
0982345908</t>
  </si>
  <si>
    <t>Nguyễn Thúy Kiều_0913606015</t>
  </si>
  <si>
    <t>Nguyễn Thị Tuyết Hồng\nNguyễn Thị Tuyết Hà_0903675627</t>
  </si>
  <si>
    <t>Trạm A Khoa</t>
  </si>
  <si>
    <t>Đinh Thái Lâm_0977908008</t>
  </si>
  <si>
    <t>Nguyễn Hữu Hồng_0903863408</t>
  </si>
  <si>
    <t>Kiều Thị Thuý Nga_0908330038</t>
  </si>
  <si>
    <t>Dương Bảo Quốc_0394738127</t>
  </si>
  <si>
    <t>Công ty 32</t>
  </si>
  <si>
    <t>Hồ Văn Chín_0972223079</t>
  </si>
  <si>
    <t>Nguyễn Khắc Anh_0903805910</t>
  </si>
  <si>
    <t>Đặng Ngọc Phúc _0902343086</t>
  </si>
  <si>
    <t>Lê Hữu Hà  _0909304545</t>
  </si>
  <si>
    <t>Nguyễn Ngọc Cương  _0932625059</t>
  </si>
  <si>
    <t>Trần Đình Lân  _0932791962</t>
  </si>
  <si>
    <t>Chị Dung_0903970229</t>
  </si>
  <si>
    <t>Lê Văn Thành  _0908686462</t>
  </si>
  <si>
    <t>Nguyễn Minh Đức_0938487686</t>
  </si>
  <si>
    <t>Hồ Hữu Hải_0908011107</t>
  </si>
  <si>
    <t>Trần Thị Hoan_0374718960</t>
  </si>
  <si>
    <t>Bùi Văn Đích _0908479268</t>
  </si>
  <si>
    <t>Võ Minh Trí_0963961645</t>
  </si>
  <si>
    <t>Nguyễn Thái Thìn_0938673379</t>
  </si>
  <si>
    <t>Nguyễn Thị Kim Thoa_0938243268</t>
  </si>
  <si>
    <t>Cao Kế Siêu_0933007020</t>
  </si>
  <si>
    <t>Đặng Minh Hải_0983636671</t>
  </si>
  <si>
    <t>Hoàng Tiến Lê_0903348317</t>
  </si>
  <si>
    <t>Nguyễn Hồng Phong_0919375092</t>
  </si>
  <si>
    <t>Nguyễn Minh Trí_0989799575</t>
  </si>
  <si>
    <t>Phạm Văn Phú_0973240117</t>
  </si>
  <si>
    <t>Dương Thị Chung  _0976338079</t>
  </si>
  <si>
    <t>Nguyễn Phi Linh_0949978957</t>
  </si>
  <si>
    <t>Lâm Ngô Hoàng Anh_0822689999</t>
  </si>
  <si>
    <t>Lê Đồng Cội_0377858939</t>
  </si>
  <si>
    <t>Đinh Hồng Phát_0767059961</t>
  </si>
  <si>
    <t>Lê Văn Quyết_0903316217</t>
  </si>
  <si>
    <t>Ngô Văn Hoan_0977147345</t>
  </si>
  <si>
    <t>Hồ Văn Thanh_0988864693</t>
  </si>
  <si>
    <t>Nguyễn Thị Nguyệt_0937878798</t>
  </si>
  <si>
    <t>CTY 32</t>
  </si>
  <si>
    <t>P.10 Gò Vấp</t>
  </si>
  <si>
    <t>Lê Hữu Duy_0903170378</t>
  </si>
  <si>
    <t>Nguyễn Ngọc Lâu_0979750876</t>
  </si>
  <si>
    <t>Nguyễn Đức Hạnh _0933366688</t>
  </si>
  <si>
    <t>Đỗ Thị Lân_0902347178</t>
  </si>
  <si>
    <t>Lê Nguyễn Phương Thanh_0909974750</t>
  </si>
  <si>
    <t>Nguyễn Văn Nhất_0984673120</t>
  </si>
  <si>
    <t>Nguyễn Thành Công_0902613032</t>
  </si>
  <si>
    <t>Trạm Chị của Ly</t>
  </si>
  <si>
    <t>Có_HCM2021-PTM-010</t>
  </si>
  <si>
    <t>Có_HCM2021-PTM-102</t>
  </si>
  <si>
    <t>Có_HCM2018-BLL-186</t>
  </si>
  <si>
    <t>Có_HCM2022-193</t>
  </si>
  <si>
    <t>Có_HCM2022-TUH-013</t>
  </si>
  <si>
    <t>Có_HCM2022-TUH-010</t>
  </si>
  <si>
    <t>Có_HCM590-359</t>
  </si>
  <si>
    <t>Có_HCM2022-PTM-005</t>
  </si>
  <si>
    <t>Có_HCM2022-PTM-001</t>
  </si>
  <si>
    <t>Có_HCM2022-172</t>
  </si>
  <si>
    <t>Có_HCM2022-PTM-003</t>
  </si>
  <si>
    <t>Có_HCM2022-PTM-004</t>
  </si>
  <si>
    <t>Có_HCM2024-023</t>
  </si>
  <si>
    <t>Có_HCM2024-022</t>
  </si>
  <si>
    <t>Có_HCM2023-PTM-024</t>
  </si>
  <si>
    <t>Có_HCM2022-PTM-002</t>
  </si>
  <si>
    <t>Có_HCM2026-1401</t>
  </si>
  <si>
    <t>có_HBC021</t>
  </si>
  <si>
    <t>Có_HHM097</t>
  </si>
  <si>
    <t>Có_21HTD010</t>
  </si>
  <si>
    <t>Có_HCC143</t>
  </si>
  <si>
    <t>Có_24H12102</t>
  </si>
  <si>
    <t>Có_24HHM514</t>
  </si>
  <si>
    <t>Có_22HHM006</t>
  </si>
  <si>
    <t>Có_22HGV004_HGV228</t>
  </si>
  <si>
    <t>có_22HTD009_HTD297</t>
  </si>
  <si>
    <t>Có_24HHM108</t>
  </si>
  <si>
    <t>Ngày hết hạn hợp đồng_mới</t>
  </si>
  <si>
    <t>giá thuê chủ nhà_mới</t>
  </si>
  <si>
    <t>Số tiền thuê/tháng_mới</t>
  </si>
  <si>
    <t>66646</t>
  </si>
  <si>
    <t>La Ngoc Linh</t>
  </si>
  <si>
    <t>Ngan hang ACB</t>
  </si>
  <si>
    <t>19022625139011
66646</t>
  </si>
  <si>
    <t>Nguyễn Phi Hiệp
-&gt; La Ngọc Linh</t>
  </si>
  <si>
    <t>Techcombank
--&gt; Ngan hing ACB</t>
  </si>
  <si>
    <t>21HTD010_HTD281</t>
  </si>
  <si>
    <t>22HGV004_HGV228</t>
  </si>
  <si>
    <t>HCM2026-1395</t>
  </si>
  <si>
    <t>Góc Marie Curie - William Sharkespeare, Đường Marie Cuire, Phường Đông Hòa, TP.HCM</t>
  </si>
  <si>
    <t>Có_HCM2026-1395</t>
  </si>
  <si>
    <t>A Cường_GĐ TT XTĐT DHQG</t>
  </si>
  <si>
    <t>Chưa có thông tin</t>
  </si>
  <si>
    <t>……../2026/HĐTMB/IPSC-DKV</t>
  </si>
  <si>
    <t>Có_HCM2026-1451</t>
  </si>
  <si>
    <t>HCM2022-172</t>
  </si>
  <si>
    <t>HCM2022-PTM-003</t>
  </si>
  <si>
    <t>HCM2022-PTM-004</t>
  </si>
  <si>
    <t>HCM2024-023</t>
  </si>
  <si>
    <t>HCM2024-022</t>
  </si>
  <si>
    <t>HCM2023-PTM-024</t>
  </si>
  <si>
    <t>HCM2022-PTM-002</t>
  </si>
  <si>
    <t>32/HĐ2025.TCSHT-VTCC</t>
  </si>
  <si>
    <t xml:space="preserve">94/HĐ.TCSHT-TTVTHM.2025 </t>
  </si>
  <si>
    <t>93/HĐ.TCSHT-TTVTHM.2025</t>
  </si>
  <si>
    <t>122-2025/HĐ.TCSHT/VNPT.HCM</t>
  </si>
  <si>
    <t>150-2025/HĐ.TCSHT/VNPT.HCM</t>
  </si>
  <si>
    <t>91/HĐ.TCSHT-TTVTHM.2025</t>
  </si>
  <si>
    <t>92/HĐ.TCSHT-TTVTHM.2025</t>
  </si>
  <si>
    <t>22/08/2025</t>
  </si>
  <si>
    <t xml:space="preserve">26/9/2025 </t>
  </si>
  <si>
    <t>26/9/2025</t>
  </si>
  <si>
    <t>26/11/2025</t>
  </si>
  <si>
    <t>24HHM108</t>
  </si>
  <si>
    <t>343-25/TT.MLMN-ĐVTT</t>
  </si>
  <si>
    <t>HCMSHH27</t>
  </si>
  <si>
    <t>71-2026/HĐ-MBF.HCM-VTĐ</t>
  </si>
  <si>
    <t>26HBC053</t>
  </si>
  <si>
    <t>933/HĐ-VTT</t>
  </si>
  <si>
    <t>15/04/2026 - 15/10/2026</t>
  </si>
  <si>
    <t>01/07/2026 - 31/12/2026</t>
  </si>
  <si>
    <t>01/07/2026 - 30/09/2026</t>
  </si>
  <si>
    <t>01/05/2026 - 30/11/2026</t>
  </si>
  <si>
    <t>01/09/2026 - 28/02/2027</t>
  </si>
  <si>
    <t>chưa nhận tiền</t>
  </si>
  <si>
    <t>01/05/2026 - 31/10/2026</t>
  </si>
  <si>
    <t>14/09/2026</t>
  </si>
  <si>
    <t>Dự kiến thanh toán kỳ đầu tiên</t>
  </si>
  <si>
    <t>Có_HCMSHH27</t>
  </si>
  <si>
    <t>HCM2026-1401</t>
  </si>
  <si>
    <t>948-2026/HD.TCSHT/VNPT.11CM</t>
  </si>
  <si>
    <t>3/6/2026</t>
  </si>
  <si>
    <t>1025-2026/HĐ.TCSHT/VNPT.HCM</t>
  </si>
  <si>
    <t>???</t>
  </si>
  <si>
    <t>HCM2026-1451</t>
  </si>
  <si>
    <t>991-2026/HD.TCS11T/VNPT.HCM</t>
  </si>
  <si>
    <t>17/7/2026</t>
  </si>
  <si>
    <t>0938089918
108887371184</t>
  </si>
  <si>
    <t>Mbbank
Vietin Bank</t>
  </si>
  <si>
    <t>Ngày bắt đầu tính giá thuê mới</t>
  </si>
  <si>
    <t>108887371184</t>
  </si>
  <si>
    <t>Vietin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</si>
</sst>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8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charset val="163"/>
    </font>
    <font>
      <sz val="9"/>
      <name val="Calibri"/>
      <family val="2"/>
      <charset val="163"/>
    </font>
    <font>
      <sz val="9"/>
      <color rgb="FFFF0000"/>
      <name val="Calibri"/>
      <family val="2"/>
      <charset val="163"/>
    </font>
    <font>
      <sz val="9"/>
      <color rgb="FF00B0F0"/>
      <name val="Calibri"/>
      <family val="2"/>
      <charset val="163"/>
    </font>
    <font>
      <sz val="9"/>
      <color rgb="FF7030A0"/>
      <name val="Calibri"/>
      <family val="2"/>
      <charset val="163"/>
    </font>
    <font>
      <sz val="9"/>
      <color rgb="FFFF0000"/>
      <name val="Calibri"/>
      <family val="2"/>
      <scheme val="minor"/>
    </font>
    <font>
      <sz val="9"/>
      <color theme="1"/>
      <name val="Times New Roman"/>
      <family val="1"/>
    </font>
    <font>
      <sz val="9"/>
      <name val="Times New Roman"/>
      <family val="1"/>
    </font>
    <font>
      <sz val="9"/>
      <color rgb="FFFF0000"/>
      <name val="Times New Roman"/>
      <family val="1"/>
    </font>
    <font>
      <sz val="11"/>
      <color theme="1"/>
      <name val="Times New Roman"/>
      <family val="1"/>
    </font>
    <font>
      <sz val="9"/>
      <name val="Calibri"/>
      <family val="2"/>
      <scheme val="minor"/>
    </font>
    <font>
      <sz val="11"/>
      <name val="Times New Roman"/>
      <family val="1"/>
    </font>
    <font>
      <sz val="11"/>
      <color rgb="FFFF0000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1"/>
      <color rgb="FFFF0000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8"/>
      <color theme="1"/>
      <name val="Times New Roman"/>
      <family val="1"/>
    </font>
    <font>
      <b/>
      <sz val="8"/>
      <color rgb="FFFF0000"/>
      <name val="Times New Roman"/>
      <family val="1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</font>
    <font>
      <sz val="8"/>
      <name val="Times New Roman"/>
      <family val="1"/>
    </font>
    <font>
      <sz val="8"/>
      <color rgb="FFFF0000"/>
      <name val="Times New Roman"/>
      <family val="1"/>
    </font>
    <font>
      <b/>
      <sz val="11"/>
      <color theme="1"/>
      <name val="Times New Roman"/>
      <family val="1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9"/>
      <color indexed="81"/>
      <name val="Tahoma"/>
    </font>
    <font>
      <sz val="9"/>
      <color indexed="81"/>
      <name val="Tahoma"/>
    </font>
    <font>
      <sz val="11"/>
      <color rgb="FF00B050"/>
      <name val="Calibri"/>
      <family val="2"/>
      <scheme val="minor"/>
    </font>
    <font>
      <sz val="12"/>
      <color rgb="FF00B050"/>
      <name val="Times New Roman"/>
      <family val="1"/>
      <charset val="163"/>
    </font>
    <font>
      <sz val="12"/>
      <color rgb="FF7030A0"/>
      <name val="Times New Roman"/>
      <family val="1"/>
      <charset val="163"/>
    </font>
    <font>
      <sz val="11"/>
      <color rgb="FF7030A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ADD8E6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7" fillId="0" borderId="0" applyFont="0" applyFill="0" applyBorder="0" applyAlignment="0" applyProtection="0"/>
  </cellStyleXfs>
  <cellXfs count="30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quotePrefix="1" applyFont="1" applyBorder="1" applyAlignment="1">
      <alignment horizontal="center" vertical="center" wrapText="1"/>
    </xf>
    <xf numFmtId="14" fontId="0" fillId="0" borderId="0" xfId="0" applyNumberFormat="1"/>
    <xf numFmtId="14" fontId="1" fillId="0" borderId="1" xfId="0" quotePrefix="1" applyNumberFormat="1" applyFont="1" applyBorder="1" applyAlignment="1">
      <alignment horizontal="center" vertical="center" wrapText="1"/>
    </xf>
    <xf numFmtId="14" fontId="1" fillId="2" borderId="1" xfId="0" quotePrefix="1" applyNumberFormat="1" applyFont="1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14" fontId="7" fillId="0" borderId="1" xfId="0" quotePrefix="1" applyNumberFormat="1" applyFont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1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0" xfId="0" applyFont="1"/>
    <xf numFmtId="0" fontId="15" fillId="0" borderId="1" xfId="0" applyFont="1" applyBorder="1" applyAlignment="1">
      <alignment horizontal="center" vertical="center" wrapText="1"/>
    </xf>
    <xf numFmtId="164" fontId="0" fillId="0" borderId="0" xfId="1" applyNumberFormat="1" applyFont="1"/>
    <xf numFmtId="0" fontId="0" fillId="0" borderId="1" xfId="0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43" fontId="0" fillId="0" borderId="1" xfId="1" applyFont="1" applyBorder="1" applyAlignment="1">
      <alignment horizontal="center" vertical="center" wrapText="1"/>
    </xf>
    <xf numFmtId="43" fontId="0" fillId="0" borderId="0" xfId="0" applyNumberFormat="1" applyAlignment="1">
      <alignment wrapText="1"/>
    </xf>
    <xf numFmtId="0" fontId="15" fillId="0" borderId="0" xfId="0" quotePrefix="1" applyFont="1" applyAlignment="1">
      <alignment horizontal="left" wrapText="1"/>
    </xf>
    <xf numFmtId="0" fontId="0" fillId="0" borderId="0" xfId="0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/>
    </xf>
    <xf numFmtId="164" fontId="19" fillId="9" borderId="1" xfId="1" applyNumberFormat="1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64" fontId="0" fillId="10" borderId="1" xfId="1" applyNumberFormat="1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164" fontId="0" fillId="10" borderId="1" xfId="1" applyNumberFormat="1" applyFont="1" applyFill="1" applyBorder="1"/>
    <xf numFmtId="0" fontId="19" fillId="10" borderId="1" xfId="0" applyFont="1" applyFill="1" applyBorder="1" applyAlignment="1">
      <alignment horizontal="center" vertical="center"/>
    </xf>
    <xf numFmtId="164" fontId="19" fillId="10" borderId="1" xfId="1" applyNumberFormat="1" applyFont="1" applyFill="1" applyBorder="1"/>
    <xf numFmtId="164" fontId="0" fillId="5" borderId="0" xfId="0" applyNumberFormat="1" applyFill="1"/>
    <xf numFmtId="0" fontId="15" fillId="0" borderId="1" xfId="0" quotePrefix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164" fontId="0" fillId="6" borderId="1" xfId="1" applyNumberFormat="1" applyFont="1" applyFill="1" applyBorder="1" applyAlignment="1">
      <alignment horizontal="center" vertical="center"/>
    </xf>
    <xf numFmtId="164" fontId="19" fillId="9" borderId="2" xfId="1" applyNumberFormat="1" applyFont="1" applyFill="1" applyBorder="1" applyAlignment="1">
      <alignment horizontal="center" vertical="center"/>
    </xf>
    <xf numFmtId="164" fontId="0" fillId="10" borderId="2" xfId="1" applyNumberFormat="1" applyFont="1" applyFill="1" applyBorder="1" applyAlignment="1">
      <alignment horizontal="center" vertical="center"/>
    </xf>
    <xf numFmtId="164" fontId="0" fillId="10" borderId="4" xfId="1" applyNumberFormat="1" applyFont="1" applyFill="1" applyBorder="1"/>
    <xf numFmtId="0" fontId="0" fillId="11" borderId="1" xfId="0" applyFill="1" applyBorder="1" applyAlignment="1">
      <alignment horizontal="center" vertical="center"/>
    </xf>
    <xf numFmtId="164" fontId="0" fillId="11" borderId="1" xfId="1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0" fontId="0" fillId="2" borderId="0" xfId="0" applyFill="1" applyAlignment="1">
      <alignment wrapText="1"/>
    </xf>
    <xf numFmtId="0" fontId="15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14" fontId="8" fillId="6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wrapText="1"/>
    </xf>
    <xf numFmtId="3" fontId="1" fillId="0" borderId="1" xfId="0" applyNumberFormat="1" applyFont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64" fontId="11" fillId="0" borderId="1" xfId="1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/>
    <xf numFmtId="164" fontId="1" fillId="0" borderId="1" xfId="1" quotePrefix="1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" fillId="0" borderId="3" xfId="0" quotePrefix="1" applyFont="1" applyBorder="1" applyAlignment="1">
      <alignment horizontal="center" vertical="center" wrapText="1"/>
    </xf>
    <xf numFmtId="164" fontId="1" fillId="0" borderId="3" xfId="1" quotePrefix="1" applyNumberFormat="1" applyFont="1" applyFill="1" applyBorder="1" applyAlignment="1">
      <alignment horizontal="center" vertical="center" wrapText="1"/>
    </xf>
    <xf numFmtId="3" fontId="0" fillId="0" borderId="3" xfId="0" applyNumberForma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2" fillId="0" borderId="1" xfId="0" quotePrefix="1" applyFont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 vertical="center" wrapText="1"/>
    </xf>
    <xf numFmtId="14" fontId="12" fillId="0" borderId="1" xfId="0" quotePrefix="1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2" fillId="0" borderId="3" xfId="0" quotePrefix="1" applyFont="1" applyBorder="1" applyAlignment="1">
      <alignment horizontal="center" vertical="center" wrapText="1"/>
    </xf>
    <xf numFmtId="0" fontId="9" fillId="0" borderId="3" xfId="0" quotePrefix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1" xfId="0" quotePrefix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7" fillId="2" borderId="1" xfId="0" quotePrefix="1" applyNumberFormat="1" applyFont="1" applyFill="1" applyBorder="1" applyAlignment="1">
      <alignment horizontal="center" vertical="center" wrapText="1"/>
    </xf>
    <xf numFmtId="14" fontId="0" fillId="0" borderId="1" xfId="0" quotePrefix="1" applyNumberFormat="1" applyBorder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164" fontId="21" fillId="0" borderId="1" xfId="1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164" fontId="22" fillId="2" borderId="1" xfId="1" applyNumberFormat="1" applyFont="1" applyFill="1" applyBorder="1" applyAlignment="1">
      <alignment horizontal="center" vertical="center"/>
    </xf>
    <xf numFmtId="0" fontId="21" fillId="14" borderId="1" xfId="0" applyFont="1" applyFill="1" applyBorder="1" applyAlignment="1">
      <alignment horizontal="center" vertical="center"/>
    </xf>
    <xf numFmtId="164" fontId="21" fillId="5" borderId="1" xfId="0" applyNumberFormat="1" applyFont="1" applyFill="1" applyBorder="1" applyAlignment="1">
      <alignment horizontal="center"/>
    </xf>
    <xf numFmtId="0" fontId="22" fillId="0" borderId="1" xfId="0" applyFont="1" applyBorder="1" applyAlignment="1">
      <alignment horizontal="center" vertical="center"/>
    </xf>
    <xf numFmtId="164" fontId="22" fillId="0" borderId="1" xfId="1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164" fontId="23" fillId="0" borderId="1" xfId="1" applyNumberFormat="1" applyFont="1" applyBorder="1" applyAlignment="1">
      <alignment horizontal="center" vertical="center"/>
    </xf>
    <xf numFmtId="164" fontId="24" fillId="2" borderId="1" xfId="1" applyNumberFormat="1" applyFont="1" applyFill="1" applyBorder="1" applyAlignment="1">
      <alignment horizontal="center" vertical="center"/>
    </xf>
    <xf numFmtId="164" fontId="24" fillId="0" borderId="1" xfId="1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 wrapText="1"/>
    </xf>
    <xf numFmtId="164" fontId="23" fillId="2" borderId="1" xfId="1" applyNumberFormat="1" applyFont="1" applyFill="1" applyBorder="1" applyAlignment="1">
      <alignment horizontal="center" vertical="center"/>
    </xf>
    <xf numFmtId="164" fontId="11" fillId="0" borderId="1" xfId="1" quotePrefix="1" applyNumberFormat="1" applyFont="1" applyBorder="1" applyAlignment="1">
      <alignment horizontal="center" vertical="center" wrapText="1"/>
    </xf>
    <xf numFmtId="0" fontId="26" fillId="0" borderId="0" xfId="0" applyFont="1"/>
    <xf numFmtId="0" fontId="27" fillId="2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0" fontId="18" fillId="2" borderId="1" xfId="0" quotePrefix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0" fontId="19" fillId="0" borderId="0" xfId="0" applyFont="1" applyAlignment="1">
      <alignment wrapText="1"/>
    </xf>
    <xf numFmtId="0" fontId="13" fillId="0" borderId="1" xfId="0" applyFont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164" fontId="18" fillId="0" borderId="1" xfId="1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 wrapText="1"/>
    </xf>
    <xf numFmtId="0" fontId="32" fillId="4" borderId="1" xfId="0" applyFont="1" applyFill="1" applyBorder="1" applyAlignment="1">
      <alignment horizontal="center" vertical="center" wrapText="1"/>
    </xf>
    <xf numFmtId="0" fontId="32" fillId="0" borderId="7" xfId="0" applyFont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 wrapText="1"/>
    </xf>
    <xf numFmtId="0" fontId="34" fillId="0" borderId="0" xfId="0" applyFont="1"/>
    <xf numFmtId="164" fontId="33" fillId="2" borderId="1" xfId="1" applyNumberFormat="1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164" fontId="35" fillId="0" borderId="1" xfId="1" applyNumberFormat="1" applyFont="1" applyBorder="1" applyAlignment="1">
      <alignment horizontal="center" vertical="center"/>
    </xf>
    <xf numFmtId="0" fontId="35" fillId="0" borderId="1" xfId="0" quotePrefix="1" applyFont="1" applyBorder="1" applyAlignment="1">
      <alignment horizontal="center" vertical="center"/>
    </xf>
    <xf numFmtId="14" fontId="36" fillId="0" borderId="1" xfId="0" quotePrefix="1" applyNumberFormat="1" applyFont="1" applyBorder="1" applyAlignment="1">
      <alignment horizontal="center" vertical="center"/>
    </xf>
    <xf numFmtId="14" fontId="35" fillId="0" borderId="1" xfId="0" quotePrefix="1" applyNumberFormat="1" applyFont="1" applyBorder="1" applyAlignment="1">
      <alignment horizontal="center" vertical="center"/>
    </xf>
    <xf numFmtId="14" fontId="35" fillId="2" borderId="1" xfId="0" quotePrefix="1" applyNumberFormat="1" applyFont="1" applyFill="1" applyBorder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164" fontId="36" fillId="0" borderId="1" xfId="1" applyNumberFormat="1" applyFont="1" applyBorder="1" applyAlignment="1">
      <alignment horizontal="center" vertical="center"/>
    </xf>
    <xf numFmtId="0" fontId="35" fillId="0" borderId="4" xfId="0" applyFont="1" applyBorder="1" applyAlignment="1">
      <alignment horizontal="center" vertical="center"/>
    </xf>
    <xf numFmtId="0" fontId="35" fillId="6" borderId="4" xfId="0" applyFont="1" applyFill="1" applyBorder="1" applyAlignment="1">
      <alignment horizontal="center" vertical="center"/>
    </xf>
    <xf numFmtId="164" fontId="35" fillId="0" borderId="4" xfId="1" applyNumberFormat="1" applyFont="1" applyBorder="1" applyAlignment="1">
      <alignment horizontal="center" vertical="center"/>
    </xf>
    <xf numFmtId="0" fontId="35" fillId="0" borderId="4" xfId="0" quotePrefix="1" applyFont="1" applyBorder="1" applyAlignment="1">
      <alignment horizontal="center" vertical="center"/>
    </xf>
    <xf numFmtId="14" fontId="36" fillId="0" borderId="4" xfId="0" quotePrefix="1" applyNumberFormat="1" applyFont="1" applyBorder="1" applyAlignment="1">
      <alignment horizontal="center" vertical="center"/>
    </xf>
    <xf numFmtId="14" fontId="35" fillId="0" borderId="4" xfId="1" applyNumberFormat="1" applyFont="1" applyFill="1" applyBorder="1" applyAlignment="1">
      <alignment horizontal="center" vertical="center"/>
    </xf>
    <xf numFmtId="14" fontId="35" fillId="0" borderId="4" xfId="0" quotePrefix="1" applyNumberFormat="1" applyFont="1" applyBorder="1" applyAlignment="1">
      <alignment horizontal="center" vertical="center"/>
    </xf>
    <xf numFmtId="14" fontId="35" fillId="2" borderId="4" xfId="0" quotePrefix="1" applyNumberFormat="1" applyFont="1" applyFill="1" applyBorder="1" applyAlignment="1">
      <alignment horizontal="center" vertical="center"/>
    </xf>
    <xf numFmtId="1" fontId="35" fillId="0" borderId="4" xfId="0" applyNumberFormat="1" applyFont="1" applyBorder="1" applyAlignment="1">
      <alignment horizontal="center" vertical="center"/>
    </xf>
    <xf numFmtId="164" fontId="35" fillId="2" borderId="1" xfId="1" applyNumberFormat="1" applyFont="1" applyFill="1" applyBorder="1" applyAlignment="1">
      <alignment horizontal="center" vertical="center"/>
    </xf>
    <xf numFmtId="0" fontId="36" fillId="0" borderId="1" xfId="0" quotePrefix="1" applyFont="1" applyBorder="1" applyAlignment="1">
      <alignment horizontal="center" vertical="center"/>
    </xf>
    <xf numFmtId="14" fontId="35" fillId="0" borderId="1" xfId="1" applyNumberFormat="1" applyFont="1" applyFill="1" applyBorder="1" applyAlignment="1">
      <alignment horizontal="center" vertical="center"/>
    </xf>
    <xf numFmtId="0" fontId="36" fillId="15" borderId="4" xfId="0" quotePrefix="1" applyFont="1" applyFill="1" applyBorder="1" applyAlignment="1">
      <alignment horizontal="center" vertical="center"/>
    </xf>
    <xf numFmtId="0" fontId="36" fillId="6" borderId="1" xfId="0" applyFont="1" applyFill="1" applyBorder="1" applyAlignment="1">
      <alignment horizontal="center" vertical="center"/>
    </xf>
    <xf numFmtId="14" fontId="36" fillId="2" borderId="1" xfId="0" quotePrefix="1" applyNumberFormat="1" applyFont="1" applyFill="1" applyBorder="1" applyAlignment="1">
      <alignment horizontal="center" vertical="center"/>
    </xf>
    <xf numFmtId="1" fontId="36" fillId="0" borderId="1" xfId="0" applyNumberFormat="1" applyFont="1" applyBorder="1" applyAlignment="1">
      <alignment horizontal="center" vertical="center"/>
    </xf>
    <xf numFmtId="164" fontId="35" fillId="0" borderId="1" xfId="1" applyNumberFormat="1" applyFont="1" applyFill="1" applyBorder="1" applyAlignment="1">
      <alignment horizontal="center" vertical="center"/>
    </xf>
    <xf numFmtId="164" fontId="37" fillId="0" borderId="1" xfId="1" quotePrefix="1" applyNumberFormat="1" applyFont="1" applyBorder="1" applyAlignment="1">
      <alignment horizontal="center" vertical="center"/>
    </xf>
    <xf numFmtId="164" fontId="37" fillId="0" borderId="1" xfId="1" applyNumberFormat="1" applyFont="1" applyBorder="1" applyAlignment="1">
      <alignment horizontal="center" vertical="center"/>
    </xf>
    <xf numFmtId="0" fontId="35" fillId="6" borderId="1" xfId="0" quotePrefix="1" applyFont="1" applyFill="1" applyBorder="1" applyAlignment="1">
      <alignment horizontal="center" vertical="center"/>
    </xf>
    <xf numFmtId="0" fontId="37" fillId="0" borderId="1" xfId="0" quotePrefix="1" applyFont="1" applyBorder="1" applyAlignment="1">
      <alignment horizontal="center" vertical="center"/>
    </xf>
    <xf numFmtId="1" fontId="36" fillId="0" borderId="4" xfId="0" applyNumberFormat="1" applyFont="1" applyBorder="1" applyAlignment="1">
      <alignment horizontal="center" vertical="center"/>
    </xf>
    <xf numFmtId="0" fontId="35" fillId="10" borderId="1" xfId="0" applyFont="1" applyFill="1" applyBorder="1" applyAlignment="1">
      <alignment horizontal="center" vertical="center"/>
    </xf>
    <xf numFmtId="164" fontId="35" fillId="0" borderId="4" xfId="0" applyNumberFormat="1" applyFont="1" applyBorder="1" applyAlignment="1">
      <alignment horizontal="center" vertical="center"/>
    </xf>
    <xf numFmtId="164" fontId="35" fillId="0" borderId="1" xfId="1" quotePrefix="1" applyNumberFormat="1" applyFont="1" applyBorder="1" applyAlignment="1">
      <alignment horizontal="center" vertical="center"/>
    </xf>
    <xf numFmtId="164" fontId="35" fillId="0" borderId="4" xfId="1" quotePrefix="1" applyNumberFormat="1" applyFont="1" applyBorder="1" applyAlignment="1">
      <alignment horizontal="center" vertical="center"/>
    </xf>
    <xf numFmtId="14" fontId="35" fillId="16" borderId="1" xfId="0" quotePrefix="1" applyNumberFormat="1" applyFont="1" applyFill="1" applyBorder="1" applyAlignment="1">
      <alignment horizontal="center" vertical="center"/>
    </xf>
    <xf numFmtId="0" fontId="35" fillId="15" borderId="1" xfId="0" quotePrefix="1" applyFont="1" applyFill="1" applyBorder="1" applyAlignment="1">
      <alignment horizontal="center" vertical="center"/>
    </xf>
    <xf numFmtId="14" fontId="35" fillId="0" borderId="1" xfId="0" applyNumberFormat="1" applyFont="1" applyBorder="1" applyAlignment="1">
      <alignment horizontal="center" vertical="center"/>
    </xf>
    <xf numFmtId="14" fontId="37" fillId="0" borderId="1" xfId="0" quotePrefix="1" applyNumberFormat="1" applyFont="1" applyBorder="1" applyAlignment="1">
      <alignment horizontal="center" vertical="center"/>
    </xf>
    <xf numFmtId="164" fontId="35" fillId="0" borderId="1" xfId="0" applyNumberFormat="1" applyFont="1" applyBorder="1" applyAlignment="1">
      <alignment horizontal="center" vertical="center"/>
    </xf>
    <xf numFmtId="0" fontId="37" fillId="0" borderId="4" xfId="0" quotePrefix="1" applyFont="1" applyBorder="1" applyAlignment="1">
      <alignment horizontal="center" vertical="center"/>
    </xf>
    <xf numFmtId="14" fontId="35" fillId="0" borderId="4" xfId="0" applyNumberFormat="1" applyFont="1" applyBorder="1" applyAlignment="1">
      <alignment horizontal="center" vertical="center"/>
    </xf>
    <xf numFmtId="14" fontId="36" fillId="2" borderId="4" xfId="0" quotePrefix="1" applyNumberFormat="1" applyFont="1" applyFill="1" applyBorder="1" applyAlignment="1">
      <alignment horizontal="center" vertical="center"/>
    </xf>
    <xf numFmtId="164" fontId="36" fillId="0" borderId="1" xfId="0" applyNumberFormat="1" applyFont="1" applyBorder="1" applyAlignment="1">
      <alignment horizontal="center" vertical="center"/>
    </xf>
    <xf numFmtId="164" fontId="35" fillId="0" borderId="4" xfId="1" applyNumberFormat="1" applyFont="1" applyFill="1" applyBorder="1" applyAlignment="1">
      <alignment horizontal="center" vertical="center"/>
    </xf>
    <xf numFmtId="14" fontId="35" fillId="2" borderId="4" xfId="1" applyNumberFormat="1" applyFont="1" applyFill="1" applyBorder="1" applyAlignment="1">
      <alignment horizontal="center" vertical="center"/>
    </xf>
    <xf numFmtId="0" fontId="35" fillId="5" borderId="1" xfId="0" applyFont="1" applyFill="1" applyBorder="1" applyAlignment="1">
      <alignment horizontal="center" vertical="center"/>
    </xf>
    <xf numFmtId="0" fontId="35" fillId="6" borderId="1" xfId="0" applyFont="1" applyFill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14" fontId="35" fillId="2" borderId="1" xfId="0" applyNumberFormat="1" applyFont="1" applyFill="1" applyBorder="1" applyAlignment="1">
      <alignment horizontal="center" vertical="center"/>
    </xf>
    <xf numFmtId="14" fontId="35" fillId="2" borderId="1" xfId="1" applyNumberFormat="1" applyFont="1" applyFill="1" applyBorder="1" applyAlignment="1">
      <alignment horizontal="center" vertical="center"/>
    </xf>
    <xf numFmtId="0" fontId="35" fillId="2" borderId="4" xfId="0" applyFont="1" applyFill="1" applyBorder="1" applyAlignment="1">
      <alignment horizontal="center" vertical="center"/>
    </xf>
    <xf numFmtId="0" fontId="37" fillId="0" borderId="4" xfId="0" applyFont="1" applyBorder="1" applyAlignment="1">
      <alignment horizontal="center" vertical="center"/>
    </xf>
    <xf numFmtId="0" fontId="36" fillId="0" borderId="4" xfId="0" applyFont="1" applyBorder="1" applyAlignment="1">
      <alignment horizontal="center" vertical="center"/>
    </xf>
    <xf numFmtId="0" fontId="35" fillId="15" borderId="1" xfId="0" applyFont="1" applyFill="1" applyBorder="1" applyAlignment="1">
      <alignment horizontal="center" vertical="center"/>
    </xf>
    <xf numFmtId="14" fontId="36" fillId="0" borderId="1" xfId="1" applyNumberFormat="1" applyFont="1" applyFill="1" applyBorder="1" applyAlignment="1">
      <alignment horizontal="center" vertical="center"/>
    </xf>
    <xf numFmtId="14" fontId="35" fillId="6" borderId="1" xfId="0" quotePrefix="1" applyNumberFormat="1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 vertical="center"/>
    </xf>
    <xf numFmtId="0" fontId="35" fillId="0" borderId="1" xfId="0" applyFont="1" applyBorder="1" applyAlignment="1">
      <alignment horizontal="center"/>
    </xf>
    <xf numFmtId="164" fontId="35" fillId="10" borderId="1" xfId="1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center"/>
    </xf>
    <xf numFmtId="0" fontId="3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4" fontId="11" fillId="0" borderId="1" xfId="1" applyNumberFormat="1" applyFont="1" applyFill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4" fontId="32" fillId="0" borderId="1" xfId="0" applyNumberFormat="1" applyFont="1" applyBorder="1" applyAlignment="1">
      <alignment horizontal="center" vertical="center" wrapText="1"/>
    </xf>
    <xf numFmtId="164" fontId="33" fillId="2" borderId="1" xfId="1" applyNumberFormat="1" applyFont="1" applyFill="1" applyBorder="1" applyAlignment="1">
      <alignment horizontal="center" vertical="center"/>
    </xf>
    <xf numFmtId="14" fontId="36" fillId="0" borderId="1" xfId="0" applyNumberFormat="1" applyFont="1" applyBorder="1" applyAlignment="1">
      <alignment horizontal="center" vertical="center"/>
    </xf>
    <xf numFmtId="14" fontId="36" fillId="0" borderId="4" xfId="0" applyNumberFormat="1" applyFont="1" applyBorder="1" applyAlignment="1">
      <alignment horizontal="center" vertical="center"/>
    </xf>
    <xf numFmtId="0" fontId="36" fillId="5" borderId="1" xfId="0" applyFont="1" applyFill="1" applyBorder="1" applyAlignment="1">
      <alignment horizontal="center" vertical="center"/>
    </xf>
    <xf numFmtId="0" fontId="36" fillId="2" borderId="1" xfId="0" applyFont="1" applyFill="1" applyBorder="1" applyAlignment="1">
      <alignment horizontal="center" vertical="center"/>
    </xf>
    <xf numFmtId="164" fontId="35" fillId="0" borderId="1" xfId="1" quotePrefix="1" applyNumberFormat="1" applyFont="1" applyFill="1" applyBorder="1" applyAlignment="1">
      <alignment horizontal="center" vertical="center"/>
    </xf>
    <xf numFmtId="14" fontId="36" fillId="2" borderId="1" xfId="0" applyNumberFormat="1" applyFont="1" applyFill="1" applyBorder="1" applyAlignment="1">
      <alignment horizontal="center" vertical="center"/>
    </xf>
    <xf numFmtId="164" fontId="35" fillId="0" borderId="4" xfId="1" quotePrefix="1" applyNumberFormat="1" applyFont="1" applyFill="1" applyBorder="1" applyAlignment="1">
      <alignment horizontal="center" vertical="center"/>
    </xf>
    <xf numFmtId="14" fontId="36" fillId="2" borderId="4" xfId="0" applyNumberFormat="1" applyFont="1" applyFill="1" applyBorder="1" applyAlignment="1">
      <alignment horizontal="center" vertical="center"/>
    </xf>
    <xf numFmtId="0" fontId="36" fillId="5" borderId="4" xfId="0" applyFont="1" applyFill="1" applyBorder="1" applyAlignment="1">
      <alignment horizontal="center" vertical="center"/>
    </xf>
    <xf numFmtId="164" fontId="36" fillId="0" borderId="4" xfId="1" applyNumberFormat="1" applyFont="1" applyFill="1" applyBorder="1" applyAlignment="1">
      <alignment horizontal="center" vertical="center"/>
    </xf>
    <xf numFmtId="164" fontId="36" fillId="0" borderId="4" xfId="0" applyNumberFormat="1" applyFont="1" applyBorder="1" applyAlignment="1">
      <alignment horizontal="center" vertical="center"/>
    </xf>
    <xf numFmtId="0" fontId="37" fillId="5" borderId="4" xfId="0" applyFont="1" applyFill="1" applyBorder="1" applyAlignment="1">
      <alignment horizontal="center" vertical="center"/>
    </xf>
    <xf numFmtId="0" fontId="36" fillId="2" borderId="4" xfId="0" applyFont="1" applyFill="1" applyBorder="1" applyAlignment="1">
      <alignment horizontal="center" vertical="center"/>
    </xf>
    <xf numFmtId="14" fontId="36" fillId="0" borderId="1" xfId="0" applyNumberFormat="1" applyFont="1" applyBorder="1" applyAlignment="1">
      <alignment horizontal="center"/>
    </xf>
    <xf numFmtId="14" fontId="36" fillId="2" borderId="1" xfId="0" applyNumberFormat="1" applyFont="1" applyFill="1" applyBorder="1" applyAlignment="1">
      <alignment horizontal="center"/>
    </xf>
    <xf numFmtId="0" fontId="35" fillId="5" borderId="1" xfId="0" applyFont="1" applyFill="1" applyBorder="1"/>
    <xf numFmtId="164" fontId="38" fillId="2" borderId="1" xfId="1" applyNumberFormat="1" applyFont="1" applyFill="1" applyBorder="1" applyAlignment="1">
      <alignment horizontal="center" vertical="center" wrapText="1"/>
    </xf>
    <xf numFmtId="0" fontId="11" fillId="0" borderId="1" xfId="0" quotePrefix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4" fontId="11" fillId="2" borderId="1" xfId="0" applyNumberFormat="1" applyFont="1" applyFill="1" applyBorder="1" applyAlignment="1">
      <alignment horizontal="center" vertical="center"/>
    </xf>
    <xf numFmtId="14" fontId="11" fillId="0" borderId="1" xfId="0" quotePrefix="1" applyNumberFormat="1" applyFont="1" applyBorder="1" applyAlignment="1">
      <alignment horizontal="center" vertical="center"/>
    </xf>
    <xf numFmtId="164" fontId="38" fillId="2" borderId="1" xfId="0" applyNumberFormat="1" applyFont="1" applyFill="1" applyBorder="1" applyAlignment="1">
      <alignment horizontal="center" vertical="center" wrapText="1"/>
    </xf>
    <xf numFmtId="0" fontId="11" fillId="0" borderId="1" xfId="0" quotePrefix="1" applyFont="1" applyBorder="1" applyAlignment="1">
      <alignment horizontal="center" vertical="center" wrapText="1"/>
    </xf>
    <xf numFmtId="164" fontId="11" fillId="0" borderId="1" xfId="1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164" fontId="19" fillId="0" borderId="1" xfId="1" applyNumberFormat="1" applyFont="1" applyFill="1" applyBorder="1" applyAlignment="1">
      <alignment horizontal="center" vertical="center" wrapText="1"/>
    </xf>
    <xf numFmtId="164" fontId="39" fillId="0" borderId="1" xfId="1" applyNumberFormat="1" applyFont="1" applyFill="1" applyBorder="1" applyAlignment="1">
      <alignment horizontal="center" vertical="center" wrapText="1"/>
    </xf>
    <xf numFmtId="164" fontId="40" fillId="0" borderId="1" xfId="1" applyNumberFormat="1" applyFont="1" applyFill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1" fontId="41" fillId="7" borderId="1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/>
    </xf>
    <xf numFmtId="164" fontId="14" fillId="0" borderId="1" xfId="1" applyNumberFormat="1" applyFont="1" applyFill="1" applyBorder="1" applyAlignment="1">
      <alignment horizontal="center" vertical="center"/>
    </xf>
    <xf numFmtId="3" fontId="18" fillId="0" borderId="1" xfId="1" applyNumberFormat="1" applyFon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36" fillId="8" borderId="1" xfId="0" applyFont="1" applyFill="1" applyBorder="1" applyAlignment="1">
      <alignment horizontal="center" vertical="center"/>
    </xf>
    <xf numFmtId="0" fontId="35" fillId="8" borderId="4" xfId="0" applyFont="1" applyFill="1" applyBorder="1" applyAlignment="1">
      <alignment horizontal="center" vertical="center"/>
    </xf>
    <xf numFmtId="0" fontId="35" fillId="8" borderId="1" xfId="0" applyFont="1" applyFill="1" applyBorder="1" applyAlignment="1">
      <alignment horizontal="center" vertical="center"/>
    </xf>
    <xf numFmtId="0" fontId="29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14" fontId="1" fillId="8" borderId="1" xfId="0" quotePrefix="1" applyNumberFormat="1" applyFont="1" applyFill="1" applyBorder="1" applyAlignment="1">
      <alignment horizontal="center" vertical="center" wrapText="1"/>
    </xf>
    <xf numFmtId="0" fontId="11" fillId="8" borderId="0" xfId="0" applyFont="1" applyFill="1"/>
    <xf numFmtId="3" fontId="1" fillId="8" borderId="1" xfId="0" applyNumberFormat="1" applyFont="1" applyFill="1" applyBorder="1" applyAlignment="1">
      <alignment horizontal="center" vertical="center" wrapText="1"/>
    </xf>
    <xf numFmtId="0" fontId="0" fillId="8" borderId="0" xfId="0" applyFill="1"/>
    <xf numFmtId="3" fontId="1" fillId="8" borderId="1" xfId="0" applyNumberFormat="1" applyFont="1" applyFill="1" applyBorder="1" applyAlignment="1">
      <alignment vertical="center" wrapText="1"/>
    </xf>
    <xf numFmtId="164" fontId="1" fillId="8" borderId="1" xfId="1" quotePrefix="1" applyNumberFormat="1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/>
    </xf>
    <xf numFmtId="0" fontId="11" fillId="2" borderId="1" xfId="0" quotePrefix="1" applyFont="1" applyFill="1" applyBorder="1" applyAlignment="1">
      <alignment horizontal="center" vertical="center"/>
    </xf>
    <xf numFmtId="164" fontId="11" fillId="2" borderId="1" xfId="1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14" fontId="14" fillId="0" borderId="1" xfId="0" applyNumberFormat="1" applyFont="1" applyBorder="1" applyAlignment="1">
      <alignment horizontal="center"/>
    </xf>
    <xf numFmtId="164" fontId="25" fillId="0" borderId="1" xfId="1" applyNumberFormat="1" applyFont="1" applyFill="1" applyBorder="1" applyAlignment="1">
      <alignment horizontal="center" vertical="center"/>
    </xf>
    <xf numFmtId="0" fontId="44" fillId="0" borderId="0" xfId="0" applyFont="1"/>
    <xf numFmtId="0" fontId="45" fillId="0" borderId="0" xfId="0" applyFont="1"/>
    <xf numFmtId="14" fontId="46" fillId="0" borderId="0" xfId="0" quotePrefix="1" applyNumberFormat="1" applyFont="1"/>
    <xf numFmtId="0" fontId="47" fillId="0" borderId="0" xfId="0" applyFont="1"/>
    <xf numFmtId="14" fontId="11" fillId="2" borderId="1" xfId="0" quotePrefix="1" applyNumberFormat="1" applyFont="1" applyFill="1" applyBorder="1" applyAlignment="1">
      <alignment horizontal="center" vertical="center"/>
    </xf>
    <xf numFmtId="14" fontId="11" fillId="5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8" fillId="0" borderId="1" xfId="0" quotePrefix="1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10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03"/>
  <sheetViews>
    <sheetView zoomScale="70" zoomScaleNormal="70" workbookViewId="0">
      <pane xSplit="3" ySplit="3" topLeftCell="D42" activePane="bottomRight" state="frozen"/>
      <selection pane="topRight" activeCell="D1" sqref="D1"/>
      <selection pane="bottomLeft" activeCell="A4" sqref="A4"/>
      <selection pane="bottomRight" activeCell="D55" sqref="D55"/>
    </sheetView>
  </sheetViews>
  <sheetFormatPr defaultRowHeight="14.4" x14ac:dyDescent="0.3"/>
  <cols>
    <col min="1" max="1" width="7.77734375" customWidth="1"/>
    <col min="2" max="2" width="21.5546875" customWidth="1"/>
    <col min="3" max="3" width="14.5546875" customWidth="1"/>
    <col min="4" max="4" width="12.44140625" customWidth="1"/>
    <col min="5" max="5" width="12.21875" customWidth="1"/>
    <col min="6" max="6" width="44.21875" customWidth="1"/>
    <col min="7" max="7" width="9" customWidth="1"/>
    <col min="8" max="8" width="22.21875" customWidth="1"/>
    <col min="9" max="11" width="23.21875" style="29" customWidth="1"/>
    <col min="12" max="12" width="23.21875" style="273" customWidth="1"/>
    <col min="13" max="13" width="25" style="29" hidden="1" customWidth="1"/>
    <col min="14" max="25" width="14.77734375" hidden="1" customWidth="1"/>
    <col min="26" max="26" width="18.44140625" customWidth="1"/>
    <col min="27" max="27" width="15.44140625" bestFit="1" customWidth="1"/>
    <col min="28" max="28" width="15.44140625" style="275" customWidth="1"/>
    <col min="29" max="32" width="14.44140625" customWidth="1"/>
    <col min="33" max="33" width="14.77734375" style="37" customWidth="1"/>
    <col min="34" max="34" width="7.21875" customWidth="1"/>
    <col min="35" max="35" width="14.77734375" customWidth="1"/>
    <col min="36" max="36" width="20.109375" customWidth="1"/>
    <col min="37" max="37" width="16.6640625" bestFit="1" customWidth="1"/>
    <col min="38" max="39" width="14.77734375" customWidth="1"/>
    <col min="40" max="40" width="10.21875" bestFit="1" customWidth="1"/>
    <col min="41" max="41" width="9.5546875" bestFit="1" customWidth="1"/>
    <col min="42" max="42" width="6.77734375" bestFit="1" customWidth="1"/>
    <col min="43" max="43" width="18.21875" customWidth="1"/>
    <col min="44" max="44" width="51.5546875" style="37" customWidth="1"/>
  </cols>
  <sheetData>
    <row r="1" spans="1:45" ht="48" x14ac:dyDescent="0.3">
      <c r="A1" s="4" t="s">
        <v>24</v>
      </c>
      <c r="B1" s="5" t="s">
        <v>363</v>
      </c>
      <c r="C1" s="6" t="s">
        <v>4</v>
      </c>
      <c r="D1" s="7" t="s">
        <v>27</v>
      </c>
      <c r="E1" s="7" t="s">
        <v>28</v>
      </c>
      <c r="F1" s="7" t="s">
        <v>35</v>
      </c>
      <c r="G1" s="83" t="s">
        <v>894</v>
      </c>
      <c r="H1" s="8" t="s">
        <v>895</v>
      </c>
      <c r="I1" s="31" t="s">
        <v>2</v>
      </c>
      <c r="J1" s="8" t="s">
        <v>144</v>
      </c>
      <c r="K1" s="8" t="s">
        <v>913</v>
      </c>
      <c r="L1" s="40" t="s">
        <v>1237</v>
      </c>
      <c r="M1" s="32" t="s">
        <v>460</v>
      </c>
      <c r="N1" s="84" t="s">
        <v>164</v>
      </c>
      <c r="O1" s="84" t="s">
        <v>226</v>
      </c>
      <c r="P1" s="84" t="s">
        <v>355</v>
      </c>
      <c r="Q1" s="84" t="s">
        <v>227</v>
      </c>
      <c r="R1" s="33" t="s">
        <v>358</v>
      </c>
      <c r="S1" s="33" t="s">
        <v>351</v>
      </c>
      <c r="T1" s="33" t="s">
        <v>356</v>
      </c>
      <c r="U1" s="33" t="s">
        <v>359</v>
      </c>
      <c r="V1" s="85" t="s">
        <v>360</v>
      </c>
      <c r="W1" s="85" t="s">
        <v>352</v>
      </c>
      <c r="X1" s="85" t="s">
        <v>357</v>
      </c>
      <c r="Y1" s="85" t="s">
        <v>361</v>
      </c>
      <c r="Z1" s="7" t="s">
        <v>36</v>
      </c>
      <c r="AA1" s="7" t="s">
        <v>362</v>
      </c>
      <c r="AB1" s="40" t="s">
        <v>1238</v>
      </c>
      <c r="AC1" s="7" t="s">
        <v>57</v>
      </c>
      <c r="AD1" s="8" t="s">
        <v>105</v>
      </c>
      <c r="AE1" s="40" t="s">
        <v>167</v>
      </c>
      <c r="AF1" s="39" t="s">
        <v>168</v>
      </c>
      <c r="AG1" s="7" t="s">
        <v>93</v>
      </c>
      <c r="AH1" s="7" t="s">
        <v>911</v>
      </c>
      <c r="AI1" s="7" t="s">
        <v>94</v>
      </c>
      <c r="AJ1" s="7" t="s">
        <v>80</v>
      </c>
      <c r="AK1" s="7" t="s">
        <v>82</v>
      </c>
      <c r="AL1" s="7" t="s">
        <v>81</v>
      </c>
      <c r="AM1" s="7" t="s">
        <v>68</v>
      </c>
      <c r="AN1" s="7" t="s">
        <v>40</v>
      </c>
      <c r="AO1" s="7" t="s">
        <v>41</v>
      </c>
      <c r="AP1" s="7" t="s">
        <v>53</v>
      </c>
      <c r="AQ1" s="15" t="s">
        <v>92</v>
      </c>
    </row>
    <row r="2" spans="1:45" s="100" customFormat="1" x14ac:dyDescent="0.3">
      <c r="A2" s="150">
        <f t="shared" ref="A2:AQ2" si="0">SUBTOTAL(3,A4:A190)</f>
        <v>100</v>
      </c>
      <c r="B2" s="150">
        <f t="shared" si="0"/>
        <v>100</v>
      </c>
      <c r="C2" s="150">
        <f t="shared" si="0"/>
        <v>100</v>
      </c>
      <c r="D2" s="150">
        <f t="shared" si="0"/>
        <v>100</v>
      </c>
      <c r="E2" s="150">
        <f t="shared" si="0"/>
        <v>100</v>
      </c>
      <c r="F2" s="150">
        <f t="shared" si="0"/>
        <v>100</v>
      </c>
      <c r="G2" s="150">
        <f t="shared" si="0"/>
        <v>100</v>
      </c>
      <c r="H2" s="150">
        <f t="shared" si="0"/>
        <v>100</v>
      </c>
      <c r="I2" s="150">
        <f t="shared" si="0"/>
        <v>100</v>
      </c>
      <c r="J2" s="150">
        <f t="shared" ref="J2:L2" si="1">SUBTOTAL(3,J4:J190)</f>
        <v>99</v>
      </c>
      <c r="K2" s="150">
        <f t="shared" si="1"/>
        <v>99</v>
      </c>
      <c r="L2" s="270">
        <f t="shared" si="1"/>
        <v>7</v>
      </c>
      <c r="M2" s="150">
        <f t="shared" si="0"/>
        <v>38</v>
      </c>
      <c r="N2" s="150">
        <f t="shared" si="0"/>
        <v>35</v>
      </c>
      <c r="O2" s="150">
        <f t="shared" si="0"/>
        <v>23</v>
      </c>
      <c r="P2" s="150">
        <f t="shared" si="0"/>
        <v>6</v>
      </c>
      <c r="Q2" s="150">
        <f t="shared" si="0"/>
        <v>17</v>
      </c>
      <c r="R2" s="150">
        <f t="shared" si="0"/>
        <v>2</v>
      </c>
      <c r="S2" s="150">
        <f t="shared" si="0"/>
        <v>3</v>
      </c>
      <c r="T2" s="150">
        <f t="shared" si="0"/>
        <v>2</v>
      </c>
      <c r="U2" s="150">
        <f t="shared" si="0"/>
        <v>1</v>
      </c>
      <c r="V2" s="150">
        <f t="shared" si="0"/>
        <v>1</v>
      </c>
      <c r="W2" s="150">
        <f t="shared" si="0"/>
        <v>0</v>
      </c>
      <c r="X2" s="150">
        <f t="shared" si="0"/>
        <v>0</v>
      </c>
      <c r="Y2" s="150">
        <f t="shared" si="0"/>
        <v>1</v>
      </c>
      <c r="Z2" s="150">
        <f t="shared" si="0"/>
        <v>100</v>
      </c>
      <c r="AA2" s="150">
        <f t="shared" si="0"/>
        <v>100</v>
      </c>
      <c r="AB2" s="270"/>
      <c r="AC2" s="150">
        <f t="shared" si="0"/>
        <v>43</v>
      </c>
      <c r="AD2" s="150">
        <f t="shared" si="0"/>
        <v>100</v>
      </c>
      <c r="AE2" s="150">
        <f t="shared" si="0"/>
        <v>98</v>
      </c>
      <c r="AF2" s="150">
        <f t="shared" si="0"/>
        <v>98</v>
      </c>
      <c r="AG2" s="150">
        <f t="shared" si="0"/>
        <v>59</v>
      </c>
      <c r="AH2" s="150">
        <f t="shared" si="0"/>
        <v>100</v>
      </c>
      <c r="AI2" s="150">
        <f t="shared" si="0"/>
        <v>11</v>
      </c>
      <c r="AJ2" s="150">
        <f t="shared" si="0"/>
        <v>100</v>
      </c>
      <c r="AK2" s="150">
        <f t="shared" si="0"/>
        <v>100</v>
      </c>
      <c r="AL2" s="150">
        <f t="shared" si="0"/>
        <v>100</v>
      </c>
      <c r="AM2" s="150">
        <f t="shared" si="0"/>
        <v>100</v>
      </c>
      <c r="AN2" s="150">
        <f t="shared" si="0"/>
        <v>72</v>
      </c>
      <c r="AO2" s="150">
        <f t="shared" si="0"/>
        <v>77</v>
      </c>
      <c r="AP2" s="150">
        <f t="shared" si="0"/>
        <v>0</v>
      </c>
      <c r="AQ2" s="150">
        <f t="shared" si="0"/>
        <v>100</v>
      </c>
      <c r="AR2" s="151"/>
    </row>
    <row r="3" spans="1:45" x14ac:dyDescent="0.3">
      <c r="A3" s="6" t="s">
        <v>0</v>
      </c>
      <c r="B3" s="6" t="s">
        <v>0</v>
      </c>
      <c r="C3" s="6" t="s">
        <v>0</v>
      </c>
      <c r="D3" s="6" t="s">
        <v>0</v>
      </c>
      <c r="E3" s="6" t="s">
        <v>0</v>
      </c>
      <c r="F3" s="6" t="s">
        <v>0</v>
      </c>
      <c r="G3" s="6" t="s">
        <v>0</v>
      </c>
      <c r="H3" s="6" t="s">
        <v>0</v>
      </c>
      <c r="I3" s="6" t="s">
        <v>0</v>
      </c>
      <c r="J3" s="6" t="s">
        <v>0</v>
      </c>
      <c r="K3" s="6" t="s">
        <v>0</v>
      </c>
      <c r="L3" s="271" t="s">
        <v>0</v>
      </c>
      <c r="M3" s="6" t="s">
        <v>0</v>
      </c>
      <c r="N3" s="6" t="s">
        <v>0</v>
      </c>
      <c r="O3" s="6" t="s">
        <v>0</v>
      </c>
      <c r="P3" s="6" t="s">
        <v>0</v>
      </c>
      <c r="Q3" s="6" t="s">
        <v>0</v>
      </c>
      <c r="R3" s="6" t="s">
        <v>0</v>
      </c>
      <c r="S3" s="6" t="s">
        <v>0</v>
      </c>
      <c r="T3" s="6" t="s">
        <v>0</v>
      </c>
      <c r="U3" s="6" t="s">
        <v>0</v>
      </c>
      <c r="V3" s="6" t="s">
        <v>0</v>
      </c>
      <c r="W3" s="6" t="s">
        <v>0</v>
      </c>
      <c r="X3" s="6" t="s">
        <v>0</v>
      </c>
      <c r="Y3" s="6" t="s">
        <v>0</v>
      </c>
      <c r="Z3" s="6" t="s">
        <v>0</v>
      </c>
      <c r="AA3" s="6" t="s">
        <v>0</v>
      </c>
      <c r="AB3" s="271"/>
      <c r="AC3" s="6" t="s">
        <v>0</v>
      </c>
      <c r="AD3" s="6" t="s">
        <v>0</v>
      </c>
      <c r="AE3" s="6"/>
      <c r="AF3" s="6"/>
      <c r="AG3" s="6" t="s">
        <v>0</v>
      </c>
      <c r="AH3" s="6" t="s">
        <v>0</v>
      </c>
      <c r="AI3" s="6" t="s">
        <v>0</v>
      </c>
      <c r="AJ3" s="6" t="s">
        <v>0</v>
      </c>
      <c r="AK3" s="6" t="s">
        <v>0</v>
      </c>
      <c r="AL3" s="6" t="s">
        <v>0</v>
      </c>
      <c r="AM3" s="6" t="s">
        <v>0</v>
      </c>
      <c r="AN3" s="6" t="s">
        <v>0</v>
      </c>
      <c r="AO3" s="6" t="s">
        <v>0</v>
      </c>
      <c r="AP3" s="6" t="s">
        <v>0</v>
      </c>
      <c r="AQ3" s="6" t="s">
        <v>0</v>
      </c>
    </row>
    <row r="4" spans="1:45" ht="24" x14ac:dyDescent="0.3">
      <c r="A4" s="4">
        <v>1</v>
      </c>
      <c r="B4" s="40" t="s">
        <v>14</v>
      </c>
      <c r="C4" s="2" t="s">
        <v>15</v>
      </c>
      <c r="D4" s="2">
        <v>106.60143100000001</v>
      </c>
      <c r="E4" s="2">
        <v>10.829214</v>
      </c>
      <c r="F4" s="2" t="s">
        <v>45</v>
      </c>
      <c r="G4" s="2" t="s">
        <v>353</v>
      </c>
      <c r="H4" s="33" t="s">
        <v>1218</v>
      </c>
      <c r="I4" s="33" t="s">
        <v>1228</v>
      </c>
      <c r="J4" s="20">
        <v>44525</v>
      </c>
      <c r="K4" s="20">
        <v>46350</v>
      </c>
      <c r="L4" s="272">
        <v>48176</v>
      </c>
      <c r="M4" s="31" t="s">
        <v>417</v>
      </c>
      <c r="N4" s="20">
        <v>44540</v>
      </c>
      <c r="O4" s="88">
        <f>Q4-30</f>
        <v>44564</v>
      </c>
      <c r="P4" s="18"/>
      <c r="Q4" s="20">
        <v>44594</v>
      </c>
      <c r="R4" s="20"/>
      <c r="S4" s="20"/>
      <c r="T4" s="18"/>
      <c r="U4" s="18"/>
      <c r="V4" s="18"/>
      <c r="W4" s="18"/>
      <c r="X4" s="18"/>
      <c r="Y4" s="18"/>
      <c r="Z4" s="2" t="s">
        <v>46</v>
      </c>
      <c r="AA4" s="93">
        <v>5000000</v>
      </c>
      <c r="AB4" s="274">
        <v>7000000</v>
      </c>
      <c r="AC4" s="2" t="s">
        <v>65</v>
      </c>
      <c r="AD4" s="93">
        <v>8300000</v>
      </c>
      <c r="AE4" s="101">
        <v>5500000</v>
      </c>
      <c r="AF4" s="154">
        <v>5500000</v>
      </c>
      <c r="AG4" s="23" t="s">
        <v>145</v>
      </c>
      <c r="AH4" s="18" t="s">
        <v>77</v>
      </c>
      <c r="AI4" s="20">
        <f>AG4+90</f>
        <v>44683</v>
      </c>
      <c r="AJ4" s="20" t="s">
        <v>84</v>
      </c>
      <c r="AK4" s="20" t="s">
        <v>83</v>
      </c>
      <c r="AL4" s="20" t="s">
        <v>85</v>
      </c>
      <c r="AM4" s="18" t="s">
        <v>69</v>
      </c>
      <c r="AN4" s="2">
        <v>15.5</v>
      </c>
      <c r="AO4" s="2">
        <v>6</v>
      </c>
      <c r="AP4" s="48"/>
      <c r="AQ4" t="s">
        <v>763</v>
      </c>
    </row>
    <row r="5" spans="1:45" ht="36" x14ac:dyDescent="0.3">
      <c r="A5" s="4">
        <v>2</v>
      </c>
      <c r="B5" s="40" t="s">
        <v>19</v>
      </c>
      <c r="C5" s="2" t="s">
        <v>15</v>
      </c>
      <c r="D5" s="2">
        <v>106.602969</v>
      </c>
      <c r="E5" s="2">
        <v>10.871297</v>
      </c>
      <c r="F5" s="2" t="s">
        <v>55</v>
      </c>
      <c r="G5" s="2" t="s">
        <v>353</v>
      </c>
      <c r="H5" s="33" t="s">
        <v>1225</v>
      </c>
      <c r="I5" s="25" t="s">
        <v>892</v>
      </c>
      <c r="J5" s="20">
        <v>44528</v>
      </c>
      <c r="K5" s="20">
        <v>46353</v>
      </c>
      <c r="L5" s="272">
        <v>47844</v>
      </c>
      <c r="M5" s="31" t="s">
        <v>148</v>
      </c>
      <c r="N5" s="20">
        <v>44545</v>
      </c>
      <c r="O5" s="88">
        <f>Q5-30</f>
        <v>44564</v>
      </c>
      <c r="P5" s="18"/>
      <c r="Q5" s="20">
        <v>44594</v>
      </c>
      <c r="R5" s="20"/>
      <c r="S5" s="18"/>
      <c r="T5" s="18"/>
      <c r="U5" s="18"/>
      <c r="V5" s="18"/>
      <c r="W5" s="18"/>
      <c r="X5" s="18"/>
      <c r="Y5" s="18"/>
      <c r="Z5" s="2" t="s">
        <v>56</v>
      </c>
      <c r="AA5" s="93">
        <v>5000000</v>
      </c>
      <c r="AB5" s="276">
        <v>7000000</v>
      </c>
      <c r="AC5" s="2" t="s">
        <v>58</v>
      </c>
      <c r="AD5" s="93">
        <v>8900000</v>
      </c>
      <c r="AE5" s="101">
        <v>0</v>
      </c>
      <c r="AF5" s="154">
        <v>4943400</v>
      </c>
      <c r="AG5" s="20" t="s">
        <v>78</v>
      </c>
      <c r="AH5" s="18" t="s">
        <v>77</v>
      </c>
      <c r="AI5" s="20">
        <f>AG5+91</f>
        <v>44626</v>
      </c>
      <c r="AJ5" s="20" t="s">
        <v>91</v>
      </c>
      <c r="AK5" s="20" t="s">
        <v>89</v>
      </c>
      <c r="AL5" s="20" t="s">
        <v>90</v>
      </c>
      <c r="AM5" s="18" t="s">
        <v>70</v>
      </c>
      <c r="AN5" s="2">
        <v>13.5</v>
      </c>
      <c r="AO5" s="2">
        <v>9</v>
      </c>
      <c r="AP5" s="2"/>
      <c r="AQ5" t="s">
        <v>763</v>
      </c>
      <c r="AR5"/>
      <c r="AS5" s="38"/>
    </row>
    <row r="6" spans="1:45" ht="36" x14ac:dyDescent="0.3">
      <c r="A6" s="4">
        <v>3</v>
      </c>
      <c r="B6" s="40" t="s">
        <v>29</v>
      </c>
      <c r="C6" s="2" t="s">
        <v>15</v>
      </c>
      <c r="D6" s="2">
        <v>106.585566</v>
      </c>
      <c r="E6" s="2">
        <v>10.872354</v>
      </c>
      <c r="F6" s="2" t="s">
        <v>37</v>
      </c>
      <c r="G6" s="2" t="s">
        <v>353</v>
      </c>
      <c r="H6" s="25" t="s">
        <v>892</v>
      </c>
      <c r="I6" s="25" t="s">
        <v>892</v>
      </c>
      <c r="J6" s="20">
        <v>44526</v>
      </c>
      <c r="K6" s="20">
        <v>46351</v>
      </c>
      <c r="L6" s="272">
        <v>48177</v>
      </c>
      <c r="M6" s="34" t="s">
        <v>174</v>
      </c>
      <c r="N6" s="20">
        <v>44576</v>
      </c>
      <c r="O6" s="88">
        <f>Q6-30</f>
        <v>44648</v>
      </c>
      <c r="P6" s="18"/>
      <c r="Q6" s="20">
        <v>44678</v>
      </c>
      <c r="R6" s="18"/>
      <c r="S6" s="18"/>
      <c r="T6" s="18"/>
      <c r="U6" s="18"/>
      <c r="V6" s="18"/>
      <c r="W6" s="18"/>
      <c r="X6" s="18"/>
      <c r="Y6" s="18"/>
      <c r="Z6" s="2" t="s">
        <v>38</v>
      </c>
      <c r="AA6" s="93">
        <v>5250000</v>
      </c>
      <c r="AB6" s="276">
        <v>5875000</v>
      </c>
      <c r="AC6" s="2" t="s">
        <v>59</v>
      </c>
      <c r="AD6" s="93">
        <v>8300000</v>
      </c>
      <c r="AE6" s="101">
        <v>0</v>
      </c>
      <c r="AF6" s="154">
        <v>0</v>
      </c>
      <c r="AG6" s="23" t="s">
        <v>146</v>
      </c>
      <c r="AH6" s="24" t="s">
        <v>77</v>
      </c>
      <c r="AI6" s="23">
        <f>AG6+90</f>
        <v>44725</v>
      </c>
      <c r="AJ6" s="20" t="s">
        <v>87</v>
      </c>
      <c r="AK6" s="20" t="s">
        <v>86</v>
      </c>
      <c r="AL6" s="20" t="s">
        <v>88</v>
      </c>
      <c r="AM6" s="18" t="s">
        <v>71</v>
      </c>
      <c r="AN6" s="2">
        <v>17</v>
      </c>
      <c r="AO6" s="2">
        <v>6</v>
      </c>
      <c r="AP6" s="48"/>
      <c r="AQ6" t="s">
        <v>763</v>
      </c>
    </row>
    <row r="7" spans="1:45" ht="24" x14ac:dyDescent="0.3">
      <c r="A7" s="4">
        <v>4</v>
      </c>
      <c r="B7" s="2" t="s">
        <v>971</v>
      </c>
      <c r="C7" s="2" t="s">
        <v>32</v>
      </c>
      <c r="D7" s="2">
        <v>106.72041900000001</v>
      </c>
      <c r="E7" s="2">
        <v>10.799635</v>
      </c>
      <c r="F7" s="2" t="s">
        <v>60</v>
      </c>
      <c r="G7" s="2" t="s">
        <v>354</v>
      </c>
      <c r="H7" s="25" t="s">
        <v>892</v>
      </c>
      <c r="I7" s="25" t="s">
        <v>892</v>
      </c>
      <c r="J7" s="20">
        <v>44530</v>
      </c>
      <c r="K7" s="20">
        <v>46355</v>
      </c>
      <c r="L7" s="20"/>
      <c r="M7" s="34" t="s">
        <v>174</v>
      </c>
      <c r="N7" s="20">
        <v>44576</v>
      </c>
      <c r="O7" s="88">
        <v>44600</v>
      </c>
      <c r="P7" s="18"/>
      <c r="Q7" s="20">
        <v>44630</v>
      </c>
      <c r="R7" s="18"/>
      <c r="S7" s="18"/>
      <c r="T7" s="18"/>
      <c r="U7" s="18"/>
      <c r="V7" s="18"/>
      <c r="W7" s="18"/>
      <c r="X7" s="18"/>
      <c r="Y7" s="18"/>
      <c r="Z7" s="2" t="s">
        <v>75</v>
      </c>
      <c r="AA7" s="93">
        <v>4000000</v>
      </c>
      <c r="AB7" s="93"/>
      <c r="AC7" s="2" t="s">
        <v>62</v>
      </c>
      <c r="AD7" s="93">
        <v>6300000</v>
      </c>
      <c r="AE7" s="101">
        <v>0</v>
      </c>
      <c r="AF7" s="154">
        <v>0</v>
      </c>
      <c r="AG7" s="20">
        <v>44652</v>
      </c>
      <c r="AH7" s="18" t="s">
        <v>79</v>
      </c>
      <c r="AI7" s="20">
        <f>AG7+6*30</f>
        <v>44832</v>
      </c>
      <c r="AJ7" s="18" t="s">
        <v>113</v>
      </c>
      <c r="AK7" s="18" t="s">
        <v>112</v>
      </c>
      <c r="AL7" s="18" t="s">
        <v>114</v>
      </c>
      <c r="AM7" s="18" t="s">
        <v>72</v>
      </c>
      <c r="AN7" s="2">
        <v>18</v>
      </c>
      <c r="AO7" s="2" t="s">
        <v>63</v>
      </c>
      <c r="AP7" s="48"/>
      <c r="AQ7" t="s">
        <v>763</v>
      </c>
    </row>
    <row r="8" spans="1:45" ht="24" x14ac:dyDescent="0.3">
      <c r="A8" s="4">
        <v>5</v>
      </c>
      <c r="B8" s="153" t="s">
        <v>95</v>
      </c>
      <c r="C8" s="2" t="s">
        <v>15</v>
      </c>
      <c r="D8" s="2">
        <v>106.598528</v>
      </c>
      <c r="E8" s="2">
        <v>10.898596</v>
      </c>
      <c r="F8" s="2" t="s">
        <v>104</v>
      </c>
      <c r="G8" s="2" t="s">
        <v>353</v>
      </c>
      <c r="H8" s="33" t="s">
        <v>1210</v>
      </c>
      <c r="I8" s="25" t="s">
        <v>892</v>
      </c>
      <c r="J8" s="20">
        <v>44586</v>
      </c>
      <c r="K8" s="20">
        <v>46411</v>
      </c>
      <c r="L8" s="20"/>
      <c r="M8" s="34" t="s">
        <v>174</v>
      </c>
      <c r="N8" s="20">
        <v>44607</v>
      </c>
      <c r="O8" s="20">
        <v>44623</v>
      </c>
      <c r="P8" s="20">
        <v>44655</v>
      </c>
      <c r="Q8" s="20">
        <v>44655</v>
      </c>
      <c r="R8" s="18"/>
      <c r="S8" s="18"/>
      <c r="T8" s="20">
        <v>44697</v>
      </c>
      <c r="U8" s="18"/>
      <c r="V8" s="18"/>
      <c r="W8" s="18"/>
      <c r="X8" s="18"/>
      <c r="Y8" s="18"/>
      <c r="Z8" s="2" t="s">
        <v>96</v>
      </c>
      <c r="AA8" s="94">
        <v>5500000</v>
      </c>
      <c r="AB8" s="94"/>
      <c r="AC8" s="8" t="s">
        <v>133</v>
      </c>
      <c r="AD8" s="93">
        <v>9600000</v>
      </c>
      <c r="AE8" s="101">
        <v>0</v>
      </c>
      <c r="AF8" s="101">
        <v>6820000</v>
      </c>
      <c r="AG8" s="21"/>
      <c r="AH8" s="22" t="s">
        <v>77</v>
      </c>
      <c r="AI8" s="22"/>
      <c r="AJ8" s="22" t="s">
        <v>96</v>
      </c>
      <c r="AK8" s="22" t="s">
        <v>96</v>
      </c>
      <c r="AL8" s="22" t="s">
        <v>96</v>
      </c>
      <c r="AM8" s="22" t="s">
        <v>759</v>
      </c>
      <c r="AN8" s="2">
        <v>12</v>
      </c>
      <c r="AO8" s="2">
        <v>12</v>
      </c>
      <c r="AP8" s="48"/>
      <c r="AQ8" t="s">
        <v>764</v>
      </c>
    </row>
    <row r="9" spans="1:45" ht="24" x14ac:dyDescent="0.3">
      <c r="A9" s="4">
        <v>6</v>
      </c>
      <c r="B9" s="2" t="s">
        <v>97</v>
      </c>
      <c r="C9" s="2" t="s">
        <v>15</v>
      </c>
      <c r="D9" s="2">
        <v>106.60691199999999</v>
      </c>
      <c r="E9" s="2">
        <v>10.875462000000001</v>
      </c>
      <c r="F9" s="2" t="s">
        <v>98</v>
      </c>
      <c r="G9" s="2" t="s">
        <v>353</v>
      </c>
      <c r="H9" s="25" t="s">
        <v>892</v>
      </c>
      <c r="I9" s="25" t="s">
        <v>892</v>
      </c>
      <c r="J9" s="20">
        <v>44561</v>
      </c>
      <c r="K9" s="20">
        <v>46386</v>
      </c>
      <c r="L9" s="20"/>
      <c r="M9" s="34" t="s">
        <v>174</v>
      </c>
      <c r="N9" s="21">
        <v>44635</v>
      </c>
      <c r="O9" s="20">
        <v>44700</v>
      </c>
      <c r="P9" s="18"/>
      <c r="Q9" s="20">
        <v>44752</v>
      </c>
      <c r="R9" s="18"/>
      <c r="S9" s="18"/>
      <c r="T9" s="18"/>
      <c r="U9" s="18"/>
      <c r="V9" s="18"/>
      <c r="W9" s="18"/>
      <c r="X9" s="18"/>
      <c r="Y9" s="18"/>
      <c r="Z9" s="2" t="s">
        <v>237</v>
      </c>
      <c r="AA9" s="93">
        <v>4750000</v>
      </c>
      <c r="AB9" s="93"/>
      <c r="AC9" s="2" t="s">
        <v>58</v>
      </c>
      <c r="AD9" s="93">
        <v>9600000</v>
      </c>
      <c r="AE9" s="101">
        <v>0</v>
      </c>
      <c r="AF9" s="154">
        <v>0</v>
      </c>
      <c r="AG9" s="20">
        <v>44713</v>
      </c>
      <c r="AH9" s="18" t="s">
        <v>77</v>
      </c>
      <c r="AI9" s="20">
        <f t="shared" ref="AI9:AI14" si="2">AG9+90</f>
        <v>44803</v>
      </c>
      <c r="AJ9" s="18" t="s">
        <v>101</v>
      </c>
      <c r="AK9" s="18" t="s">
        <v>99</v>
      </c>
      <c r="AL9" s="18" t="s">
        <v>102</v>
      </c>
      <c r="AM9" s="18" t="s">
        <v>103</v>
      </c>
      <c r="AN9" s="2">
        <v>13.5</v>
      </c>
      <c r="AO9" s="2">
        <v>12</v>
      </c>
      <c r="AP9" s="48"/>
      <c r="AQ9" t="s">
        <v>763</v>
      </c>
    </row>
    <row r="10" spans="1:45" ht="36" x14ac:dyDescent="0.3">
      <c r="A10" s="4">
        <v>7</v>
      </c>
      <c r="B10" s="40" t="s">
        <v>251</v>
      </c>
      <c r="C10" s="2" t="s">
        <v>107</v>
      </c>
      <c r="D10" s="2">
        <v>106.7519503</v>
      </c>
      <c r="E10" s="2">
        <v>10.8370231</v>
      </c>
      <c r="F10" s="2" t="s">
        <v>129</v>
      </c>
      <c r="G10" s="2" t="s">
        <v>353</v>
      </c>
      <c r="H10" s="33" t="s">
        <v>1223</v>
      </c>
      <c r="I10" s="31" t="s">
        <v>1235</v>
      </c>
      <c r="J10" s="20">
        <v>44586</v>
      </c>
      <c r="K10" s="20">
        <v>46411</v>
      </c>
      <c r="L10" s="272"/>
      <c r="M10" s="34" t="s">
        <v>174</v>
      </c>
      <c r="N10" s="21">
        <v>44640</v>
      </c>
      <c r="O10" s="20">
        <v>44647</v>
      </c>
      <c r="P10" s="20"/>
      <c r="Q10" s="20">
        <v>44678</v>
      </c>
      <c r="R10" s="18"/>
      <c r="S10" s="20"/>
      <c r="T10" s="20"/>
      <c r="U10" s="20"/>
      <c r="V10" s="18"/>
      <c r="W10" s="20"/>
      <c r="X10" s="20"/>
      <c r="Y10" s="20"/>
      <c r="Z10" s="2" t="s">
        <v>1158</v>
      </c>
      <c r="AA10" s="93">
        <v>7500000</v>
      </c>
      <c r="AB10" s="276">
        <v>8300000</v>
      </c>
      <c r="AC10" s="2" t="s">
        <v>110</v>
      </c>
      <c r="AD10" s="93">
        <v>11900000</v>
      </c>
      <c r="AE10" s="101">
        <v>7000000</v>
      </c>
      <c r="AF10" s="154">
        <v>6600000</v>
      </c>
      <c r="AG10" s="20">
        <v>44712</v>
      </c>
      <c r="AH10" s="18" t="s">
        <v>77</v>
      </c>
      <c r="AI10" s="20">
        <f t="shared" si="2"/>
        <v>44802</v>
      </c>
      <c r="AJ10" s="18" t="s">
        <v>131</v>
      </c>
      <c r="AK10" s="18" t="s">
        <v>130</v>
      </c>
      <c r="AL10" s="18" t="s">
        <v>102</v>
      </c>
      <c r="AM10" s="18" t="s">
        <v>132</v>
      </c>
      <c r="AN10" s="2">
        <v>15</v>
      </c>
      <c r="AO10" s="2">
        <v>9</v>
      </c>
      <c r="AP10" s="48"/>
      <c r="AQ10" t="s">
        <v>763</v>
      </c>
    </row>
    <row r="11" spans="1:45" ht="36" x14ac:dyDescent="0.3">
      <c r="A11" s="4">
        <v>8</v>
      </c>
      <c r="B11" s="2" t="s">
        <v>254</v>
      </c>
      <c r="C11" s="2" t="s">
        <v>117</v>
      </c>
      <c r="D11" s="2">
        <v>106.56272749999999</v>
      </c>
      <c r="E11" s="2">
        <v>10.766488000000001</v>
      </c>
      <c r="F11" s="2" t="s">
        <v>118</v>
      </c>
      <c r="G11" s="2" t="s">
        <v>353</v>
      </c>
      <c r="H11" s="25" t="s">
        <v>892</v>
      </c>
      <c r="I11" s="31" t="s">
        <v>1227</v>
      </c>
      <c r="J11" s="20">
        <v>44586</v>
      </c>
      <c r="K11" s="20">
        <v>46411</v>
      </c>
      <c r="L11" s="20"/>
      <c r="M11" s="34" t="s">
        <v>174</v>
      </c>
      <c r="N11" s="20">
        <v>44628</v>
      </c>
      <c r="O11" s="86">
        <v>44698</v>
      </c>
      <c r="P11" s="18"/>
      <c r="Q11" s="20">
        <f>O11+30</f>
        <v>44728</v>
      </c>
      <c r="R11" s="18"/>
      <c r="S11" s="18"/>
      <c r="T11" s="18"/>
      <c r="U11" s="18"/>
      <c r="V11" s="20">
        <v>44665</v>
      </c>
      <c r="W11" s="18"/>
      <c r="X11" s="18"/>
      <c r="Y11" s="20">
        <v>44666</v>
      </c>
      <c r="Z11" s="2" t="s">
        <v>1159</v>
      </c>
      <c r="AA11" s="93">
        <v>6000000</v>
      </c>
      <c r="AB11" s="93"/>
      <c r="AC11" s="2" t="s">
        <v>147</v>
      </c>
      <c r="AD11" s="93">
        <v>10800000</v>
      </c>
      <c r="AE11" s="101">
        <v>6500000</v>
      </c>
      <c r="AF11" s="154">
        <v>0</v>
      </c>
      <c r="AG11" s="20">
        <v>44713</v>
      </c>
      <c r="AH11" s="18" t="s">
        <v>77</v>
      </c>
      <c r="AI11" s="20">
        <f t="shared" si="2"/>
        <v>44803</v>
      </c>
      <c r="AJ11" s="18" t="s">
        <v>119</v>
      </c>
      <c r="AK11" s="18" t="s">
        <v>120</v>
      </c>
      <c r="AL11" s="18" t="s">
        <v>121</v>
      </c>
      <c r="AM11" s="18" t="s">
        <v>122</v>
      </c>
      <c r="AN11" s="2">
        <v>13</v>
      </c>
      <c r="AO11" s="2">
        <v>12</v>
      </c>
      <c r="AP11" s="48"/>
      <c r="AQ11" t="s">
        <v>763</v>
      </c>
    </row>
    <row r="12" spans="1:45" ht="36" x14ac:dyDescent="0.3">
      <c r="A12" s="4">
        <v>9</v>
      </c>
      <c r="B12" s="2" t="s">
        <v>30</v>
      </c>
      <c r="C12" s="2" t="s">
        <v>32</v>
      </c>
      <c r="D12" s="2">
        <v>106.71288199999999</v>
      </c>
      <c r="E12" s="2">
        <v>10.79884</v>
      </c>
      <c r="F12" s="2" t="s">
        <v>149</v>
      </c>
      <c r="G12" s="2" t="s">
        <v>353</v>
      </c>
      <c r="H12" s="25" t="s">
        <v>892</v>
      </c>
      <c r="I12" s="25" t="s">
        <v>892</v>
      </c>
      <c r="J12" s="20">
        <v>44586</v>
      </c>
      <c r="K12" s="20">
        <v>46411</v>
      </c>
      <c r="L12" s="20"/>
      <c r="M12" s="34" t="s">
        <v>174</v>
      </c>
      <c r="N12" s="20">
        <v>44612</v>
      </c>
      <c r="O12" s="20">
        <v>44631</v>
      </c>
      <c r="P12" s="18"/>
      <c r="Q12" s="20">
        <v>44662</v>
      </c>
      <c r="R12" s="18"/>
      <c r="S12" s="18"/>
      <c r="T12" s="18"/>
      <c r="U12" s="18"/>
      <c r="V12" s="18"/>
      <c r="W12" s="18"/>
      <c r="X12" s="18"/>
      <c r="Y12" s="18"/>
      <c r="Z12" s="2" t="s">
        <v>239</v>
      </c>
      <c r="AA12" s="93">
        <v>7000000</v>
      </c>
      <c r="AB12" s="93"/>
      <c r="AC12" s="2" t="s">
        <v>150</v>
      </c>
      <c r="AD12" s="93">
        <v>10900000</v>
      </c>
      <c r="AE12" s="101">
        <v>0</v>
      </c>
      <c r="AF12" s="154">
        <v>0</v>
      </c>
      <c r="AG12" s="20">
        <v>44645</v>
      </c>
      <c r="AH12" s="18" t="s">
        <v>77</v>
      </c>
      <c r="AI12" s="20">
        <f t="shared" si="2"/>
        <v>44735</v>
      </c>
      <c r="AJ12" s="18" t="s">
        <v>151</v>
      </c>
      <c r="AK12" s="18" t="s">
        <v>152</v>
      </c>
      <c r="AL12" s="18" t="s">
        <v>153</v>
      </c>
      <c r="AM12" s="18" t="s">
        <v>154</v>
      </c>
      <c r="AN12" s="2">
        <v>20</v>
      </c>
      <c r="AO12" s="2">
        <v>6</v>
      </c>
      <c r="AP12" s="48"/>
      <c r="AQ12" t="s">
        <v>764</v>
      </c>
    </row>
    <row r="13" spans="1:45" ht="36" x14ac:dyDescent="0.3">
      <c r="A13" s="4">
        <v>10</v>
      </c>
      <c r="B13" s="2" t="s">
        <v>155</v>
      </c>
      <c r="C13" s="2" t="s">
        <v>156</v>
      </c>
      <c r="D13" s="2">
        <v>106.668102</v>
      </c>
      <c r="E13" s="2">
        <v>10.797355</v>
      </c>
      <c r="F13" s="2" t="s">
        <v>157</v>
      </c>
      <c r="G13" s="2" t="s">
        <v>353</v>
      </c>
      <c r="H13" s="25" t="s">
        <v>892</v>
      </c>
      <c r="I13" s="25" t="s">
        <v>892</v>
      </c>
      <c r="J13" s="20">
        <v>44614</v>
      </c>
      <c r="K13" s="20">
        <v>46439</v>
      </c>
      <c r="L13" s="20"/>
      <c r="M13" s="34" t="s">
        <v>174</v>
      </c>
      <c r="N13" s="21">
        <v>44640</v>
      </c>
      <c r="O13" s="20">
        <v>44671</v>
      </c>
      <c r="P13" s="18"/>
      <c r="Q13" s="20">
        <f>O13+30</f>
        <v>44701</v>
      </c>
      <c r="R13" s="18"/>
      <c r="S13" s="18"/>
      <c r="T13" s="18"/>
      <c r="U13" s="18"/>
      <c r="V13" s="18"/>
      <c r="W13" s="18"/>
      <c r="X13" s="18"/>
      <c r="Y13" s="18"/>
      <c r="Z13" s="2" t="s">
        <v>238</v>
      </c>
      <c r="AA13" s="93">
        <v>6500000</v>
      </c>
      <c r="AB13" s="93"/>
      <c r="AC13" s="2" t="s">
        <v>158</v>
      </c>
      <c r="AD13" s="93">
        <v>11500000</v>
      </c>
      <c r="AE13" s="101">
        <v>0</v>
      </c>
      <c r="AF13" s="154">
        <v>0</v>
      </c>
      <c r="AG13" s="20">
        <v>44743</v>
      </c>
      <c r="AH13" s="18" t="s">
        <v>77</v>
      </c>
      <c r="AI13" s="20">
        <f t="shared" si="2"/>
        <v>44833</v>
      </c>
      <c r="AJ13" s="18" t="s">
        <v>159</v>
      </c>
      <c r="AK13" s="18" t="s">
        <v>160</v>
      </c>
      <c r="AL13" s="18" t="s">
        <v>153</v>
      </c>
      <c r="AM13" s="18" t="s">
        <v>161</v>
      </c>
      <c r="AN13" s="2">
        <v>17</v>
      </c>
      <c r="AO13" s="2">
        <v>9</v>
      </c>
      <c r="AP13" s="48"/>
      <c r="AQ13" t="s">
        <v>764</v>
      </c>
    </row>
    <row r="14" spans="1:45" ht="41.4" x14ac:dyDescent="0.3">
      <c r="A14" s="4">
        <v>11</v>
      </c>
      <c r="B14" s="2" t="s">
        <v>257</v>
      </c>
      <c r="C14" s="2" t="s">
        <v>66</v>
      </c>
      <c r="D14" s="2">
        <v>106.677483</v>
      </c>
      <c r="E14" s="2">
        <v>10.850686</v>
      </c>
      <c r="F14" s="2" t="s">
        <v>163</v>
      </c>
      <c r="G14" s="2" t="s">
        <v>354</v>
      </c>
      <c r="H14" s="35" t="s">
        <v>1212</v>
      </c>
      <c r="I14" s="25" t="s">
        <v>892</v>
      </c>
      <c r="J14" s="20">
        <v>44622</v>
      </c>
      <c r="K14" s="20">
        <v>46447</v>
      </c>
      <c r="L14" s="20"/>
      <c r="M14" s="34" t="s">
        <v>174</v>
      </c>
      <c r="N14" s="21">
        <v>44640</v>
      </c>
      <c r="O14" s="20">
        <v>44657</v>
      </c>
      <c r="P14" s="20">
        <v>44676</v>
      </c>
      <c r="Q14" s="20">
        <v>44676</v>
      </c>
      <c r="R14" s="20">
        <v>44663</v>
      </c>
      <c r="S14" s="20"/>
      <c r="T14" s="20"/>
      <c r="U14" s="20" t="s">
        <v>390</v>
      </c>
      <c r="V14" s="18"/>
      <c r="W14" s="20"/>
      <c r="X14" s="20"/>
      <c r="Y14" s="20"/>
      <c r="Z14" s="2" t="s">
        <v>165</v>
      </c>
      <c r="AA14" s="93">
        <v>6200000</v>
      </c>
      <c r="AB14" s="93"/>
      <c r="AC14" s="2" t="s">
        <v>43</v>
      </c>
      <c r="AD14" s="93">
        <v>7400000</v>
      </c>
      <c r="AE14" s="101">
        <v>0</v>
      </c>
      <c r="AF14" s="154">
        <v>11200000</v>
      </c>
      <c r="AG14" s="20">
        <v>44653</v>
      </c>
      <c r="AH14" s="18" t="s">
        <v>77</v>
      </c>
      <c r="AI14" s="20">
        <f t="shared" si="2"/>
        <v>44743</v>
      </c>
      <c r="AJ14" s="143" t="s">
        <v>698</v>
      </c>
      <c r="AK14" s="98" t="s">
        <v>169</v>
      </c>
      <c r="AL14" s="98" t="s">
        <v>699</v>
      </c>
      <c r="AM14" s="98" t="s">
        <v>171</v>
      </c>
      <c r="AN14" s="2">
        <v>12.8</v>
      </c>
      <c r="AO14" s="2">
        <v>12</v>
      </c>
      <c r="AP14" s="48"/>
      <c r="AQ14" t="s">
        <v>764</v>
      </c>
    </row>
    <row r="15" spans="1:45" ht="36" x14ac:dyDescent="0.3">
      <c r="A15" s="4">
        <v>12</v>
      </c>
      <c r="B15" s="2" t="s">
        <v>415</v>
      </c>
      <c r="C15" s="2" t="s">
        <v>15</v>
      </c>
      <c r="D15" s="2">
        <v>106.59006100000001</v>
      </c>
      <c r="E15" s="2">
        <v>10.839575999999999</v>
      </c>
      <c r="F15" s="2" t="s">
        <v>177</v>
      </c>
      <c r="G15" s="2" t="s">
        <v>353</v>
      </c>
      <c r="H15" s="35" t="s">
        <v>1220</v>
      </c>
      <c r="I15" s="35" t="s">
        <v>1233</v>
      </c>
      <c r="J15" s="20">
        <v>44631</v>
      </c>
      <c r="K15" s="20">
        <v>46456</v>
      </c>
      <c r="L15" s="20"/>
      <c r="M15" s="34" t="s">
        <v>174</v>
      </c>
      <c r="N15" s="122">
        <v>44691</v>
      </c>
      <c r="O15" s="27" t="s">
        <v>405</v>
      </c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2" t="s">
        <v>179</v>
      </c>
      <c r="AA15" s="93">
        <v>6000000</v>
      </c>
      <c r="AB15" s="93"/>
      <c r="AC15" s="2" t="s">
        <v>147</v>
      </c>
      <c r="AD15" s="94">
        <v>11500000</v>
      </c>
      <c r="AE15" s="101">
        <v>6400000</v>
      </c>
      <c r="AF15" s="154">
        <v>4682700</v>
      </c>
      <c r="AG15" s="20">
        <v>44723</v>
      </c>
      <c r="AH15" s="18" t="s">
        <v>77</v>
      </c>
      <c r="AI15" s="20"/>
      <c r="AJ15" s="18" t="s">
        <v>181</v>
      </c>
      <c r="AK15" s="18" t="s">
        <v>180</v>
      </c>
      <c r="AL15" s="18" t="s">
        <v>182</v>
      </c>
      <c r="AM15" s="18" t="s">
        <v>183</v>
      </c>
      <c r="AN15" s="2">
        <v>14</v>
      </c>
      <c r="AO15" s="2">
        <v>15</v>
      </c>
      <c r="AP15" s="48"/>
      <c r="AQ15" t="s">
        <v>764</v>
      </c>
    </row>
    <row r="16" spans="1:45" ht="34.5" customHeight="1" x14ac:dyDescent="0.3">
      <c r="A16" s="4">
        <v>13</v>
      </c>
      <c r="B16" s="2" t="s">
        <v>184</v>
      </c>
      <c r="C16" s="2" t="s">
        <v>66</v>
      </c>
      <c r="D16" s="2">
        <v>106.64039</v>
      </c>
      <c r="E16" s="2">
        <v>10.844670000000001</v>
      </c>
      <c r="F16" s="2" t="s">
        <v>404</v>
      </c>
      <c r="G16" s="2" t="s">
        <v>353</v>
      </c>
      <c r="H16" s="25" t="s">
        <v>892</v>
      </c>
      <c r="I16" s="25" t="s">
        <v>892</v>
      </c>
      <c r="J16" s="20">
        <v>44660</v>
      </c>
      <c r="K16" s="20">
        <v>46485</v>
      </c>
      <c r="L16" s="20"/>
      <c r="M16" s="34" t="s">
        <v>174</v>
      </c>
      <c r="N16" s="21">
        <v>44696</v>
      </c>
      <c r="O16" s="27" t="s">
        <v>405</v>
      </c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2" t="s">
        <v>316</v>
      </c>
      <c r="AA16" s="93">
        <v>7000000</v>
      </c>
      <c r="AB16" s="93"/>
      <c r="AC16" s="8" t="s">
        <v>110</v>
      </c>
      <c r="AD16" s="93">
        <v>11500000</v>
      </c>
      <c r="AE16" s="101">
        <v>0</v>
      </c>
      <c r="AF16" s="154">
        <v>0</v>
      </c>
      <c r="AG16" s="20" t="s">
        <v>187</v>
      </c>
      <c r="AH16" s="18" t="s">
        <v>79</v>
      </c>
      <c r="AI16" s="20"/>
      <c r="AJ16" s="22" t="s">
        <v>304</v>
      </c>
      <c r="AK16" s="22" t="s">
        <v>186</v>
      </c>
      <c r="AL16" s="22" t="s">
        <v>194</v>
      </c>
      <c r="AM16" s="18" t="s">
        <v>188</v>
      </c>
      <c r="AN16" s="8">
        <v>12</v>
      </c>
      <c r="AO16" s="2">
        <v>12</v>
      </c>
      <c r="AP16" s="48"/>
      <c r="AQ16" t="s">
        <v>764</v>
      </c>
    </row>
    <row r="17" spans="1:43" ht="36" x14ac:dyDescent="0.3">
      <c r="A17" s="4">
        <v>14</v>
      </c>
      <c r="B17" s="2" t="s">
        <v>189</v>
      </c>
      <c r="C17" s="2" t="s">
        <v>15</v>
      </c>
      <c r="D17" s="2">
        <v>106.59247499999999</v>
      </c>
      <c r="E17" s="2">
        <v>10.850161</v>
      </c>
      <c r="F17" s="2" t="s">
        <v>210</v>
      </c>
      <c r="G17" s="2" t="s">
        <v>353</v>
      </c>
      <c r="H17" s="35" t="s">
        <v>1211</v>
      </c>
      <c r="I17" s="25" t="s">
        <v>892</v>
      </c>
      <c r="J17" s="20">
        <v>44640</v>
      </c>
      <c r="K17" s="20">
        <v>46465</v>
      </c>
      <c r="L17" s="20"/>
      <c r="M17" s="34" t="s">
        <v>174</v>
      </c>
      <c r="N17" s="21">
        <v>44650</v>
      </c>
      <c r="O17" s="87">
        <v>44678</v>
      </c>
      <c r="P17" s="18"/>
      <c r="Q17" s="20">
        <v>44707</v>
      </c>
      <c r="R17" s="18"/>
      <c r="S17" s="18"/>
      <c r="T17" s="20">
        <v>44706</v>
      </c>
      <c r="U17" s="18"/>
      <c r="V17" s="18"/>
      <c r="W17" s="18"/>
      <c r="X17" s="18"/>
      <c r="Y17" s="18"/>
      <c r="Z17" s="2" t="s">
        <v>190</v>
      </c>
      <c r="AA17" s="93">
        <v>5500000</v>
      </c>
      <c r="AB17" s="93"/>
      <c r="AC17" s="2" t="s">
        <v>166</v>
      </c>
      <c r="AD17" s="94">
        <v>9900000</v>
      </c>
      <c r="AE17" s="101">
        <v>0</v>
      </c>
      <c r="AF17" s="154">
        <v>6985000</v>
      </c>
      <c r="AG17" s="20">
        <v>44706</v>
      </c>
      <c r="AH17" s="18" t="s">
        <v>79</v>
      </c>
      <c r="AI17" s="20"/>
      <c r="AJ17" s="18" t="s">
        <v>192</v>
      </c>
      <c r="AK17" s="18" t="s">
        <v>193</v>
      </c>
      <c r="AL17" s="18" t="s">
        <v>194</v>
      </c>
      <c r="AM17" s="18" t="s">
        <v>191</v>
      </c>
      <c r="AN17" s="2">
        <v>13</v>
      </c>
      <c r="AO17" s="2">
        <v>12</v>
      </c>
      <c r="AP17" s="48"/>
      <c r="AQ17" t="s">
        <v>764</v>
      </c>
    </row>
    <row r="18" spans="1:43" ht="36" x14ac:dyDescent="0.3">
      <c r="A18" s="4">
        <v>15</v>
      </c>
      <c r="B18" s="40" t="s">
        <v>228</v>
      </c>
      <c r="C18" s="2" t="s">
        <v>229</v>
      </c>
      <c r="D18" s="2">
        <v>106.608361</v>
      </c>
      <c r="E18" s="2">
        <v>10.777388999999999</v>
      </c>
      <c r="F18" s="2" t="s">
        <v>230</v>
      </c>
      <c r="G18" s="2" t="s">
        <v>353</v>
      </c>
      <c r="H18" s="25" t="s">
        <v>892</v>
      </c>
      <c r="I18" s="25" t="s">
        <v>892</v>
      </c>
      <c r="J18" s="20">
        <v>44645</v>
      </c>
      <c r="K18" s="20">
        <v>46174</v>
      </c>
      <c r="L18" s="272">
        <f t="shared" ref="L18" si="3">EDATE(K18,60)-1</f>
        <v>47999</v>
      </c>
      <c r="M18" s="34" t="s">
        <v>174</v>
      </c>
      <c r="N18" s="21">
        <v>44682</v>
      </c>
      <c r="O18" s="86">
        <v>44698</v>
      </c>
      <c r="P18" s="18"/>
      <c r="Q18" s="20">
        <v>44749</v>
      </c>
      <c r="R18" s="18"/>
      <c r="S18" s="18"/>
      <c r="T18" s="18"/>
      <c r="U18" s="18"/>
      <c r="V18" s="18"/>
      <c r="W18" s="18"/>
      <c r="X18" s="18"/>
      <c r="Y18" s="18"/>
      <c r="Z18" s="2" t="s">
        <v>236</v>
      </c>
      <c r="AA18" s="93">
        <v>7000000</v>
      </c>
      <c r="AB18" s="276">
        <v>8000000</v>
      </c>
      <c r="AC18" s="2" t="s">
        <v>110</v>
      </c>
      <c r="AD18" s="94">
        <v>11700000</v>
      </c>
      <c r="AE18" s="101">
        <v>0</v>
      </c>
      <c r="AF18" s="154">
        <v>0</v>
      </c>
      <c r="AG18" s="20">
        <v>44713</v>
      </c>
      <c r="AH18" s="18" t="s">
        <v>77</v>
      </c>
      <c r="AI18" s="20"/>
      <c r="AJ18" s="18" t="s">
        <v>1243</v>
      </c>
      <c r="AK18" s="18" t="s">
        <v>1244</v>
      </c>
      <c r="AL18" s="18" t="s">
        <v>1245</v>
      </c>
      <c r="AM18" s="18" t="s">
        <v>231</v>
      </c>
      <c r="AN18" s="2">
        <v>25</v>
      </c>
      <c r="AO18" s="2">
        <v>5</v>
      </c>
      <c r="AP18" s="48"/>
      <c r="AQ18" t="s">
        <v>764</v>
      </c>
    </row>
    <row r="19" spans="1:43" ht="24" x14ac:dyDescent="0.3">
      <c r="A19" s="4">
        <v>16</v>
      </c>
      <c r="B19" s="2" t="s">
        <v>287</v>
      </c>
      <c r="C19" s="2" t="s">
        <v>288</v>
      </c>
      <c r="D19" s="2">
        <v>106.621573</v>
      </c>
      <c r="E19" s="2">
        <v>10.838825999999999</v>
      </c>
      <c r="F19" s="2" t="s">
        <v>292</v>
      </c>
      <c r="G19" s="2" t="s">
        <v>353</v>
      </c>
      <c r="H19" s="25" t="s">
        <v>892</v>
      </c>
      <c r="I19" s="25" t="s">
        <v>892</v>
      </c>
      <c r="J19" s="20">
        <v>44658</v>
      </c>
      <c r="K19" s="20">
        <v>46483</v>
      </c>
      <c r="L19" s="20"/>
      <c r="M19" s="34" t="s">
        <v>174</v>
      </c>
      <c r="N19" s="21">
        <v>44682</v>
      </c>
      <c r="O19" s="87">
        <v>44692</v>
      </c>
      <c r="P19" s="18"/>
      <c r="Q19" s="20">
        <v>44719</v>
      </c>
      <c r="R19" s="18"/>
      <c r="S19" s="18"/>
      <c r="T19" s="18"/>
      <c r="U19" s="18"/>
      <c r="V19" s="18"/>
      <c r="W19" s="18"/>
      <c r="X19" s="18"/>
      <c r="Y19" s="18"/>
      <c r="Z19" s="2" t="s">
        <v>328</v>
      </c>
      <c r="AA19" s="93">
        <v>5300000</v>
      </c>
      <c r="AB19" s="93"/>
      <c r="AC19" s="2" t="s">
        <v>305</v>
      </c>
      <c r="AD19" s="93">
        <v>8800000</v>
      </c>
      <c r="AE19" s="101">
        <v>0</v>
      </c>
      <c r="AF19" s="154">
        <v>0</v>
      </c>
      <c r="AG19" s="20" t="s">
        <v>409</v>
      </c>
      <c r="AH19" s="18" t="s">
        <v>79</v>
      </c>
      <c r="AI19" s="20"/>
      <c r="AJ19" s="18" t="s">
        <v>299</v>
      </c>
      <c r="AK19" s="18" t="s">
        <v>298</v>
      </c>
      <c r="AL19" s="18" t="s">
        <v>300</v>
      </c>
      <c r="AM19" s="18" t="s">
        <v>295</v>
      </c>
      <c r="AN19" s="8">
        <v>13</v>
      </c>
      <c r="AO19" s="2">
        <v>9</v>
      </c>
      <c r="AP19" s="48"/>
      <c r="AQ19" t="s">
        <v>764</v>
      </c>
    </row>
    <row r="20" spans="1:43" ht="24" x14ac:dyDescent="0.3">
      <c r="A20" s="4">
        <v>17</v>
      </c>
      <c r="B20" s="2" t="s">
        <v>313</v>
      </c>
      <c r="C20" s="2" t="s">
        <v>15</v>
      </c>
      <c r="D20" s="2">
        <v>106.59965699999999</v>
      </c>
      <c r="E20" s="2">
        <v>10.858247</v>
      </c>
      <c r="F20" s="2" t="s">
        <v>314</v>
      </c>
      <c r="G20" s="2" t="s">
        <v>353</v>
      </c>
      <c r="H20" s="34" t="s">
        <v>1217</v>
      </c>
      <c r="I20" s="25" t="s">
        <v>892</v>
      </c>
      <c r="J20" s="20">
        <v>44676</v>
      </c>
      <c r="K20" s="20">
        <v>46501</v>
      </c>
      <c r="L20" s="20"/>
      <c r="M20" s="34" t="s">
        <v>174</v>
      </c>
      <c r="N20" s="122">
        <v>44727</v>
      </c>
      <c r="O20" s="27" t="s">
        <v>405</v>
      </c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2" t="s">
        <v>315</v>
      </c>
      <c r="AA20" s="93">
        <v>5000000</v>
      </c>
      <c r="AB20" s="93"/>
      <c r="AC20" s="2" t="s">
        <v>43</v>
      </c>
      <c r="AD20" s="93">
        <v>10000000</v>
      </c>
      <c r="AE20" s="101">
        <v>0</v>
      </c>
      <c r="AF20" s="154">
        <v>6050000</v>
      </c>
      <c r="AG20" s="20" t="s">
        <v>438</v>
      </c>
      <c r="AH20" s="18" t="s">
        <v>77</v>
      </c>
      <c r="AI20" s="20"/>
      <c r="AJ20" s="18" t="s">
        <v>329</v>
      </c>
      <c r="AK20" s="18" t="s">
        <v>330</v>
      </c>
      <c r="AL20" s="18" t="s">
        <v>331</v>
      </c>
      <c r="AM20" s="18" t="s">
        <v>332</v>
      </c>
      <c r="AN20" s="8">
        <v>12</v>
      </c>
      <c r="AO20" s="2">
        <v>12</v>
      </c>
      <c r="AP20" s="48"/>
      <c r="AQ20" t="s">
        <v>764</v>
      </c>
    </row>
    <row r="21" spans="1:43" ht="24" x14ac:dyDescent="0.3">
      <c r="A21" s="4">
        <v>18</v>
      </c>
      <c r="B21" s="153" t="s">
        <v>419</v>
      </c>
      <c r="C21" s="2" t="s">
        <v>15</v>
      </c>
      <c r="D21" s="2">
        <v>106.590795</v>
      </c>
      <c r="E21" s="2">
        <v>10.832939</v>
      </c>
      <c r="F21" s="2" t="s">
        <v>333</v>
      </c>
      <c r="G21" s="25" t="s">
        <v>353</v>
      </c>
      <c r="H21" s="34" t="s">
        <v>1216</v>
      </c>
      <c r="I21" s="25" t="s">
        <v>892</v>
      </c>
      <c r="J21" s="20">
        <v>44672</v>
      </c>
      <c r="K21" s="20">
        <v>46497</v>
      </c>
      <c r="L21" s="20"/>
      <c r="M21" s="34" t="s">
        <v>174</v>
      </c>
      <c r="N21" s="18" t="s">
        <v>366</v>
      </c>
      <c r="O21" s="27"/>
      <c r="P21" s="18"/>
      <c r="Q21" s="18"/>
      <c r="R21" s="20">
        <v>44713</v>
      </c>
      <c r="S21" s="18"/>
      <c r="T21" s="18"/>
      <c r="U21" s="18"/>
      <c r="V21" s="18"/>
      <c r="W21" s="18"/>
      <c r="X21" s="18"/>
      <c r="Y21" s="18"/>
      <c r="Z21" s="2" t="s">
        <v>335</v>
      </c>
      <c r="AA21" s="93">
        <v>5000000</v>
      </c>
      <c r="AB21" s="93"/>
      <c r="AC21" s="2"/>
      <c r="AD21" s="93">
        <v>7920000</v>
      </c>
      <c r="AE21" s="101">
        <v>0</v>
      </c>
      <c r="AF21" s="101">
        <v>7920000.0000000009</v>
      </c>
      <c r="AG21" s="20" t="s">
        <v>187</v>
      </c>
      <c r="AH21" s="18" t="s">
        <v>79</v>
      </c>
      <c r="AI21" s="20"/>
      <c r="AJ21" s="18" t="s">
        <v>336</v>
      </c>
      <c r="AK21" s="18" t="s">
        <v>337</v>
      </c>
      <c r="AL21" s="18" t="s">
        <v>338</v>
      </c>
      <c r="AM21" s="18" t="s">
        <v>339</v>
      </c>
      <c r="AN21" s="8">
        <v>11.5</v>
      </c>
      <c r="AO21" s="2">
        <v>12</v>
      </c>
      <c r="AP21" s="48"/>
      <c r="AQ21" t="s">
        <v>764</v>
      </c>
    </row>
    <row r="22" spans="1:43" ht="24" x14ac:dyDescent="0.3">
      <c r="A22" s="4">
        <v>19</v>
      </c>
      <c r="B22" s="2" t="s">
        <v>344</v>
      </c>
      <c r="C22" s="2" t="s">
        <v>66</v>
      </c>
      <c r="D22" s="2">
        <v>106.63957000000001</v>
      </c>
      <c r="E22" s="2">
        <v>10.834324000000001</v>
      </c>
      <c r="F22" s="2" t="s">
        <v>364</v>
      </c>
      <c r="G22" s="2" t="s">
        <v>354</v>
      </c>
      <c r="H22" s="25" t="s">
        <v>892</v>
      </c>
      <c r="I22" s="25" t="s">
        <v>892</v>
      </c>
      <c r="J22" s="20">
        <v>44700</v>
      </c>
      <c r="K22" s="20">
        <v>46525</v>
      </c>
      <c r="L22" s="20"/>
      <c r="M22" s="34" t="s">
        <v>174</v>
      </c>
      <c r="N22" s="122">
        <v>44722</v>
      </c>
      <c r="O22" s="27" t="s">
        <v>405</v>
      </c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2" t="s">
        <v>365</v>
      </c>
      <c r="AA22" s="93">
        <v>4000000</v>
      </c>
      <c r="AB22" s="93"/>
      <c r="AC22" s="2" t="s">
        <v>61</v>
      </c>
      <c r="AD22" s="93">
        <v>5800000</v>
      </c>
      <c r="AE22" s="101">
        <v>0</v>
      </c>
      <c r="AF22" s="154">
        <v>0</v>
      </c>
      <c r="AG22" s="20" t="s">
        <v>187</v>
      </c>
      <c r="AH22" s="18" t="s">
        <v>79</v>
      </c>
      <c r="AI22" s="20"/>
      <c r="AJ22" s="18" t="s">
        <v>368</v>
      </c>
      <c r="AK22" s="18" t="s">
        <v>367</v>
      </c>
      <c r="AL22" s="18" t="s">
        <v>369</v>
      </c>
      <c r="AM22" s="18" t="s">
        <v>346</v>
      </c>
      <c r="AN22" s="8">
        <v>18</v>
      </c>
      <c r="AO22" s="2">
        <v>5</v>
      </c>
      <c r="AP22" s="48"/>
      <c r="AQ22" t="s">
        <v>764</v>
      </c>
    </row>
    <row r="23" spans="1:43" ht="48" x14ac:dyDescent="0.3">
      <c r="A23" s="4">
        <v>20</v>
      </c>
      <c r="B23" s="8" t="s">
        <v>640</v>
      </c>
      <c r="C23" s="2" t="s">
        <v>66</v>
      </c>
      <c r="D23" s="2">
        <v>106.68020300000001</v>
      </c>
      <c r="E23" s="2">
        <v>10.821994999999999</v>
      </c>
      <c r="F23" s="2" t="s">
        <v>347</v>
      </c>
      <c r="G23" s="2" t="s">
        <v>354</v>
      </c>
      <c r="H23" s="34" t="s">
        <v>1213</v>
      </c>
      <c r="I23" s="25" t="s">
        <v>892</v>
      </c>
      <c r="J23" s="20">
        <v>44666</v>
      </c>
      <c r="K23" s="20">
        <v>46491</v>
      </c>
      <c r="L23" s="20"/>
      <c r="M23" s="34" t="s">
        <v>174</v>
      </c>
      <c r="N23" s="27"/>
      <c r="O23" s="27"/>
      <c r="P23" s="27"/>
      <c r="Q23" s="27"/>
      <c r="R23" s="18"/>
      <c r="S23" s="86">
        <v>44677</v>
      </c>
      <c r="T23" s="27"/>
      <c r="U23" s="27"/>
      <c r="V23" s="18"/>
      <c r="W23" s="27"/>
      <c r="X23" s="27"/>
      <c r="Y23" s="27"/>
      <c r="Z23" s="2" t="s">
        <v>348</v>
      </c>
      <c r="AA23" s="93">
        <v>5000000</v>
      </c>
      <c r="AB23" s="93"/>
      <c r="AC23" s="93">
        <v>5000000</v>
      </c>
      <c r="AD23" s="93">
        <v>8000000</v>
      </c>
      <c r="AE23" s="101">
        <v>0</v>
      </c>
      <c r="AF23" s="154">
        <v>11000000</v>
      </c>
      <c r="AG23" s="20" t="s">
        <v>187</v>
      </c>
      <c r="AH23" s="18" t="s">
        <v>77</v>
      </c>
      <c r="AI23" s="20"/>
      <c r="AJ23" s="18" t="s">
        <v>598</v>
      </c>
      <c r="AK23" s="2" t="s">
        <v>592</v>
      </c>
      <c r="AL23" s="18" t="s">
        <v>398</v>
      </c>
      <c r="AM23" s="18" t="s">
        <v>350</v>
      </c>
      <c r="AN23" s="8">
        <v>35</v>
      </c>
      <c r="AO23" s="2">
        <v>5</v>
      </c>
      <c r="AP23" s="48"/>
      <c r="AQ23" t="s">
        <v>764</v>
      </c>
    </row>
    <row r="24" spans="1:43" ht="36" x14ac:dyDescent="0.3">
      <c r="A24" s="4">
        <v>21</v>
      </c>
      <c r="B24" s="2" t="s">
        <v>195</v>
      </c>
      <c r="C24" s="2" t="s">
        <v>15</v>
      </c>
      <c r="D24" s="2">
        <v>106.56538399999999</v>
      </c>
      <c r="E24" s="2">
        <v>10.860938000000001</v>
      </c>
      <c r="F24" s="2" t="s">
        <v>289</v>
      </c>
      <c r="G24" s="2" t="s">
        <v>353</v>
      </c>
      <c r="H24" s="34" t="s">
        <v>1224</v>
      </c>
      <c r="I24" s="25" t="s">
        <v>892</v>
      </c>
      <c r="J24" s="20">
        <v>44703</v>
      </c>
      <c r="K24" s="20">
        <v>46528</v>
      </c>
      <c r="L24" s="20"/>
      <c r="M24" s="34" t="s">
        <v>174</v>
      </c>
      <c r="N24" s="122">
        <v>44752</v>
      </c>
      <c r="O24" s="27" t="s">
        <v>405</v>
      </c>
      <c r="P24" s="97">
        <v>44813</v>
      </c>
      <c r="Q24" s="18"/>
      <c r="R24" s="18"/>
      <c r="S24" s="27"/>
      <c r="T24" s="48"/>
      <c r="U24" s="48"/>
      <c r="V24" s="48"/>
      <c r="W24" s="48"/>
      <c r="X24" s="48"/>
      <c r="Y24" s="48"/>
      <c r="Z24" s="2" t="s">
        <v>301</v>
      </c>
      <c r="AA24" s="18" t="s">
        <v>411</v>
      </c>
      <c r="AB24" s="18"/>
      <c r="AC24" s="18" t="s">
        <v>342</v>
      </c>
      <c r="AD24" s="95">
        <v>10300000</v>
      </c>
      <c r="AE24" s="101">
        <v>0</v>
      </c>
      <c r="AF24" s="154">
        <v>5577000</v>
      </c>
      <c r="AG24" s="110" t="s">
        <v>391</v>
      </c>
      <c r="AH24" s="110" t="s">
        <v>79</v>
      </c>
      <c r="AI24" s="111"/>
      <c r="AJ24" s="110">
        <v>60195282024</v>
      </c>
      <c r="AK24" s="110" t="s">
        <v>290</v>
      </c>
      <c r="AL24" s="110" t="s">
        <v>302</v>
      </c>
      <c r="AM24" s="18" t="s">
        <v>291</v>
      </c>
      <c r="AN24" s="8">
        <v>14</v>
      </c>
      <c r="AO24" s="2">
        <v>12</v>
      </c>
      <c r="AP24" s="48"/>
      <c r="AQ24" t="s">
        <v>764</v>
      </c>
    </row>
    <row r="25" spans="1:43" ht="24" x14ac:dyDescent="0.3">
      <c r="A25" s="4">
        <v>22</v>
      </c>
      <c r="B25" s="2" t="s">
        <v>527</v>
      </c>
      <c r="C25" s="2" t="s">
        <v>15</v>
      </c>
      <c r="D25" s="2">
        <v>106.650854</v>
      </c>
      <c r="E25" s="2">
        <v>10.898777000000001</v>
      </c>
      <c r="F25" s="2" t="s">
        <v>370</v>
      </c>
      <c r="G25" s="2" t="s">
        <v>353</v>
      </c>
      <c r="H25" s="34" t="s">
        <v>1221</v>
      </c>
      <c r="I25" s="35" t="s">
        <v>1232</v>
      </c>
      <c r="J25" s="20">
        <v>44703</v>
      </c>
      <c r="K25" s="20">
        <v>46528</v>
      </c>
      <c r="L25" s="20"/>
      <c r="M25" s="34" t="s">
        <v>174</v>
      </c>
      <c r="N25" s="97">
        <v>44819</v>
      </c>
      <c r="O25" s="48"/>
      <c r="P25" s="48"/>
      <c r="Q25" s="18"/>
      <c r="R25" s="18"/>
      <c r="S25" s="27"/>
      <c r="T25" s="48"/>
      <c r="U25" s="48"/>
      <c r="V25" s="48"/>
      <c r="W25" s="48"/>
      <c r="X25" s="48"/>
      <c r="Y25" s="48"/>
      <c r="Z25" s="2" t="s">
        <v>1160</v>
      </c>
      <c r="AA25" s="93">
        <v>5000000</v>
      </c>
      <c r="AB25" s="93"/>
      <c r="AC25" s="18" t="s">
        <v>389</v>
      </c>
      <c r="AD25" s="95">
        <v>12600000</v>
      </c>
      <c r="AE25" s="101">
        <v>7400000</v>
      </c>
      <c r="AF25" s="154">
        <v>7700000.0000000009</v>
      </c>
      <c r="AG25" s="110" t="s">
        <v>371</v>
      </c>
      <c r="AH25" s="111" t="s">
        <v>77</v>
      </c>
      <c r="AI25" s="111"/>
      <c r="AJ25" s="112" t="s">
        <v>372</v>
      </c>
      <c r="AK25" s="110" t="s">
        <v>373</v>
      </c>
      <c r="AL25" s="110" t="s">
        <v>374</v>
      </c>
      <c r="AM25" s="18" t="s">
        <v>375</v>
      </c>
      <c r="AN25" s="8">
        <v>0</v>
      </c>
      <c r="AO25" s="2">
        <v>33</v>
      </c>
      <c r="AP25" s="48"/>
      <c r="AQ25" t="s">
        <v>764</v>
      </c>
    </row>
    <row r="26" spans="1:43" ht="60" x14ac:dyDescent="0.3">
      <c r="A26" s="4">
        <v>23</v>
      </c>
      <c r="B26" s="2" t="s">
        <v>106</v>
      </c>
      <c r="C26" s="2" t="s">
        <v>376</v>
      </c>
      <c r="D26" s="2">
        <v>106.76311</v>
      </c>
      <c r="E26" s="2">
        <v>10.832050000000001</v>
      </c>
      <c r="F26" s="2" t="s">
        <v>377</v>
      </c>
      <c r="G26" s="2" t="s">
        <v>353</v>
      </c>
      <c r="H26" s="27" t="s">
        <v>892</v>
      </c>
      <c r="I26" s="25" t="s">
        <v>892</v>
      </c>
      <c r="J26" s="20">
        <v>44696</v>
      </c>
      <c r="K26" s="20">
        <v>46521</v>
      </c>
      <c r="L26" s="20"/>
      <c r="M26" s="34" t="s">
        <v>174</v>
      </c>
      <c r="N26" s="97">
        <v>44713</v>
      </c>
      <c r="O26" s="27" t="s">
        <v>405</v>
      </c>
      <c r="P26" s="48"/>
      <c r="Q26" s="18"/>
      <c r="R26" s="18"/>
      <c r="S26" s="27"/>
      <c r="T26" s="48"/>
      <c r="U26" s="48"/>
      <c r="V26" s="48"/>
      <c r="W26" s="48"/>
      <c r="X26" s="48"/>
      <c r="Y26" s="48"/>
      <c r="Z26" s="2" t="s">
        <v>1161</v>
      </c>
      <c r="AA26" s="18" t="s">
        <v>412</v>
      </c>
      <c r="AB26" s="18"/>
      <c r="AC26" s="18" t="s">
        <v>158</v>
      </c>
      <c r="AD26" s="95">
        <v>11200000</v>
      </c>
      <c r="AE26" s="101">
        <v>0</v>
      </c>
      <c r="AF26" s="154">
        <v>0</v>
      </c>
      <c r="AG26" s="110" t="s">
        <v>378</v>
      </c>
      <c r="AH26" s="111" t="s">
        <v>77</v>
      </c>
      <c r="AI26" s="111"/>
      <c r="AJ26" s="112" t="s">
        <v>631</v>
      </c>
      <c r="AK26" s="110" t="s">
        <v>630</v>
      </c>
      <c r="AL26" s="110" t="s">
        <v>629</v>
      </c>
      <c r="AM26" s="18" t="s">
        <v>379</v>
      </c>
      <c r="AN26" s="8">
        <v>14.5</v>
      </c>
      <c r="AO26" s="2">
        <v>9</v>
      </c>
      <c r="AP26" s="48"/>
      <c r="AQ26" t="s">
        <v>764</v>
      </c>
    </row>
    <row r="27" spans="1:43" ht="24" x14ac:dyDescent="0.3">
      <c r="A27" s="4">
        <v>24</v>
      </c>
      <c r="B27" s="8" t="s">
        <v>380</v>
      </c>
      <c r="C27" s="2" t="s">
        <v>156</v>
      </c>
      <c r="D27" s="2">
        <v>106.6554</v>
      </c>
      <c r="E27" s="2">
        <v>10.798572</v>
      </c>
      <c r="F27" s="2" t="s">
        <v>382</v>
      </c>
      <c r="G27" s="27" t="s">
        <v>892</v>
      </c>
      <c r="H27" s="34" t="s">
        <v>1214</v>
      </c>
      <c r="I27" s="25" t="s">
        <v>892</v>
      </c>
      <c r="J27" s="20" t="s">
        <v>896</v>
      </c>
      <c r="K27" s="20" t="s">
        <v>896</v>
      </c>
      <c r="L27" s="20"/>
      <c r="M27" s="34" t="s">
        <v>174</v>
      </c>
      <c r="N27" s="27" t="s">
        <v>410</v>
      </c>
      <c r="O27" s="27" t="s">
        <v>410</v>
      </c>
      <c r="P27" s="27" t="s">
        <v>410</v>
      </c>
      <c r="Q27" s="27" t="s">
        <v>410</v>
      </c>
      <c r="R27" s="18"/>
      <c r="S27" s="27" t="s">
        <v>405</v>
      </c>
      <c r="T27" s="48"/>
      <c r="U27" s="48"/>
      <c r="V27" s="48"/>
      <c r="W27" s="48"/>
      <c r="X27" s="48"/>
      <c r="Y27" s="48"/>
      <c r="Z27" s="2" t="s">
        <v>1162</v>
      </c>
      <c r="AA27" s="18" t="s">
        <v>411</v>
      </c>
      <c r="AB27" s="18"/>
      <c r="AC27" s="18">
        <v>0</v>
      </c>
      <c r="AD27" s="48">
        <v>0</v>
      </c>
      <c r="AE27" s="101">
        <v>0</v>
      </c>
      <c r="AF27" s="154">
        <v>11550000</v>
      </c>
      <c r="AG27" s="110" t="s">
        <v>378</v>
      </c>
      <c r="AH27" s="110" t="s">
        <v>79</v>
      </c>
      <c r="AI27" s="111"/>
      <c r="AJ27" s="110" t="s">
        <v>349</v>
      </c>
      <c r="AK27" s="110" t="s">
        <v>383</v>
      </c>
      <c r="AL27" s="110" t="s">
        <v>349</v>
      </c>
      <c r="AM27" s="18" t="s">
        <v>384</v>
      </c>
      <c r="AN27" s="8" t="s">
        <v>334</v>
      </c>
      <c r="AO27" s="2" t="s">
        <v>334</v>
      </c>
      <c r="AP27" s="48"/>
      <c r="AQ27" t="s">
        <v>764</v>
      </c>
    </row>
    <row r="28" spans="1:43" ht="36" x14ac:dyDescent="0.3">
      <c r="A28" s="4">
        <v>25</v>
      </c>
      <c r="B28" s="8" t="s">
        <v>381</v>
      </c>
      <c r="C28" s="2" t="s">
        <v>66</v>
      </c>
      <c r="D28" s="2">
        <v>106.68662999999999</v>
      </c>
      <c r="E28" s="2">
        <v>10.821289999999999</v>
      </c>
      <c r="F28" s="2" t="s">
        <v>386</v>
      </c>
      <c r="G28" s="27" t="s">
        <v>892</v>
      </c>
      <c r="H28" s="34" t="s">
        <v>1215</v>
      </c>
      <c r="I28" s="25" t="s">
        <v>892</v>
      </c>
      <c r="J28" s="20">
        <v>44697</v>
      </c>
      <c r="K28" s="20">
        <v>46522</v>
      </c>
      <c r="L28" s="20"/>
      <c r="M28" s="34" t="s">
        <v>174</v>
      </c>
      <c r="N28" s="27" t="s">
        <v>410</v>
      </c>
      <c r="O28" s="27" t="s">
        <v>410</v>
      </c>
      <c r="P28" s="27" t="s">
        <v>410</v>
      </c>
      <c r="Q28" s="27" t="s">
        <v>410</v>
      </c>
      <c r="R28" s="18"/>
      <c r="S28" s="27" t="s">
        <v>405</v>
      </c>
      <c r="T28" s="48"/>
      <c r="U28" s="48"/>
      <c r="V28" s="48"/>
      <c r="W28" s="48"/>
      <c r="X28" s="48"/>
      <c r="Y28" s="48"/>
      <c r="Z28" s="2" t="s">
        <v>1163</v>
      </c>
      <c r="AA28" s="93">
        <v>5000000</v>
      </c>
      <c r="AB28" s="93"/>
      <c r="AC28" s="18">
        <v>0</v>
      </c>
      <c r="AD28" s="48">
        <v>0</v>
      </c>
      <c r="AE28" s="101">
        <v>0</v>
      </c>
      <c r="AF28" s="154">
        <v>11330000</v>
      </c>
      <c r="AG28" s="110" t="s">
        <v>378</v>
      </c>
      <c r="AH28" s="111" t="s">
        <v>77</v>
      </c>
      <c r="AI28" s="111"/>
      <c r="AJ28" s="112" t="s">
        <v>1157</v>
      </c>
      <c r="AK28" s="110" t="s">
        <v>387</v>
      </c>
      <c r="AL28" s="110" t="s">
        <v>388</v>
      </c>
      <c r="AM28" s="18" t="s">
        <v>385</v>
      </c>
      <c r="AN28" s="8" t="s">
        <v>334</v>
      </c>
      <c r="AO28" s="2">
        <v>12</v>
      </c>
      <c r="AP28" s="48"/>
      <c r="AQ28" t="s">
        <v>764</v>
      </c>
    </row>
    <row r="29" spans="1:43" ht="24" x14ac:dyDescent="0.3">
      <c r="A29" s="4">
        <v>26</v>
      </c>
      <c r="B29" s="153" t="s">
        <v>392</v>
      </c>
      <c r="C29" s="2" t="s">
        <v>394</v>
      </c>
      <c r="D29" s="2">
        <v>106.46045119999999</v>
      </c>
      <c r="E29" s="2">
        <v>10.9983042</v>
      </c>
      <c r="F29" s="2" t="s">
        <v>395</v>
      </c>
      <c r="G29" s="34" t="s">
        <v>353</v>
      </c>
      <c r="H29" s="34" t="s">
        <v>1219</v>
      </c>
      <c r="I29" s="25" t="s">
        <v>892</v>
      </c>
      <c r="J29" s="20">
        <v>44707</v>
      </c>
      <c r="K29" s="20">
        <v>47622</v>
      </c>
      <c r="L29" s="20"/>
      <c r="M29" s="34" t="s">
        <v>174</v>
      </c>
      <c r="N29" s="48"/>
      <c r="O29" s="48"/>
      <c r="P29" s="48"/>
      <c r="Q29" s="18"/>
      <c r="R29" s="18"/>
      <c r="S29" s="27"/>
      <c r="T29" s="48"/>
      <c r="U29" s="48"/>
      <c r="V29" s="48"/>
      <c r="W29" s="48"/>
      <c r="X29" s="48"/>
      <c r="Y29" s="48"/>
      <c r="Z29" s="2" t="s">
        <v>1164</v>
      </c>
      <c r="AA29" s="18" t="s">
        <v>413</v>
      </c>
      <c r="AB29" s="18"/>
      <c r="AC29" s="18" t="s">
        <v>62</v>
      </c>
      <c r="AD29" s="95">
        <v>12600000</v>
      </c>
      <c r="AE29" s="101">
        <v>0</v>
      </c>
      <c r="AF29" s="101" t="s">
        <v>896</v>
      </c>
      <c r="AG29" s="110" t="s">
        <v>378</v>
      </c>
      <c r="AH29" s="111" t="s">
        <v>77</v>
      </c>
      <c r="AI29" s="111"/>
      <c r="AJ29" s="112" t="s">
        <v>397</v>
      </c>
      <c r="AK29" s="110" t="s">
        <v>396</v>
      </c>
      <c r="AL29" s="110" t="s">
        <v>398</v>
      </c>
      <c r="AM29" s="18" t="s">
        <v>399</v>
      </c>
      <c r="AN29" s="8">
        <v>0</v>
      </c>
      <c r="AO29" s="2">
        <v>33</v>
      </c>
      <c r="AP29" s="48"/>
      <c r="AQ29" t="s">
        <v>764</v>
      </c>
    </row>
    <row r="30" spans="1:43" ht="24" x14ac:dyDescent="0.3">
      <c r="A30" s="4">
        <v>27</v>
      </c>
      <c r="B30" s="2" t="s">
        <v>400</v>
      </c>
      <c r="C30" s="2" t="s">
        <v>401</v>
      </c>
      <c r="D30" s="2">
        <v>106.704082</v>
      </c>
      <c r="E30" s="2">
        <v>10.758376</v>
      </c>
      <c r="F30" s="2" t="s">
        <v>402</v>
      </c>
      <c r="G30" s="34" t="s">
        <v>353</v>
      </c>
      <c r="H30" s="27" t="s">
        <v>892</v>
      </c>
      <c r="I30" s="25" t="s">
        <v>892</v>
      </c>
      <c r="J30" s="20">
        <v>44727</v>
      </c>
      <c r="K30" s="20">
        <v>46552</v>
      </c>
      <c r="L30" s="20"/>
      <c r="M30" s="34" t="s">
        <v>174</v>
      </c>
      <c r="N30" s="122">
        <v>44757</v>
      </c>
      <c r="O30" s="27" t="s">
        <v>405</v>
      </c>
      <c r="P30" s="48"/>
      <c r="Q30" s="18"/>
      <c r="R30" s="18"/>
      <c r="S30" s="27"/>
      <c r="T30" s="48"/>
      <c r="U30" s="48"/>
      <c r="V30" s="48"/>
      <c r="W30" s="48"/>
      <c r="X30" s="48"/>
      <c r="Y30" s="48"/>
      <c r="Z30" s="2" t="s">
        <v>416</v>
      </c>
      <c r="AA30" s="18" t="s">
        <v>414</v>
      </c>
      <c r="AB30" s="18"/>
      <c r="AC30" s="18" t="s">
        <v>147</v>
      </c>
      <c r="AD30" s="95">
        <v>10700000</v>
      </c>
      <c r="AE30" s="101">
        <v>0</v>
      </c>
      <c r="AF30" s="154">
        <v>0</v>
      </c>
      <c r="AG30" s="110" t="s">
        <v>458</v>
      </c>
      <c r="AH30" s="111" t="s">
        <v>79</v>
      </c>
      <c r="AI30" s="111"/>
      <c r="AJ30" s="112" t="s">
        <v>407</v>
      </c>
      <c r="AK30" s="110" t="s">
        <v>406</v>
      </c>
      <c r="AL30" s="110" t="s">
        <v>408</v>
      </c>
      <c r="AM30" s="18" t="s">
        <v>403</v>
      </c>
      <c r="AN30" s="8">
        <v>12.5</v>
      </c>
      <c r="AO30" s="2">
        <v>12</v>
      </c>
      <c r="AP30" s="48"/>
      <c r="AQ30" t="s">
        <v>764</v>
      </c>
    </row>
    <row r="31" spans="1:43" ht="24" x14ac:dyDescent="0.3">
      <c r="A31" s="4">
        <v>28</v>
      </c>
      <c r="B31" s="102" t="s">
        <v>420</v>
      </c>
      <c r="C31" s="102" t="s">
        <v>117</v>
      </c>
      <c r="D31" s="102">
        <v>106.5466876</v>
      </c>
      <c r="E31" s="102">
        <v>10.7735138</v>
      </c>
      <c r="F31" s="102" t="s">
        <v>421</v>
      </c>
      <c r="G31" s="103" t="s">
        <v>353</v>
      </c>
      <c r="H31" s="34" t="s">
        <v>1222</v>
      </c>
      <c r="I31" s="25" t="s">
        <v>892</v>
      </c>
      <c r="J31" s="20">
        <v>46023</v>
      </c>
      <c r="K31" s="20">
        <v>47848</v>
      </c>
      <c r="L31" s="20"/>
      <c r="M31" s="34" t="s">
        <v>174</v>
      </c>
      <c r="N31" s="97">
        <v>44788</v>
      </c>
      <c r="O31" s="104"/>
      <c r="P31" s="105"/>
      <c r="Q31" s="106"/>
      <c r="R31" s="106"/>
      <c r="S31" s="104"/>
      <c r="T31" s="105"/>
      <c r="U31" s="105"/>
      <c r="V31" s="105"/>
      <c r="W31" s="105"/>
      <c r="X31" s="105"/>
      <c r="Y31" s="105"/>
      <c r="Z31" s="2" t="s">
        <v>1165</v>
      </c>
      <c r="AA31" s="107">
        <v>5000000</v>
      </c>
      <c r="AB31" s="107"/>
      <c r="AC31" s="107">
        <v>6300000</v>
      </c>
      <c r="AD31" s="108">
        <v>10200000</v>
      </c>
      <c r="AE31" s="101">
        <v>0</v>
      </c>
      <c r="AF31" s="154">
        <v>0</v>
      </c>
      <c r="AG31" s="114" t="s">
        <v>423</v>
      </c>
      <c r="AH31" s="114" t="s">
        <v>79</v>
      </c>
      <c r="AI31" s="115"/>
      <c r="AJ31" s="116" t="s">
        <v>424</v>
      </c>
      <c r="AK31" s="114" t="s">
        <v>422</v>
      </c>
      <c r="AL31" s="114" t="s">
        <v>170</v>
      </c>
      <c r="AM31" s="106" t="s">
        <v>425</v>
      </c>
      <c r="AN31" s="109">
        <v>12</v>
      </c>
      <c r="AO31" s="102">
        <v>12</v>
      </c>
      <c r="AP31" s="105"/>
      <c r="AQ31" t="s">
        <v>764</v>
      </c>
    </row>
    <row r="32" spans="1:43" ht="24" x14ac:dyDescent="0.3">
      <c r="A32" s="4">
        <v>29</v>
      </c>
      <c r="B32" s="2" t="s">
        <v>426</v>
      </c>
      <c r="C32" s="2" t="s">
        <v>15</v>
      </c>
      <c r="D32" s="2">
        <v>106.5781636</v>
      </c>
      <c r="E32" s="2">
        <v>10.854782500000001</v>
      </c>
      <c r="F32" s="2" t="s">
        <v>427</v>
      </c>
      <c r="G32" s="34" t="s">
        <v>354</v>
      </c>
      <c r="H32" s="27" t="s">
        <v>892</v>
      </c>
      <c r="I32" s="25" t="s">
        <v>892</v>
      </c>
      <c r="J32" s="20">
        <v>44772</v>
      </c>
      <c r="K32" s="20">
        <v>46597</v>
      </c>
      <c r="L32" s="20"/>
      <c r="M32" s="34" t="s">
        <v>174</v>
      </c>
      <c r="N32" s="122">
        <v>44824</v>
      </c>
      <c r="O32" s="27"/>
      <c r="P32" s="48"/>
      <c r="Q32" s="18"/>
      <c r="R32" s="18"/>
      <c r="S32" s="27"/>
      <c r="T32" s="48"/>
      <c r="U32" s="48"/>
      <c r="V32" s="48"/>
      <c r="W32" s="48"/>
      <c r="X32" s="48"/>
      <c r="Y32" s="48"/>
      <c r="Z32" s="2" t="s">
        <v>909</v>
      </c>
      <c r="AA32" s="101">
        <v>3000000</v>
      </c>
      <c r="AB32" s="101"/>
      <c r="AC32" s="101"/>
      <c r="AD32" s="95">
        <v>5700000</v>
      </c>
      <c r="AE32" s="101">
        <v>0</v>
      </c>
      <c r="AF32" s="154">
        <v>0</v>
      </c>
      <c r="AG32" s="110" t="s">
        <v>378</v>
      </c>
      <c r="AH32" s="111" t="s">
        <v>77</v>
      </c>
      <c r="AI32" s="111"/>
      <c r="AJ32" s="112" t="s">
        <v>436</v>
      </c>
      <c r="AK32" s="110" t="s">
        <v>435</v>
      </c>
      <c r="AL32" s="110" t="s">
        <v>433</v>
      </c>
      <c r="AM32" s="18" t="s">
        <v>437</v>
      </c>
      <c r="AN32" s="8">
        <v>12</v>
      </c>
      <c r="AO32" s="2">
        <v>6</v>
      </c>
      <c r="AP32" s="48"/>
      <c r="AQ32" t="s">
        <v>764</v>
      </c>
    </row>
    <row r="33" spans="1:44" s="121" customFormat="1" ht="24" x14ac:dyDescent="0.3">
      <c r="A33" s="4">
        <v>30</v>
      </c>
      <c r="B33" s="2" t="s">
        <v>428</v>
      </c>
      <c r="C33" s="2" t="s">
        <v>107</v>
      </c>
      <c r="D33" s="2">
        <v>106.73014000000001</v>
      </c>
      <c r="E33" s="2">
        <v>10.886240000000001</v>
      </c>
      <c r="F33" s="2" t="s">
        <v>429</v>
      </c>
      <c r="G33" s="34" t="s">
        <v>353</v>
      </c>
      <c r="H33" s="27" t="s">
        <v>892</v>
      </c>
      <c r="I33" s="34" t="s">
        <v>1229</v>
      </c>
      <c r="J33" s="20">
        <v>44774</v>
      </c>
      <c r="K33" s="20">
        <v>46599</v>
      </c>
      <c r="L33" s="20"/>
      <c r="M33" s="34" t="s">
        <v>174</v>
      </c>
      <c r="N33" s="97">
        <v>44788</v>
      </c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2" t="s">
        <v>1166</v>
      </c>
      <c r="AA33" s="101" t="s">
        <v>431</v>
      </c>
      <c r="AB33" s="101"/>
      <c r="AC33" s="101">
        <v>8500000</v>
      </c>
      <c r="AD33" s="95">
        <v>12600000</v>
      </c>
      <c r="AE33" s="101">
        <v>7000000</v>
      </c>
      <c r="AF33" s="154">
        <v>0</v>
      </c>
      <c r="AG33" s="110" t="s">
        <v>378</v>
      </c>
      <c r="AH33" s="110" t="s">
        <v>79</v>
      </c>
      <c r="AI33" s="118"/>
      <c r="AJ33" s="119" t="s">
        <v>432</v>
      </c>
      <c r="AK33" s="117" t="s">
        <v>430</v>
      </c>
      <c r="AL33" s="110" t="s">
        <v>433</v>
      </c>
      <c r="AM33" s="2" t="s">
        <v>434</v>
      </c>
      <c r="AN33" s="8">
        <v>13</v>
      </c>
      <c r="AO33" s="2">
        <v>12</v>
      </c>
      <c r="AP33" s="48"/>
      <c r="AQ33" t="s">
        <v>764</v>
      </c>
      <c r="AR33" s="120"/>
    </row>
    <row r="34" spans="1:44" s="121" customFormat="1" ht="36" x14ac:dyDescent="0.3">
      <c r="A34" s="4">
        <v>31</v>
      </c>
      <c r="B34" s="2" t="s">
        <v>340</v>
      </c>
      <c r="C34" s="2" t="s">
        <v>15</v>
      </c>
      <c r="D34" s="2">
        <v>106.58684599999999</v>
      </c>
      <c r="E34" s="2">
        <v>10.848431</v>
      </c>
      <c r="F34" s="2" t="s">
        <v>447</v>
      </c>
      <c r="G34" s="34" t="s">
        <v>353</v>
      </c>
      <c r="H34" s="27" t="s">
        <v>892</v>
      </c>
      <c r="I34" s="25" t="s">
        <v>892</v>
      </c>
      <c r="J34" s="20">
        <v>44781</v>
      </c>
      <c r="K34" s="20">
        <v>46606</v>
      </c>
      <c r="L34" s="20"/>
      <c r="M34" s="34" t="s">
        <v>174</v>
      </c>
      <c r="N34" s="97">
        <v>44784</v>
      </c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2" t="s">
        <v>910</v>
      </c>
      <c r="AA34" s="101">
        <v>5000000</v>
      </c>
      <c r="AB34" s="101"/>
      <c r="AC34" s="101"/>
      <c r="AD34" s="95">
        <v>10000000</v>
      </c>
      <c r="AE34" s="101">
        <v>0</v>
      </c>
      <c r="AF34" s="154">
        <v>0</v>
      </c>
      <c r="AG34" s="113" t="s">
        <v>448</v>
      </c>
      <c r="AH34" s="111" t="s">
        <v>77</v>
      </c>
      <c r="AI34" s="118"/>
      <c r="AJ34" s="119" t="s">
        <v>485</v>
      </c>
      <c r="AK34" s="117" t="s">
        <v>486</v>
      </c>
      <c r="AL34" s="110" t="s">
        <v>408</v>
      </c>
      <c r="AM34" s="2" t="s">
        <v>345</v>
      </c>
      <c r="AN34" s="2">
        <v>12</v>
      </c>
      <c r="AO34" s="2">
        <v>12</v>
      </c>
      <c r="AP34" s="48"/>
      <c r="AQ34" t="s">
        <v>764</v>
      </c>
      <c r="AR34" s="120"/>
    </row>
    <row r="35" spans="1:44" s="121" customFormat="1" ht="24" x14ac:dyDescent="0.3">
      <c r="A35" s="4">
        <v>32</v>
      </c>
      <c r="B35" s="2" t="s">
        <v>449</v>
      </c>
      <c r="C35" s="2" t="s">
        <v>32</v>
      </c>
      <c r="D35" s="2">
        <v>106.720461</v>
      </c>
      <c r="E35" s="2">
        <v>10.801625</v>
      </c>
      <c r="F35" s="2" t="s">
        <v>450</v>
      </c>
      <c r="G35" s="34" t="s">
        <v>353</v>
      </c>
      <c r="H35" s="27" t="s">
        <v>892</v>
      </c>
      <c r="I35" s="25" t="s">
        <v>892</v>
      </c>
      <c r="J35" s="20">
        <v>44784</v>
      </c>
      <c r="K35" s="20">
        <v>46609</v>
      </c>
      <c r="L35" s="20"/>
      <c r="M35" s="34" t="s">
        <v>174</v>
      </c>
      <c r="N35" s="97">
        <v>44805</v>
      </c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2" t="s">
        <v>1167</v>
      </c>
      <c r="AA35" s="101">
        <v>7000000</v>
      </c>
      <c r="AB35" s="101"/>
      <c r="AC35" s="101">
        <v>7600000</v>
      </c>
      <c r="AD35" s="95">
        <v>12000000</v>
      </c>
      <c r="AE35" s="101">
        <v>0</v>
      </c>
      <c r="AF35" s="154">
        <v>0</v>
      </c>
      <c r="AG35" s="110" t="s">
        <v>378</v>
      </c>
      <c r="AH35" s="111" t="s">
        <v>77</v>
      </c>
      <c r="AI35" s="118"/>
      <c r="AJ35" s="119" t="s">
        <v>452</v>
      </c>
      <c r="AK35" s="117" t="s">
        <v>451</v>
      </c>
      <c r="AL35" s="110" t="s">
        <v>453</v>
      </c>
      <c r="AM35" s="2" t="s">
        <v>454</v>
      </c>
      <c r="AN35" s="2">
        <v>12</v>
      </c>
      <c r="AO35" s="2">
        <v>12</v>
      </c>
      <c r="AP35" s="48"/>
      <c r="AQ35" t="s">
        <v>764</v>
      </c>
      <c r="AR35" s="120"/>
    </row>
    <row r="36" spans="1:44" s="121" customFormat="1" ht="24" x14ac:dyDescent="0.3">
      <c r="A36" s="4">
        <v>33</v>
      </c>
      <c r="B36" s="2" t="s">
        <v>455</v>
      </c>
      <c r="C36" s="2" t="s">
        <v>394</v>
      </c>
      <c r="D36" s="2">
        <v>106.5579609</v>
      </c>
      <c r="E36" s="2">
        <v>10.9276526</v>
      </c>
      <c r="F36" s="2" t="s">
        <v>456</v>
      </c>
      <c r="G36" s="34" t="s">
        <v>354</v>
      </c>
      <c r="H36" s="27" t="s">
        <v>892</v>
      </c>
      <c r="I36" s="34" t="s">
        <v>1230</v>
      </c>
      <c r="J36" s="20">
        <v>44774</v>
      </c>
      <c r="K36" s="20">
        <v>46599</v>
      </c>
      <c r="L36" s="20"/>
      <c r="M36" s="34" t="s">
        <v>174</v>
      </c>
      <c r="N36" s="97">
        <v>44774</v>
      </c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2" t="s">
        <v>457</v>
      </c>
      <c r="AA36" s="101">
        <v>5000000</v>
      </c>
      <c r="AB36" s="101"/>
      <c r="AC36" s="101"/>
      <c r="AD36" s="95">
        <v>7500000</v>
      </c>
      <c r="AE36" s="101">
        <v>6820000.0000000009</v>
      </c>
      <c r="AF36" s="154">
        <v>0</v>
      </c>
      <c r="AG36" s="110" t="s">
        <v>378</v>
      </c>
      <c r="AH36" s="111" t="s">
        <v>77</v>
      </c>
      <c r="AI36" s="118"/>
      <c r="AJ36" s="119" t="s">
        <v>510</v>
      </c>
      <c r="AK36" s="117" t="s">
        <v>511</v>
      </c>
      <c r="AL36" s="110" t="s">
        <v>512</v>
      </c>
      <c r="AM36" s="2" t="s">
        <v>513</v>
      </c>
      <c r="AN36" s="2">
        <v>25</v>
      </c>
      <c r="AO36" s="2">
        <v>4</v>
      </c>
      <c r="AP36" s="48"/>
      <c r="AQ36" t="s">
        <v>764</v>
      </c>
      <c r="AR36" s="120"/>
    </row>
    <row r="37" spans="1:44" s="121" customFormat="1" ht="24" x14ac:dyDescent="0.3">
      <c r="A37" s="4">
        <v>34</v>
      </c>
      <c r="B37" s="2" t="s">
        <v>461</v>
      </c>
      <c r="C37" s="2" t="s">
        <v>288</v>
      </c>
      <c r="D37" s="2">
        <v>106.64084200000001</v>
      </c>
      <c r="E37" s="2">
        <v>10.874141</v>
      </c>
      <c r="F37" s="2" t="s">
        <v>462</v>
      </c>
      <c r="G37" s="34" t="s">
        <v>353</v>
      </c>
      <c r="H37" s="27" t="s">
        <v>892</v>
      </c>
      <c r="I37" s="25" t="s">
        <v>892</v>
      </c>
      <c r="J37" s="20">
        <v>44826</v>
      </c>
      <c r="K37" s="20">
        <v>46651</v>
      </c>
      <c r="L37" s="20"/>
      <c r="M37" s="34" t="s">
        <v>174</v>
      </c>
      <c r="N37" s="97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2" t="s">
        <v>898</v>
      </c>
      <c r="AA37" s="101">
        <v>5000000</v>
      </c>
      <c r="AB37" s="101"/>
      <c r="AC37" s="101">
        <v>6500000</v>
      </c>
      <c r="AD37" s="95">
        <v>10500000</v>
      </c>
      <c r="AE37" s="101">
        <v>0</v>
      </c>
      <c r="AF37" s="154">
        <v>0</v>
      </c>
      <c r="AG37" s="87">
        <v>44896</v>
      </c>
      <c r="AH37" s="111" t="s">
        <v>77</v>
      </c>
      <c r="AI37" s="118"/>
      <c r="AJ37" s="119" t="s">
        <v>463</v>
      </c>
      <c r="AK37" s="117" t="s">
        <v>464</v>
      </c>
      <c r="AL37" s="110" t="s">
        <v>465</v>
      </c>
      <c r="AM37" s="2" t="s">
        <v>466</v>
      </c>
      <c r="AN37" s="2">
        <v>13</v>
      </c>
      <c r="AO37" s="2">
        <v>12</v>
      </c>
      <c r="AP37" s="48"/>
      <c r="AQ37" t="s">
        <v>764</v>
      </c>
      <c r="AR37" s="120"/>
    </row>
    <row r="38" spans="1:44" s="121" customFormat="1" ht="24" x14ac:dyDescent="0.3">
      <c r="A38" s="4">
        <v>35</v>
      </c>
      <c r="B38" s="2" t="s">
        <v>467</v>
      </c>
      <c r="C38" s="2" t="s">
        <v>468</v>
      </c>
      <c r="D38" s="2">
        <v>106.619451</v>
      </c>
      <c r="E38" s="2">
        <v>10.787967</v>
      </c>
      <c r="F38" s="2" t="s">
        <v>469</v>
      </c>
      <c r="G38" s="34" t="s">
        <v>353</v>
      </c>
      <c r="H38" s="27" t="s">
        <v>892</v>
      </c>
      <c r="I38" s="25" t="s">
        <v>892</v>
      </c>
      <c r="J38" s="20">
        <v>44828</v>
      </c>
      <c r="K38" s="20">
        <v>46653</v>
      </c>
      <c r="L38" s="20"/>
      <c r="M38" s="34" t="s">
        <v>174</v>
      </c>
      <c r="N38" s="97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2" t="s">
        <v>1168</v>
      </c>
      <c r="AA38" s="101">
        <v>5500000</v>
      </c>
      <c r="AB38" s="101"/>
      <c r="AC38" s="101">
        <v>6800000</v>
      </c>
      <c r="AD38" s="95">
        <v>11000000</v>
      </c>
      <c r="AE38" s="101">
        <v>0</v>
      </c>
      <c r="AF38" s="154">
        <v>0</v>
      </c>
      <c r="AG38" s="87">
        <v>44896</v>
      </c>
      <c r="AH38" s="111" t="s">
        <v>77</v>
      </c>
      <c r="AI38" s="118"/>
      <c r="AJ38" s="119" t="s">
        <v>470</v>
      </c>
      <c r="AK38" s="117" t="s">
        <v>471</v>
      </c>
      <c r="AL38" s="110" t="s">
        <v>114</v>
      </c>
      <c r="AM38" s="2" t="s">
        <v>472</v>
      </c>
      <c r="AN38" s="2">
        <v>15</v>
      </c>
      <c r="AO38" s="2">
        <v>12</v>
      </c>
      <c r="AP38" s="48"/>
      <c r="AQ38" t="s">
        <v>764</v>
      </c>
      <c r="AR38" s="120"/>
    </row>
    <row r="39" spans="1:44" s="121" customFormat="1" ht="24" x14ac:dyDescent="0.3">
      <c r="A39" s="4">
        <v>36</v>
      </c>
      <c r="B39" s="2" t="s">
        <v>141</v>
      </c>
      <c r="C39" s="2" t="s">
        <v>66</v>
      </c>
      <c r="D39" s="2">
        <v>106.674189</v>
      </c>
      <c r="E39" s="2">
        <v>10.830633000000001</v>
      </c>
      <c r="F39" s="2" t="s">
        <v>473</v>
      </c>
      <c r="G39" s="34" t="s">
        <v>353</v>
      </c>
      <c r="H39" s="27" t="s">
        <v>892</v>
      </c>
      <c r="I39" s="25" t="s">
        <v>892</v>
      </c>
      <c r="J39" s="20">
        <v>44813</v>
      </c>
      <c r="K39" s="20">
        <v>46638</v>
      </c>
      <c r="L39" s="20"/>
      <c r="M39" s="34" t="s">
        <v>174</v>
      </c>
      <c r="N39" s="97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2" t="s">
        <v>1169</v>
      </c>
      <c r="AA39" s="101">
        <v>7700000</v>
      </c>
      <c r="AB39" s="101"/>
      <c r="AC39" s="101">
        <v>7700000</v>
      </c>
      <c r="AD39" s="95">
        <v>11400000</v>
      </c>
      <c r="AE39" s="101">
        <v>7400000</v>
      </c>
      <c r="AF39" s="154">
        <v>0</v>
      </c>
      <c r="AG39" s="87" t="s">
        <v>17</v>
      </c>
      <c r="AH39" s="111" t="s">
        <v>79</v>
      </c>
      <c r="AI39" s="118"/>
      <c r="AJ39" s="119" t="s">
        <v>474</v>
      </c>
      <c r="AK39" s="117" t="s">
        <v>475</v>
      </c>
      <c r="AL39" s="110" t="s">
        <v>476</v>
      </c>
      <c r="AM39" s="2" t="s">
        <v>477</v>
      </c>
      <c r="AN39" s="2">
        <v>13.5</v>
      </c>
      <c r="AO39" s="2">
        <v>6</v>
      </c>
      <c r="AP39" s="48"/>
      <c r="AQ39" t="s">
        <v>764</v>
      </c>
      <c r="AR39" s="120"/>
    </row>
    <row r="40" spans="1:44" s="121" customFormat="1" ht="24" x14ac:dyDescent="0.3">
      <c r="A40" s="4">
        <v>37</v>
      </c>
      <c r="B40" s="2" t="s">
        <v>478</v>
      </c>
      <c r="C40" s="2" t="s">
        <v>229</v>
      </c>
      <c r="D40" s="2">
        <v>106.59792899999999</v>
      </c>
      <c r="E40" s="2">
        <v>10.821275999999999</v>
      </c>
      <c r="F40" s="2" t="s">
        <v>479</v>
      </c>
      <c r="G40" s="34" t="s">
        <v>353</v>
      </c>
      <c r="H40" s="27" t="s">
        <v>892</v>
      </c>
      <c r="I40" s="25" t="s">
        <v>892</v>
      </c>
      <c r="J40" s="20">
        <v>44835</v>
      </c>
      <c r="K40" s="20">
        <v>46660</v>
      </c>
      <c r="L40" s="20"/>
      <c r="M40" s="34" t="s">
        <v>174</v>
      </c>
      <c r="N40" s="97">
        <v>44844</v>
      </c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2" t="s">
        <v>899</v>
      </c>
      <c r="AA40" s="101">
        <v>6000000</v>
      </c>
      <c r="AB40" s="101"/>
      <c r="AC40" s="101"/>
      <c r="AD40" s="95">
        <v>12100000</v>
      </c>
      <c r="AE40" s="101">
        <v>0</v>
      </c>
      <c r="AF40" s="154">
        <v>0</v>
      </c>
      <c r="AG40" s="87">
        <v>44896</v>
      </c>
      <c r="AH40" s="111" t="s">
        <v>79</v>
      </c>
      <c r="AI40" s="118"/>
      <c r="AJ40" s="119" t="s">
        <v>480</v>
      </c>
      <c r="AK40" s="117" t="s">
        <v>482</v>
      </c>
      <c r="AL40" s="110" t="s">
        <v>481</v>
      </c>
      <c r="AM40" s="2" t="s">
        <v>483</v>
      </c>
      <c r="AN40" s="2">
        <v>12.5</v>
      </c>
      <c r="AO40" s="2">
        <v>12</v>
      </c>
      <c r="AP40" s="48"/>
      <c r="AQ40" t="s">
        <v>764</v>
      </c>
      <c r="AR40" s="120"/>
    </row>
    <row r="41" spans="1:44" s="121" customFormat="1" ht="24" x14ac:dyDescent="0.3">
      <c r="A41" s="4">
        <v>38</v>
      </c>
      <c r="B41" s="2" t="s">
        <v>493</v>
      </c>
      <c r="C41" s="2" t="s">
        <v>32</v>
      </c>
      <c r="D41" s="2">
        <v>106.687494</v>
      </c>
      <c r="E41" s="2">
        <v>10.810822</v>
      </c>
      <c r="F41" s="2" t="s">
        <v>494</v>
      </c>
      <c r="G41" s="34" t="s">
        <v>353</v>
      </c>
      <c r="H41" s="27" t="s">
        <v>892</v>
      </c>
      <c r="I41" s="25" t="s">
        <v>892</v>
      </c>
      <c r="J41" s="20">
        <v>44859</v>
      </c>
      <c r="K41" s="20">
        <v>46684</v>
      </c>
      <c r="L41" s="20"/>
      <c r="M41" s="34" t="s">
        <v>174</v>
      </c>
      <c r="N41" s="97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2" t="s">
        <v>1170</v>
      </c>
      <c r="AA41" s="101">
        <v>7000000</v>
      </c>
      <c r="AB41" s="101"/>
      <c r="AC41" s="101"/>
      <c r="AD41" s="95">
        <v>11900000</v>
      </c>
      <c r="AE41" s="101">
        <v>0</v>
      </c>
      <c r="AF41" s="154">
        <v>0</v>
      </c>
      <c r="AG41" s="87" t="s">
        <v>17</v>
      </c>
      <c r="AH41" s="124" t="s">
        <v>79</v>
      </c>
      <c r="AI41" s="118"/>
      <c r="AJ41" s="119" t="s">
        <v>495</v>
      </c>
      <c r="AK41" s="117" t="s">
        <v>497</v>
      </c>
      <c r="AL41" s="110" t="s">
        <v>496</v>
      </c>
      <c r="AM41" s="2" t="s">
        <v>498</v>
      </c>
      <c r="AN41" s="2">
        <v>17</v>
      </c>
      <c r="AO41" s="2">
        <v>6</v>
      </c>
      <c r="AP41" s="48"/>
      <c r="AQ41" t="s">
        <v>764</v>
      </c>
      <c r="AR41" s="120"/>
    </row>
    <row r="42" spans="1:44" s="121" customFormat="1" ht="24" x14ac:dyDescent="0.3">
      <c r="A42" s="4">
        <v>39</v>
      </c>
      <c r="B42" s="2" t="s">
        <v>492</v>
      </c>
      <c r="C42" s="2" t="s">
        <v>32</v>
      </c>
      <c r="D42" s="2">
        <v>106.719729</v>
      </c>
      <c r="E42" s="2">
        <v>10.806206</v>
      </c>
      <c r="F42" s="2" t="s">
        <v>499</v>
      </c>
      <c r="G42" s="34" t="s">
        <v>353</v>
      </c>
      <c r="H42" s="27" t="s">
        <v>892</v>
      </c>
      <c r="I42" s="25" t="s">
        <v>892</v>
      </c>
      <c r="J42" s="20">
        <v>44881</v>
      </c>
      <c r="K42" s="20">
        <v>46706</v>
      </c>
      <c r="L42" s="20"/>
      <c r="M42" s="34"/>
      <c r="N42" s="97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2" t="s">
        <v>1171</v>
      </c>
      <c r="AA42" s="101">
        <v>8000000</v>
      </c>
      <c r="AB42" s="101"/>
      <c r="AC42" s="101"/>
      <c r="AD42" s="95">
        <v>12600000</v>
      </c>
      <c r="AE42" s="101">
        <v>0</v>
      </c>
      <c r="AF42" s="154">
        <v>0</v>
      </c>
      <c r="AG42" s="87" t="s">
        <v>17</v>
      </c>
      <c r="AH42" s="111" t="s">
        <v>77</v>
      </c>
      <c r="AI42" s="118"/>
      <c r="AJ42" s="119" t="s">
        <v>508</v>
      </c>
      <c r="AK42" s="117" t="s">
        <v>500</v>
      </c>
      <c r="AL42" s="110" t="s">
        <v>501</v>
      </c>
      <c r="AM42" s="2" t="s">
        <v>502</v>
      </c>
      <c r="AN42" s="2">
        <v>35.799999999999997</v>
      </c>
      <c r="AO42" s="2">
        <v>6</v>
      </c>
      <c r="AP42" s="48"/>
      <c r="AQ42" t="s">
        <v>764</v>
      </c>
      <c r="AR42" s="120"/>
    </row>
    <row r="43" spans="1:44" s="121" customFormat="1" ht="24" x14ac:dyDescent="0.3">
      <c r="A43" s="4">
        <v>40</v>
      </c>
      <c r="B43" s="2" t="s">
        <v>484</v>
      </c>
      <c r="C43" s="2" t="s">
        <v>66</v>
      </c>
      <c r="D43" s="2">
        <v>106.697784</v>
      </c>
      <c r="E43" s="2">
        <v>10.826632999999999</v>
      </c>
      <c r="F43" s="2" t="s">
        <v>503</v>
      </c>
      <c r="G43" s="34" t="s">
        <v>354</v>
      </c>
      <c r="H43" s="27" t="s">
        <v>892</v>
      </c>
      <c r="I43" s="34" t="s">
        <v>1234</v>
      </c>
      <c r="J43" s="20">
        <v>44885</v>
      </c>
      <c r="K43" s="20">
        <v>46710</v>
      </c>
      <c r="L43" s="20"/>
      <c r="M43" s="34"/>
      <c r="N43" s="97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2" t="s">
        <v>1172</v>
      </c>
      <c r="AA43" s="101">
        <v>7000000</v>
      </c>
      <c r="AB43" s="101"/>
      <c r="AC43" s="101">
        <v>5300000</v>
      </c>
      <c r="AD43" s="95">
        <v>8000000</v>
      </c>
      <c r="AE43" s="101">
        <v>6500000</v>
      </c>
      <c r="AF43" s="154">
        <v>0</v>
      </c>
      <c r="AG43" s="87" t="s">
        <v>17</v>
      </c>
      <c r="AH43" s="111" t="s">
        <v>77</v>
      </c>
      <c r="AI43" s="118"/>
      <c r="AJ43" s="119" t="s">
        <v>505</v>
      </c>
      <c r="AK43" s="117" t="s">
        <v>504</v>
      </c>
      <c r="AL43" s="110" t="s">
        <v>506</v>
      </c>
      <c r="AM43" s="2" t="s">
        <v>507</v>
      </c>
      <c r="AN43" s="2">
        <v>23</v>
      </c>
      <c r="AO43" s="2">
        <v>6</v>
      </c>
      <c r="AP43" s="48"/>
      <c r="AQ43" t="s">
        <v>764</v>
      </c>
      <c r="AR43" s="120"/>
    </row>
    <row r="44" spans="1:44" s="121" customFormat="1" ht="36" x14ac:dyDescent="0.3">
      <c r="A44" s="4">
        <v>41</v>
      </c>
      <c r="B44" s="2" t="s">
        <v>541</v>
      </c>
      <c r="C44" s="2" t="s">
        <v>376</v>
      </c>
      <c r="D44" s="2">
        <v>106.80708300000001</v>
      </c>
      <c r="E44" s="2">
        <v>10.852672999999999</v>
      </c>
      <c r="F44" s="2" t="s">
        <v>542</v>
      </c>
      <c r="G44" s="34" t="s">
        <v>353</v>
      </c>
      <c r="H44" s="27" t="s">
        <v>892</v>
      </c>
      <c r="I44" s="25" t="s">
        <v>892</v>
      </c>
      <c r="J44" s="20">
        <v>44985</v>
      </c>
      <c r="K44" s="20">
        <v>46810</v>
      </c>
      <c r="L44" s="20"/>
      <c r="M44" s="34"/>
      <c r="N44" s="97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2" t="s">
        <v>1173</v>
      </c>
      <c r="AA44" s="101">
        <v>6500000</v>
      </c>
      <c r="AB44" s="101"/>
      <c r="AC44" s="101"/>
      <c r="AD44" s="95">
        <v>11400000</v>
      </c>
      <c r="AE44" s="101">
        <v>0</v>
      </c>
      <c r="AF44" s="154">
        <v>0</v>
      </c>
      <c r="AG44" s="87" t="s">
        <v>17</v>
      </c>
      <c r="AH44" s="111" t="s">
        <v>77</v>
      </c>
      <c r="AI44" s="118"/>
      <c r="AJ44" s="119" t="s">
        <v>543</v>
      </c>
      <c r="AK44" s="117" t="s">
        <v>544</v>
      </c>
      <c r="AL44" s="110" t="s">
        <v>194</v>
      </c>
      <c r="AM44" s="2" t="s">
        <v>545</v>
      </c>
      <c r="AN44" s="2">
        <v>14</v>
      </c>
      <c r="AO44" s="2">
        <v>9</v>
      </c>
      <c r="AP44" s="48"/>
      <c r="AQ44" t="s">
        <v>765</v>
      </c>
      <c r="AR44" s="120"/>
    </row>
    <row r="45" spans="1:44" s="121" customFormat="1" ht="24" x14ac:dyDescent="0.3">
      <c r="A45" s="4">
        <v>42</v>
      </c>
      <c r="B45" s="2" t="s">
        <v>550</v>
      </c>
      <c r="C45" s="2" t="s">
        <v>229</v>
      </c>
      <c r="D45" s="2">
        <v>106.58574299999999</v>
      </c>
      <c r="E45" s="2">
        <v>10.793623999999999</v>
      </c>
      <c r="F45" s="2" t="s">
        <v>551</v>
      </c>
      <c r="G45" s="34" t="s">
        <v>353</v>
      </c>
      <c r="H45" s="27" t="s">
        <v>892</v>
      </c>
      <c r="I45" s="25" t="s">
        <v>892</v>
      </c>
      <c r="J45" s="20">
        <v>45001</v>
      </c>
      <c r="K45" s="20">
        <v>46827</v>
      </c>
      <c r="L45" s="20"/>
      <c r="M45" s="34"/>
      <c r="N45" s="97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2" t="s">
        <v>1174</v>
      </c>
      <c r="AA45" s="101">
        <v>6000000</v>
      </c>
      <c r="AB45" s="101"/>
      <c r="AC45" s="101"/>
      <c r="AD45" s="95">
        <v>11000000</v>
      </c>
      <c r="AE45" s="101">
        <v>0</v>
      </c>
      <c r="AF45" s="154">
        <v>0</v>
      </c>
      <c r="AG45" s="87"/>
      <c r="AH45" s="111" t="s">
        <v>77</v>
      </c>
      <c r="AI45" s="118"/>
      <c r="AJ45" s="119" t="s">
        <v>552</v>
      </c>
      <c r="AK45" s="117" t="s">
        <v>553</v>
      </c>
      <c r="AL45" s="110" t="s">
        <v>170</v>
      </c>
      <c r="AM45" s="2" t="s">
        <v>554</v>
      </c>
      <c r="AN45" s="2">
        <v>12.5</v>
      </c>
      <c r="AO45" s="2">
        <v>12</v>
      </c>
      <c r="AP45" s="48"/>
      <c r="AQ45" t="s">
        <v>765</v>
      </c>
      <c r="AR45" s="120"/>
    </row>
    <row r="46" spans="1:44" s="121" customFormat="1" ht="24" x14ac:dyDescent="0.3">
      <c r="A46" s="4">
        <v>43</v>
      </c>
      <c r="B46" s="153" t="s">
        <v>557</v>
      </c>
      <c r="C46" s="2" t="s">
        <v>556</v>
      </c>
      <c r="D46" s="2">
        <v>106.67829</v>
      </c>
      <c r="E46" s="2">
        <v>10.7887</v>
      </c>
      <c r="F46" s="2" t="s">
        <v>555</v>
      </c>
      <c r="G46" s="34" t="s">
        <v>354</v>
      </c>
      <c r="H46" s="27" t="s">
        <v>892</v>
      </c>
      <c r="I46" s="25" t="s">
        <v>892</v>
      </c>
      <c r="J46" s="20">
        <v>44985</v>
      </c>
      <c r="K46" s="20">
        <v>46810</v>
      </c>
      <c r="L46" s="20"/>
      <c r="M46" s="34"/>
      <c r="N46" s="97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2" t="s">
        <v>1164</v>
      </c>
      <c r="AA46" s="101">
        <v>0</v>
      </c>
      <c r="AB46" s="101"/>
      <c r="AC46" s="101"/>
      <c r="AD46" s="95">
        <v>6500000</v>
      </c>
      <c r="AE46" s="101">
        <v>0</v>
      </c>
      <c r="AF46" s="101">
        <v>0</v>
      </c>
      <c r="AG46" s="87"/>
      <c r="AH46" s="111" t="s">
        <v>77</v>
      </c>
      <c r="AI46" s="118"/>
      <c r="AJ46" s="119" t="s">
        <v>560</v>
      </c>
      <c r="AK46" s="117" t="s">
        <v>559</v>
      </c>
      <c r="AL46" s="110" t="s">
        <v>398</v>
      </c>
      <c r="AM46" s="2" t="s">
        <v>558</v>
      </c>
      <c r="AN46" s="2">
        <v>14</v>
      </c>
      <c r="AO46" s="2">
        <v>6</v>
      </c>
      <c r="AP46" s="48"/>
      <c r="AQ46" t="s">
        <v>765</v>
      </c>
      <c r="AR46" s="120"/>
    </row>
    <row r="47" spans="1:44" s="121" customFormat="1" ht="24" x14ac:dyDescent="0.3">
      <c r="A47" s="4">
        <v>44</v>
      </c>
      <c r="B47" s="153" t="s">
        <v>1136</v>
      </c>
      <c r="C47" s="2" t="s">
        <v>32</v>
      </c>
      <c r="D47" s="2">
        <v>106.71091</v>
      </c>
      <c r="E47" s="2">
        <v>10.79884</v>
      </c>
      <c r="F47" s="2" t="s">
        <v>561</v>
      </c>
      <c r="G47" s="110" t="s">
        <v>353</v>
      </c>
      <c r="H47" s="27" t="s">
        <v>892</v>
      </c>
      <c r="I47" s="25" t="s">
        <v>892</v>
      </c>
      <c r="J47" s="20" t="s">
        <v>896</v>
      </c>
      <c r="K47" s="20" t="s">
        <v>896</v>
      </c>
      <c r="L47" s="20"/>
      <c r="M47" s="110"/>
      <c r="N47" s="97">
        <v>44510</v>
      </c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2" t="s">
        <v>953</v>
      </c>
      <c r="AA47" s="101">
        <v>0</v>
      </c>
      <c r="AB47" s="101"/>
      <c r="AC47" s="101"/>
      <c r="AD47" s="95">
        <v>10700000</v>
      </c>
      <c r="AE47" s="101">
        <v>0</v>
      </c>
      <c r="AF47" s="101">
        <v>0</v>
      </c>
      <c r="AG47" s="87"/>
      <c r="AH47" s="111" t="s">
        <v>79</v>
      </c>
      <c r="AI47" s="118"/>
      <c r="AJ47" s="119" t="s">
        <v>632</v>
      </c>
      <c r="AK47" s="117" t="s">
        <v>633</v>
      </c>
      <c r="AL47" s="110" t="s">
        <v>634</v>
      </c>
      <c r="AM47" s="2" t="s">
        <v>639</v>
      </c>
      <c r="AN47" s="2"/>
      <c r="AO47" s="2"/>
      <c r="AP47" s="48"/>
      <c r="AQ47" t="s">
        <v>766</v>
      </c>
      <c r="AR47" s="120"/>
    </row>
    <row r="48" spans="1:44" s="121" customFormat="1" ht="24" x14ac:dyDescent="0.3">
      <c r="A48" s="4">
        <v>45</v>
      </c>
      <c r="B48" s="2" t="s">
        <v>568</v>
      </c>
      <c r="C48" s="2" t="s">
        <v>468</v>
      </c>
      <c r="D48" s="2">
        <v>106.627933</v>
      </c>
      <c r="E48" s="2">
        <v>10.788978999999999</v>
      </c>
      <c r="F48" s="2" t="s">
        <v>593</v>
      </c>
      <c r="G48" s="34" t="s">
        <v>354</v>
      </c>
      <c r="H48" s="27" t="s">
        <v>892</v>
      </c>
      <c r="I48" s="25" t="s">
        <v>892</v>
      </c>
      <c r="J48" s="20">
        <v>45102</v>
      </c>
      <c r="K48" s="20">
        <v>46928</v>
      </c>
      <c r="L48" s="20"/>
      <c r="M48" s="34"/>
      <c r="N48" s="97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2" t="s">
        <v>900</v>
      </c>
      <c r="AA48" s="101">
        <v>4300000</v>
      </c>
      <c r="AB48" s="101"/>
      <c r="AC48" s="101">
        <v>4500000</v>
      </c>
      <c r="AD48" s="95">
        <v>6500000</v>
      </c>
      <c r="AE48" s="101">
        <v>0</v>
      </c>
      <c r="AF48" s="154">
        <v>0</v>
      </c>
      <c r="AG48" s="87"/>
      <c r="AH48" s="111" t="s">
        <v>79</v>
      </c>
      <c r="AI48" s="118"/>
      <c r="AJ48" s="119" t="s">
        <v>594</v>
      </c>
      <c r="AK48" s="117" t="s">
        <v>596</v>
      </c>
      <c r="AL48" s="110" t="s">
        <v>595</v>
      </c>
      <c r="AM48" s="2" t="s">
        <v>597</v>
      </c>
      <c r="AN48" s="2">
        <v>15.5</v>
      </c>
      <c r="AO48" s="2">
        <v>6</v>
      </c>
      <c r="AP48" s="48"/>
      <c r="AQ48" t="s">
        <v>765</v>
      </c>
      <c r="AR48" s="120"/>
    </row>
    <row r="49" spans="1:44" s="121" customFormat="1" ht="24" x14ac:dyDescent="0.3">
      <c r="A49" s="4">
        <v>46</v>
      </c>
      <c r="B49" s="2" t="s">
        <v>569</v>
      </c>
      <c r="C49" s="2" t="s">
        <v>573</v>
      </c>
      <c r="D49" s="2">
        <v>106.7666253</v>
      </c>
      <c r="E49" s="2">
        <v>10.8351422</v>
      </c>
      <c r="F49" s="2" t="s">
        <v>574</v>
      </c>
      <c r="G49" s="34" t="s">
        <v>353</v>
      </c>
      <c r="H49" s="27" t="s">
        <v>892</v>
      </c>
      <c r="I49" s="25" t="s">
        <v>892</v>
      </c>
      <c r="J49" s="20">
        <v>45061</v>
      </c>
      <c r="K49" s="20">
        <v>46887</v>
      </c>
      <c r="L49" s="20"/>
      <c r="M49" s="34"/>
      <c r="N49" s="97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2" t="s">
        <v>1175</v>
      </c>
      <c r="AA49" s="101">
        <v>6000000</v>
      </c>
      <c r="AB49" s="101"/>
      <c r="AC49" s="101"/>
      <c r="AD49" s="95">
        <v>11200000</v>
      </c>
      <c r="AE49" s="101">
        <v>0</v>
      </c>
      <c r="AF49" s="154">
        <v>0</v>
      </c>
      <c r="AG49" s="87"/>
      <c r="AH49" s="111" t="s">
        <v>1156</v>
      </c>
      <c r="AI49" s="118"/>
      <c r="AJ49" s="119" t="s">
        <v>575</v>
      </c>
      <c r="AK49" s="117" t="s">
        <v>576</v>
      </c>
      <c r="AL49" s="110" t="s">
        <v>398</v>
      </c>
      <c r="AM49" s="2" t="s">
        <v>577</v>
      </c>
      <c r="AN49" s="2">
        <v>11</v>
      </c>
      <c r="AO49" s="2">
        <v>12</v>
      </c>
      <c r="AP49" s="48"/>
      <c r="AQ49" t="s">
        <v>765</v>
      </c>
      <c r="AR49" s="120"/>
    </row>
    <row r="50" spans="1:44" s="121" customFormat="1" ht="24" x14ac:dyDescent="0.3">
      <c r="A50" s="4">
        <v>47</v>
      </c>
      <c r="B50" s="2" t="s">
        <v>570</v>
      </c>
      <c r="C50" s="2" t="s">
        <v>579</v>
      </c>
      <c r="D50" s="2">
        <v>106.663482</v>
      </c>
      <c r="E50" s="2">
        <v>10.76826</v>
      </c>
      <c r="F50" s="2" t="s">
        <v>578</v>
      </c>
      <c r="G50" s="34" t="s">
        <v>354</v>
      </c>
      <c r="H50" s="27" t="s">
        <v>892</v>
      </c>
      <c r="I50" s="25" t="s">
        <v>892</v>
      </c>
      <c r="J50" s="20">
        <v>45078</v>
      </c>
      <c r="K50" s="20">
        <v>46904</v>
      </c>
      <c r="L50" s="20"/>
      <c r="M50" s="34"/>
      <c r="N50" s="97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2" t="s">
        <v>1176</v>
      </c>
      <c r="AA50" s="101">
        <v>4000000</v>
      </c>
      <c r="AB50" s="101"/>
      <c r="AC50" s="101">
        <v>5000000</v>
      </c>
      <c r="AD50" s="95">
        <v>7000000</v>
      </c>
      <c r="AE50" s="101">
        <v>0</v>
      </c>
      <c r="AF50" s="154">
        <v>0</v>
      </c>
      <c r="AG50" s="87"/>
      <c r="AH50" s="111" t="s">
        <v>79</v>
      </c>
      <c r="AI50" s="118"/>
      <c r="AJ50" s="119" t="s">
        <v>580</v>
      </c>
      <c r="AK50" s="117" t="s">
        <v>581</v>
      </c>
      <c r="AL50" s="117" t="s">
        <v>170</v>
      </c>
      <c r="AM50" s="2" t="s">
        <v>582</v>
      </c>
      <c r="AN50" s="2">
        <v>17</v>
      </c>
      <c r="AO50" s="2">
        <v>6</v>
      </c>
      <c r="AP50" s="48"/>
      <c r="AQ50" t="s">
        <v>765</v>
      </c>
      <c r="AR50" s="120"/>
    </row>
    <row r="51" spans="1:44" s="121" customFormat="1" ht="28.8" x14ac:dyDescent="0.3">
      <c r="A51" s="4">
        <v>48</v>
      </c>
      <c r="B51" s="2" t="s">
        <v>571</v>
      </c>
      <c r="C51" s="2" t="s">
        <v>579</v>
      </c>
      <c r="D51" s="2">
        <v>106.66824699999999</v>
      </c>
      <c r="E51" s="2">
        <v>10.784117</v>
      </c>
      <c r="F51" s="2" t="s">
        <v>583</v>
      </c>
      <c r="G51" s="34" t="s">
        <v>354</v>
      </c>
      <c r="H51" s="27" t="s">
        <v>892</v>
      </c>
      <c r="I51" s="34" t="s">
        <v>1288</v>
      </c>
      <c r="J51" s="20">
        <v>45078</v>
      </c>
      <c r="K51" s="20">
        <v>46904</v>
      </c>
      <c r="L51" s="20">
        <v>48056</v>
      </c>
      <c r="M51" s="34"/>
      <c r="N51" s="97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2" t="s">
        <v>901</v>
      </c>
      <c r="AA51" s="101">
        <v>4000000</v>
      </c>
      <c r="AB51" s="101">
        <v>8000000</v>
      </c>
      <c r="AC51" s="101">
        <v>5000000</v>
      </c>
      <c r="AD51" s="95">
        <v>7000000</v>
      </c>
      <c r="AE51" s="254">
        <v>8500000</v>
      </c>
      <c r="AF51" s="154">
        <v>0</v>
      </c>
      <c r="AG51" s="87"/>
      <c r="AH51" s="111" t="s">
        <v>79</v>
      </c>
      <c r="AI51" s="118"/>
      <c r="AJ51" s="295" t="s">
        <v>1297</v>
      </c>
      <c r="AK51" s="117" t="s">
        <v>584</v>
      </c>
      <c r="AL51" s="110" t="s">
        <v>1298</v>
      </c>
      <c r="AM51" s="2" t="s">
        <v>586</v>
      </c>
      <c r="AN51" s="2">
        <v>14.5</v>
      </c>
      <c r="AO51" s="2">
        <v>6</v>
      </c>
      <c r="AP51" s="48"/>
      <c r="AQ51" t="s">
        <v>765</v>
      </c>
      <c r="AR51" s="120"/>
    </row>
    <row r="52" spans="1:44" s="121" customFormat="1" ht="24" x14ac:dyDescent="0.3">
      <c r="A52" s="4">
        <v>49</v>
      </c>
      <c r="B52" s="2" t="s">
        <v>572</v>
      </c>
      <c r="C52" s="2" t="s">
        <v>468</v>
      </c>
      <c r="D52" s="2">
        <v>106.636156</v>
      </c>
      <c r="E52" s="2">
        <v>10.783979</v>
      </c>
      <c r="F52" s="2" t="s">
        <v>587</v>
      </c>
      <c r="G52" s="34" t="s">
        <v>353</v>
      </c>
      <c r="H52" s="27" t="s">
        <v>892</v>
      </c>
      <c r="I52" s="25" t="s">
        <v>892</v>
      </c>
      <c r="J52" s="20">
        <v>45073</v>
      </c>
      <c r="K52" s="20">
        <v>46899</v>
      </c>
      <c r="L52" s="20"/>
      <c r="M52" s="34"/>
      <c r="N52" s="97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2" t="s">
        <v>1177</v>
      </c>
      <c r="AA52" s="101">
        <v>6500000</v>
      </c>
      <c r="AB52" s="101"/>
      <c r="AC52" s="101"/>
      <c r="AD52" s="95">
        <v>10100000</v>
      </c>
      <c r="AE52" s="101">
        <v>0</v>
      </c>
      <c r="AF52" s="154">
        <v>0</v>
      </c>
      <c r="AG52" s="87"/>
      <c r="AH52" s="111" t="s">
        <v>79</v>
      </c>
      <c r="AI52" s="118"/>
      <c r="AJ52" s="119" t="s">
        <v>589</v>
      </c>
      <c r="AK52" s="117" t="s">
        <v>588</v>
      </c>
      <c r="AL52" s="110" t="s">
        <v>590</v>
      </c>
      <c r="AM52" s="2" t="s">
        <v>591</v>
      </c>
      <c r="AN52" s="2">
        <v>24</v>
      </c>
      <c r="AO52" s="2">
        <v>6</v>
      </c>
      <c r="AP52" s="48"/>
      <c r="AQ52" t="s">
        <v>765</v>
      </c>
      <c r="AR52" s="120"/>
    </row>
    <row r="53" spans="1:44" s="121" customFormat="1" ht="24" x14ac:dyDescent="0.3">
      <c r="A53" s="4">
        <v>50</v>
      </c>
      <c r="B53" s="2" t="s">
        <v>613</v>
      </c>
      <c r="C53" s="2" t="s">
        <v>573</v>
      </c>
      <c r="D53" s="2">
        <v>106.732218</v>
      </c>
      <c r="E53" s="2">
        <v>10.863514</v>
      </c>
      <c r="F53" s="2" t="s">
        <v>614</v>
      </c>
      <c r="G53" s="34" t="s">
        <v>353</v>
      </c>
      <c r="H53" s="27" t="s">
        <v>892</v>
      </c>
      <c r="I53" s="25" t="s">
        <v>892</v>
      </c>
      <c r="J53" s="20">
        <v>45232</v>
      </c>
      <c r="K53" s="20">
        <v>47058</v>
      </c>
      <c r="L53" s="20"/>
      <c r="M53" s="34"/>
      <c r="N53" s="97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2" t="s">
        <v>1178</v>
      </c>
      <c r="AA53" s="101">
        <v>6000000</v>
      </c>
      <c r="AB53" s="101"/>
      <c r="AC53" s="101">
        <v>7000000</v>
      </c>
      <c r="AD53" s="95">
        <v>10200000</v>
      </c>
      <c r="AE53" s="101">
        <v>0</v>
      </c>
      <c r="AF53" s="154">
        <v>0</v>
      </c>
      <c r="AG53" s="87"/>
      <c r="AH53" s="111" t="s">
        <v>79</v>
      </c>
      <c r="AI53" s="118"/>
      <c r="AJ53" s="119" t="s">
        <v>616</v>
      </c>
      <c r="AK53" s="117" t="s">
        <v>615</v>
      </c>
      <c r="AL53" s="110" t="s">
        <v>585</v>
      </c>
      <c r="AM53" s="2" t="s">
        <v>617</v>
      </c>
      <c r="AN53" s="2">
        <v>16</v>
      </c>
      <c r="AO53" s="2">
        <v>9</v>
      </c>
      <c r="AP53" s="48"/>
      <c r="AQ53" t="s">
        <v>765</v>
      </c>
      <c r="AR53" s="120"/>
    </row>
    <row r="54" spans="1:44" s="121" customFormat="1" ht="24" x14ac:dyDescent="0.3">
      <c r="A54" s="4">
        <v>51</v>
      </c>
      <c r="B54" s="2" t="s">
        <v>618</v>
      </c>
      <c r="C54" s="2" t="s">
        <v>573</v>
      </c>
      <c r="D54" s="2">
        <v>106.755152</v>
      </c>
      <c r="E54" s="2">
        <v>10.838282</v>
      </c>
      <c r="F54" s="2" t="s">
        <v>619</v>
      </c>
      <c r="G54" s="34" t="s">
        <v>353</v>
      </c>
      <c r="H54" s="27" t="s">
        <v>892</v>
      </c>
      <c r="I54" s="25" t="s">
        <v>892</v>
      </c>
      <c r="J54" s="20">
        <v>45216</v>
      </c>
      <c r="K54" s="20">
        <v>47042</v>
      </c>
      <c r="L54" s="20"/>
      <c r="M54" s="34"/>
      <c r="N54" s="97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2" t="s">
        <v>1179</v>
      </c>
      <c r="AA54" s="101">
        <v>6000000</v>
      </c>
      <c r="AB54" s="101"/>
      <c r="AC54" s="101">
        <v>7000000</v>
      </c>
      <c r="AD54" s="95">
        <v>11300000</v>
      </c>
      <c r="AE54" s="101">
        <v>0</v>
      </c>
      <c r="AF54" s="154">
        <v>0</v>
      </c>
      <c r="AG54" s="87"/>
      <c r="AH54" s="111" t="s">
        <v>79</v>
      </c>
      <c r="AI54" s="118"/>
      <c r="AJ54" s="119" t="s">
        <v>621</v>
      </c>
      <c r="AK54" s="117" t="s">
        <v>620</v>
      </c>
      <c r="AL54" s="110" t="s">
        <v>622</v>
      </c>
      <c r="AM54" s="2" t="s">
        <v>623</v>
      </c>
      <c r="AN54" s="2">
        <v>15</v>
      </c>
      <c r="AO54" s="2">
        <v>12</v>
      </c>
      <c r="AP54" s="48"/>
      <c r="AQ54" t="s">
        <v>765</v>
      </c>
      <c r="AR54" s="120"/>
    </row>
    <row r="55" spans="1:44" s="121" customFormat="1" ht="36" x14ac:dyDescent="0.3">
      <c r="A55" s="4">
        <v>52</v>
      </c>
      <c r="B55" s="2" t="s">
        <v>607</v>
      </c>
      <c r="C55" s="2" t="s">
        <v>573</v>
      </c>
      <c r="D55" s="2">
        <v>106.832753</v>
      </c>
      <c r="E55" s="2">
        <v>10.887543000000001</v>
      </c>
      <c r="F55" s="2" t="s">
        <v>624</v>
      </c>
      <c r="G55" s="34" t="s">
        <v>353</v>
      </c>
      <c r="H55" s="27" t="s">
        <v>892</v>
      </c>
      <c r="I55" s="25" t="s">
        <v>892</v>
      </c>
      <c r="J55" s="20">
        <v>45164</v>
      </c>
      <c r="K55" s="20">
        <v>46990</v>
      </c>
      <c r="L55" s="20"/>
      <c r="M55" s="34"/>
      <c r="N55" s="97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2" t="s">
        <v>1180</v>
      </c>
      <c r="AA55" s="101">
        <v>6000000</v>
      </c>
      <c r="AB55" s="101"/>
      <c r="AC55" s="101"/>
      <c r="AD55" s="95">
        <v>12000000</v>
      </c>
      <c r="AE55" s="101">
        <v>0</v>
      </c>
      <c r="AF55" s="154">
        <v>0</v>
      </c>
      <c r="AG55" s="87"/>
      <c r="AH55" s="111" t="s">
        <v>79</v>
      </c>
      <c r="AI55" s="118"/>
      <c r="AJ55" s="119" t="s">
        <v>625</v>
      </c>
      <c r="AK55" s="117" t="s">
        <v>626</v>
      </c>
      <c r="AL55" s="110" t="s">
        <v>627</v>
      </c>
      <c r="AM55" s="2" t="s">
        <v>628</v>
      </c>
      <c r="AN55" s="2">
        <v>17</v>
      </c>
      <c r="AO55" s="2">
        <v>9</v>
      </c>
      <c r="AP55" s="48"/>
      <c r="AQ55" t="s">
        <v>765</v>
      </c>
      <c r="AR55" s="120"/>
    </row>
    <row r="56" spans="1:44" s="121" customFormat="1" ht="24" x14ac:dyDescent="0.3">
      <c r="A56" s="4">
        <v>53</v>
      </c>
      <c r="B56" s="2" t="s">
        <v>635</v>
      </c>
      <c r="C56" s="2" t="s">
        <v>556</v>
      </c>
      <c r="D56" s="2">
        <v>106.67816500000001</v>
      </c>
      <c r="E56" s="2">
        <v>10.767367</v>
      </c>
      <c r="F56" s="2" t="s">
        <v>637</v>
      </c>
      <c r="G56" s="34" t="s">
        <v>354</v>
      </c>
      <c r="H56" s="27" t="s">
        <v>892</v>
      </c>
      <c r="I56" s="25" t="s">
        <v>892</v>
      </c>
      <c r="J56" s="20">
        <v>45225</v>
      </c>
      <c r="K56" s="20">
        <v>47051</v>
      </c>
      <c r="L56" s="20"/>
      <c r="M56" s="34"/>
      <c r="N56" s="97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2" t="s">
        <v>1181</v>
      </c>
      <c r="AA56" s="101">
        <v>4000000</v>
      </c>
      <c r="AB56" s="101"/>
      <c r="AC56" s="101"/>
      <c r="AD56" s="95">
        <v>6600000</v>
      </c>
      <c r="AE56" s="101">
        <v>0</v>
      </c>
      <c r="AF56" s="154">
        <v>0</v>
      </c>
      <c r="AG56" s="87"/>
      <c r="AH56" s="111" t="s">
        <v>79</v>
      </c>
      <c r="AI56" s="118"/>
      <c r="AJ56" s="119" t="s">
        <v>649</v>
      </c>
      <c r="AK56" s="117" t="s">
        <v>648</v>
      </c>
      <c r="AL56" s="110" t="s">
        <v>153</v>
      </c>
      <c r="AM56" s="2" t="s">
        <v>650</v>
      </c>
      <c r="AN56" s="2">
        <v>24</v>
      </c>
      <c r="AO56" s="2">
        <v>6</v>
      </c>
      <c r="AP56" s="48"/>
      <c r="AQ56" t="s">
        <v>765</v>
      </c>
      <c r="AR56" s="120"/>
    </row>
    <row r="57" spans="1:44" s="121" customFormat="1" ht="24" x14ac:dyDescent="0.3">
      <c r="A57" s="4">
        <v>54</v>
      </c>
      <c r="B57" s="2" t="s">
        <v>636</v>
      </c>
      <c r="C57" s="2" t="s">
        <v>579</v>
      </c>
      <c r="D57" s="2">
        <v>106.662549</v>
      </c>
      <c r="E57" s="2">
        <v>10.771064000000001</v>
      </c>
      <c r="F57" s="2" t="s">
        <v>638</v>
      </c>
      <c r="G57" s="34" t="s">
        <v>354</v>
      </c>
      <c r="H57" s="27" t="s">
        <v>892</v>
      </c>
      <c r="I57" s="25" t="s">
        <v>892</v>
      </c>
      <c r="J57" s="20">
        <v>45231</v>
      </c>
      <c r="K57" s="20">
        <v>47057</v>
      </c>
      <c r="L57" s="20"/>
      <c r="M57" s="34"/>
      <c r="N57" s="97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2" t="s">
        <v>1182</v>
      </c>
      <c r="AA57" s="101">
        <v>4500000</v>
      </c>
      <c r="AB57" s="101"/>
      <c r="AC57" s="101"/>
      <c r="AD57" s="95">
        <v>6700000</v>
      </c>
      <c r="AE57" s="101">
        <v>0</v>
      </c>
      <c r="AF57" s="154">
        <v>0</v>
      </c>
      <c r="AG57" s="87"/>
      <c r="AH57" s="111" t="s">
        <v>79</v>
      </c>
      <c r="AI57" s="118"/>
      <c r="AJ57" s="119" t="s">
        <v>652</v>
      </c>
      <c r="AK57" s="117" t="s">
        <v>653</v>
      </c>
      <c r="AL57" s="110" t="s">
        <v>585</v>
      </c>
      <c r="AM57" s="2" t="s">
        <v>651</v>
      </c>
      <c r="AN57" s="2">
        <v>24</v>
      </c>
      <c r="AO57" s="2">
        <v>6</v>
      </c>
      <c r="AP57" s="48"/>
      <c r="AQ57" t="s">
        <v>765</v>
      </c>
      <c r="AR57" s="120"/>
    </row>
    <row r="58" spans="1:44" s="121" customFormat="1" ht="24" x14ac:dyDescent="0.3">
      <c r="A58" s="4">
        <v>55</v>
      </c>
      <c r="B58" s="2" t="s">
        <v>667</v>
      </c>
      <c r="C58" s="2" t="s">
        <v>66</v>
      </c>
      <c r="D58" s="2">
        <v>106.68352400000001</v>
      </c>
      <c r="E58" s="2">
        <v>10.845613</v>
      </c>
      <c r="F58" s="2" t="s">
        <v>672</v>
      </c>
      <c r="G58" s="34" t="s">
        <v>354</v>
      </c>
      <c r="H58" s="27" t="s">
        <v>892</v>
      </c>
      <c r="I58" s="25" t="s">
        <v>892</v>
      </c>
      <c r="J58" s="20">
        <v>45295</v>
      </c>
      <c r="K58" s="20">
        <v>47121</v>
      </c>
      <c r="L58" s="20"/>
      <c r="M58" s="34"/>
      <c r="N58" s="97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2" t="s">
        <v>1183</v>
      </c>
      <c r="AA58" s="101">
        <v>4000000</v>
      </c>
      <c r="AB58" s="101"/>
      <c r="AC58" s="101">
        <v>4600000</v>
      </c>
      <c r="AD58" s="95">
        <v>6500000</v>
      </c>
      <c r="AE58" s="101">
        <v>0</v>
      </c>
      <c r="AF58" s="154">
        <v>0</v>
      </c>
      <c r="AG58" s="87"/>
      <c r="AH58" s="111" t="s">
        <v>79</v>
      </c>
      <c r="AI58" s="118"/>
      <c r="AJ58" s="119" t="s">
        <v>677</v>
      </c>
      <c r="AK58" s="117" t="s">
        <v>678</v>
      </c>
      <c r="AL58" s="110" t="s">
        <v>398</v>
      </c>
      <c r="AM58" s="2" t="s">
        <v>679</v>
      </c>
      <c r="AN58" s="2">
        <v>15.5</v>
      </c>
      <c r="AO58" s="2">
        <v>6</v>
      </c>
      <c r="AP58" s="48"/>
      <c r="AQ58" t="s">
        <v>767</v>
      </c>
      <c r="AR58" s="120"/>
    </row>
    <row r="59" spans="1:44" s="121" customFormat="1" ht="24" x14ac:dyDescent="0.3">
      <c r="A59" s="4">
        <v>56</v>
      </c>
      <c r="B59" s="2" t="s">
        <v>668</v>
      </c>
      <c r="C59" s="2" t="s">
        <v>32</v>
      </c>
      <c r="D59" s="2">
        <v>106.68946819999999</v>
      </c>
      <c r="E59" s="2">
        <v>10.8050829</v>
      </c>
      <c r="F59" s="2" t="s">
        <v>673</v>
      </c>
      <c r="G59" s="34" t="s">
        <v>354</v>
      </c>
      <c r="H59" s="27" t="s">
        <v>892</v>
      </c>
      <c r="I59" s="25" t="s">
        <v>892</v>
      </c>
      <c r="J59" s="20">
        <v>45309</v>
      </c>
      <c r="K59" s="20">
        <v>47135</v>
      </c>
      <c r="L59" s="20"/>
      <c r="M59" s="34"/>
      <c r="N59" s="97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2" t="s">
        <v>1184</v>
      </c>
      <c r="AA59" s="101">
        <v>4000000</v>
      </c>
      <c r="AB59" s="101"/>
      <c r="AC59" s="101"/>
      <c r="AD59" s="95">
        <v>6700000</v>
      </c>
      <c r="AE59" s="101">
        <v>0</v>
      </c>
      <c r="AF59" s="154">
        <v>0</v>
      </c>
      <c r="AG59" s="87"/>
      <c r="AH59" s="111" t="s">
        <v>79</v>
      </c>
      <c r="AI59" s="118"/>
      <c r="AJ59" s="119" t="s">
        <v>681</v>
      </c>
      <c r="AK59" s="117" t="s">
        <v>682</v>
      </c>
      <c r="AL59" s="110" t="s">
        <v>408</v>
      </c>
      <c r="AM59" s="2" t="s">
        <v>680</v>
      </c>
      <c r="AN59" s="2">
        <v>15</v>
      </c>
      <c r="AO59" s="2">
        <v>6</v>
      </c>
      <c r="AP59" s="48"/>
      <c r="AQ59" t="s">
        <v>767</v>
      </c>
      <c r="AR59" s="120"/>
    </row>
    <row r="60" spans="1:44" s="121" customFormat="1" ht="24" x14ac:dyDescent="0.3">
      <c r="A60" s="4">
        <v>57</v>
      </c>
      <c r="B60" s="2" t="s">
        <v>669</v>
      </c>
      <c r="C60" s="2" t="s">
        <v>579</v>
      </c>
      <c r="D60" s="2">
        <v>106.67948699999999</v>
      </c>
      <c r="E60" s="2">
        <v>10.778354</v>
      </c>
      <c r="F60" s="2" t="s">
        <v>674</v>
      </c>
      <c r="G60" s="34" t="s">
        <v>354</v>
      </c>
      <c r="H60" s="27" t="s">
        <v>892</v>
      </c>
      <c r="I60" s="25" t="s">
        <v>892</v>
      </c>
      <c r="J60" s="20">
        <v>45310</v>
      </c>
      <c r="K60" s="20">
        <v>47136</v>
      </c>
      <c r="L60" s="20"/>
      <c r="M60" s="34"/>
      <c r="N60" s="97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2" t="s">
        <v>1185</v>
      </c>
      <c r="AA60" s="101">
        <v>4000000</v>
      </c>
      <c r="AB60" s="101"/>
      <c r="AC60" s="101"/>
      <c r="AD60" s="95">
        <v>6700000</v>
      </c>
      <c r="AE60" s="101">
        <v>0</v>
      </c>
      <c r="AF60" s="154">
        <v>0</v>
      </c>
      <c r="AG60" s="87"/>
      <c r="AH60" s="111" t="s">
        <v>79</v>
      </c>
      <c r="AI60" s="118"/>
      <c r="AJ60" s="119" t="s">
        <v>684</v>
      </c>
      <c r="AK60" s="117" t="s">
        <v>685</v>
      </c>
      <c r="AL60" s="110" t="s">
        <v>686</v>
      </c>
      <c r="AM60" s="2" t="s">
        <v>683</v>
      </c>
      <c r="AN60" s="2">
        <v>17.5</v>
      </c>
      <c r="AO60" s="2">
        <v>6</v>
      </c>
      <c r="AP60" s="48"/>
      <c r="AQ60" t="s">
        <v>767</v>
      </c>
      <c r="AR60" s="120"/>
    </row>
    <row r="61" spans="1:44" s="121" customFormat="1" ht="24" x14ac:dyDescent="0.3">
      <c r="A61" s="4">
        <v>58</v>
      </c>
      <c r="B61" s="2" t="s">
        <v>670</v>
      </c>
      <c r="C61" s="2" t="s">
        <v>156</v>
      </c>
      <c r="D61" s="2">
        <v>106.64586</v>
      </c>
      <c r="E61" s="2">
        <v>10.80012</v>
      </c>
      <c r="F61" s="2" t="s">
        <v>675</v>
      </c>
      <c r="G61" s="34" t="s">
        <v>354</v>
      </c>
      <c r="H61" s="27" t="s">
        <v>892</v>
      </c>
      <c r="I61" s="25" t="s">
        <v>892</v>
      </c>
      <c r="J61" s="20">
        <v>45345</v>
      </c>
      <c r="K61" s="20">
        <v>47171</v>
      </c>
      <c r="L61" s="20"/>
      <c r="M61" s="34"/>
      <c r="N61" s="97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2" t="s">
        <v>1186</v>
      </c>
      <c r="AA61" s="101">
        <v>4000000</v>
      </c>
      <c r="AB61" s="101"/>
      <c r="AC61" s="101"/>
      <c r="AD61" s="95">
        <v>6700000</v>
      </c>
      <c r="AE61" s="101">
        <v>0</v>
      </c>
      <c r="AF61" s="154">
        <v>0</v>
      </c>
      <c r="AG61" s="87"/>
      <c r="AH61" s="111" t="s">
        <v>79</v>
      </c>
      <c r="AI61" s="118"/>
      <c r="AJ61" s="119" t="s">
        <v>693</v>
      </c>
      <c r="AK61" s="117" t="s">
        <v>692</v>
      </c>
      <c r="AL61" s="110" t="s">
        <v>408</v>
      </c>
      <c r="AM61" s="2" t="s">
        <v>691</v>
      </c>
      <c r="AN61" s="2"/>
      <c r="AO61" s="2"/>
      <c r="AP61" s="48"/>
      <c r="AQ61" t="s">
        <v>767</v>
      </c>
      <c r="AR61" s="120"/>
    </row>
    <row r="62" spans="1:44" s="121" customFormat="1" ht="24" x14ac:dyDescent="0.3">
      <c r="A62" s="4">
        <v>59</v>
      </c>
      <c r="B62" s="2" t="s">
        <v>671</v>
      </c>
      <c r="C62" s="2" t="s">
        <v>156</v>
      </c>
      <c r="D62" s="2">
        <v>106.64458</v>
      </c>
      <c r="E62" s="2">
        <v>10.80631</v>
      </c>
      <c r="F62" s="2" t="s">
        <v>676</v>
      </c>
      <c r="G62" s="34" t="s">
        <v>354</v>
      </c>
      <c r="H62" s="27" t="s">
        <v>892</v>
      </c>
      <c r="I62" s="25" t="s">
        <v>892</v>
      </c>
      <c r="J62" s="20">
        <v>45352</v>
      </c>
      <c r="K62" s="20">
        <v>47177</v>
      </c>
      <c r="L62" s="20"/>
      <c r="M62" s="34"/>
      <c r="N62" s="97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2" t="s">
        <v>902</v>
      </c>
      <c r="AA62" s="101">
        <v>4000000</v>
      </c>
      <c r="AB62" s="101"/>
      <c r="AC62" s="101"/>
      <c r="AD62" s="95">
        <v>6600000</v>
      </c>
      <c r="AE62" s="101">
        <v>0</v>
      </c>
      <c r="AF62" s="154">
        <v>0</v>
      </c>
      <c r="AG62" s="87"/>
      <c r="AH62" s="111" t="s">
        <v>79</v>
      </c>
      <c r="AI62" s="118"/>
      <c r="AJ62" s="119" t="s">
        <v>688</v>
      </c>
      <c r="AK62" s="117" t="s">
        <v>689</v>
      </c>
      <c r="AL62" s="110" t="s">
        <v>690</v>
      </c>
      <c r="AM62" s="2" t="s">
        <v>687</v>
      </c>
      <c r="AN62" s="2"/>
      <c r="AO62" s="2"/>
      <c r="AP62" s="48"/>
      <c r="AQ62" t="s">
        <v>767</v>
      </c>
      <c r="AR62" s="120"/>
    </row>
    <row r="63" spans="1:44" s="121" customFormat="1" ht="24" x14ac:dyDescent="0.3">
      <c r="A63" s="4">
        <v>60</v>
      </c>
      <c r="B63" s="2" t="s">
        <v>701</v>
      </c>
      <c r="C63" s="2" t="s">
        <v>288</v>
      </c>
      <c r="D63" s="2">
        <v>106.6938191</v>
      </c>
      <c r="E63" s="2">
        <v>10.8678408</v>
      </c>
      <c r="F63" s="2" t="s">
        <v>702</v>
      </c>
      <c r="G63" s="34" t="s">
        <v>353</v>
      </c>
      <c r="H63" s="27" t="s">
        <v>892</v>
      </c>
      <c r="I63" s="25" t="s">
        <v>892</v>
      </c>
      <c r="J63" s="20">
        <v>45392</v>
      </c>
      <c r="K63" s="20">
        <v>47217</v>
      </c>
      <c r="L63" s="20"/>
      <c r="M63" s="34"/>
      <c r="N63" s="97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2" t="s">
        <v>903</v>
      </c>
      <c r="AA63" s="101">
        <v>5500000</v>
      </c>
      <c r="AB63" s="101"/>
      <c r="AC63" s="101"/>
      <c r="AD63" s="95">
        <v>11300000</v>
      </c>
      <c r="AE63" s="101">
        <v>0</v>
      </c>
      <c r="AF63" s="154">
        <v>0</v>
      </c>
      <c r="AG63" s="87" t="s">
        <v>718</v>
      </c>
      <c r="AH63" s="111" t="s">
        <v>79</v>
      </c>
      <c r="AI63" s="118"/>
      <c r="AJ63" s="119" t="s">
        <v>720</v>
      </c>
      <c r="AK63" s="117" t="s">
        <v>719</v>
      </c>
      <c r="AL63" s="110" t="s">
        <v>153</v>
      </c>
      <c r="AM63" s="2" t="s">
        <v>703</v>
      </c>
      <c r="AN63" s="2">
        <v>12.5</v>
      </c>
      <c r="AO63" s="2">
        <v>9</v>
      </c>
      <c r="AP63" s="48"/>
      <c r="AQ63" t="s">
        <v>767</v>
      </c>
      <c r="AR63" s="120"/>
    </row>
    <row r="64" spans="1:44" s="121" customFormat="1" ht="24" x14ac:dyDescent="0.3">
      <c r="A64" s="4">
        <v>61</v>
      </c>
      <c r="B64" s="2" t="s">
        <v>704</v>
      </c>
      <c r="C64" s="2" t="s">
        <v>288</v>
      </c>
      <c r="D64" s="2">
        <v>106.643762</v>
      </c>
      <c r="E64" s="2">
        <v>10.889957000000001</v>
      </c>
      <c r="F64" s="2" t="s">
        <v>705</v>
      </c>
      <c r="G64" s="34" t="s">
        <v>353</v>
      </c>
      <c r="H64" s="27" t="s">
        <v>892</v>
      </c>
      <c r="I64" s="34" t="s">
        <v>1231</v>
      </c>
      <c r="J64" s="20">
        <v>45402</v>
      </c>
      <c r="K64" s="20">
        <v>47227</v>
      </c>
      <c r="L64" s="20"/>
      <c r="M64" s="34"/>
      <c r="N64" s="97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2" t="s">
        <v>904</v>
      </c>
      <c r="AA64" s="101">
        <v>5000000</v>
      </c>
      <c r="AB64" s="101"/>
      <c r="AC64" s="101"/>
      <c r="AD64" s="95">
        <v>9800000</v>
      </c>
      <c r="AE64" s="101">
        <v>8000000</v>
      </c>
      <c r="AF64" s="154">
        <v>0</v>
      </c>
      <c r="AG64" s="87" t="s">
        <v>717</v>
      </c>
      <c r="AH64" s="111" t="s">
        <v>79</v>
      </c>
      <c r="AI64" s="118"/>
      <c r="AJ64" s="119" t="s">
        <v>716</v>
      </c>
      <c r="AK64" s="117" t="s">
        <v>715</v>
      </c>
      <c r="AL64" s="110" t="s">
        <v>408</v>
      </c>
      <c r="AM64" s="2" t="s">
        <v>706</v>
      </c>
      <c r="AN64" s="2">
        <v>13.5</v>
      </c>
      <c r="AO64" s="2">
        <v>12</v>
      </c>
      <c r="AP64" s="48"/>
      <c r="AQ64" t="s">
        <v>767</v>
      </c>
      <c r="AR64" s="120"/>
    </row>
    <row r="65" spans="1:44" s="121" customFormat="1" ht="36" x14ac:dyDescent="0.3">
      <c r="A65" s="4">
        <v>62</v>
      </c>
      <c r="B65" s="2" t="s">
        <v>707</v>
      </c>
      <c r="C65" s="2" t="s">
        <v>32</v>
      </c>
      <c r="D65" s="2">
        <v>106.722944</v>
      </c>
      <c r="E65" s="2">
        <v>10.80025</v>
      </c>
      <c r="F65" s="2" t="s">
        <v>708</v>
      </c>
      <c r="G65" s="34" t="s">
        <v>353</v>
      </c>
      <c r="H65" s="27" t="s">
        <v>892</v>
      </c>
      <c r="I65" s="25" t="s">
        <v>892</v>
      </c>
      <c r="J65" s="20">
        <v>45422</v>
      </c>
      <c r="K65" s="20">
        <v>47247</v>
      </c>
      <c r="L65" s="20"/>
      <c r="M65" s="34"/>
      <c r="N65" s="97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2" t="s">
        <v>1187</v>
      </c>
      <c r="AA65" s="101">
        <v>7500000</v>
      </c>
      <c r="AB65" s="101"/>
      <c r="AC65" s="101"/>
      <c r="AD65" s="95">
        <v>13300000</v>
      </c>
      <c r="AE65" s="101">
        <v>0</v>
      </c>
      <c r="AF65" s="154">
        <v>0</v>
      </c>
      <c r="AG65" s="87" t="s">
        <v>738</v>
      </c>
      <c r="AH65" s="111" t="s">
        <v>79</v>
      </c>
      <c r="AI65" s="118"/>
      <c r="AJ65" s="148" t="s">
        <v>728</v>
      </c>
      <c r="AK65" s="149" t="s">
        <v>727</v>
      </c>
      <c r="AL65" s="36" t="s">
        <v>802</v>
      </c>
      <c r="AM65" s="8" t="s">
        <v>709</v>
      </c>
      <c r="AN65" s="8">
        <v>25</v>
      </c>
      <c r="AO65" s="8">
        <v>12</v>
      </c>
      <c r="AP65" s="99"/>
      <c r="AQ65" t="s">
        <v>767</v>
      </c>
      <c r="AR65" s="120"/>
    </row>
    <row r="66" spans="1:44" s="121" customFormat="1" ht="24" x14ac:dyDescent="0.3">
      <c r="A66" s="4">
        <v>63</v>
      </c>
      <c r="B66" s="2" t="s">
        <v>710</v>
      </c>
      <c r="C66" s="2" t="s">
        <v>229</v>
      </c>
      <c r="D66" s="2">
        <v>106.577326</v>
      </c>
      <c r="E66" s="2">
        <v>10.760555999999999</v>
      </c>
      <c r="F66" s="2" t="s">
        <v>711</v>
      </c>
      <c r="G66" s="34" t="s">
        <v>353</v>
      </c>
      <c r="H66" s="27" t="s">
        <v>892</v>
      </c>
      <c r="I66" s="25" t="s">
        <v>892</v>
      </c>
      <c r="J66" s="20">
        <v>45430</v>
      </c>
      <c r="K66" s="20">
        <v>47255</v>
      </c>
      <c r="L66" s="20"/>
      <c r="M66" s="34"/>
      <c r="N66" s="97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2" t="s">
        <v>905</v>
      </c>
      <c r="AA66" s="101">
        <v>5000000</v>
      </c>
      <c r="AB66" s="101"/>
      <c r="AC66" s="101"/>
      <c r="AD66" s="95">
        <v>10000000</v>
      </c>
      <c r="AE66" s="101">
        <v>0</v>
      </c>
      <c r="AF66" s="154">
        <v>0</v>
      </c>
      <c r="AG66" s="87" t="s">
        <v>721</v>
      </c>
      <c r="AH66" s="111" t="s">
        <v>79</v>
      </c>
      <c r="AI66" s="118"/>
      <c r="AJ66" s="119" t="s">
        <v>713</v>
      </c>
      <c r="AK66" s="117" t="s">
        <v>714</v>
      </c>
      <c r="AL66" s="110" t="s">
        <v>170</v>
      </c>
      <c r="AM66" s="2" t="s">
        <v>712</v>
      </c>
      <c r="AN66" s="2">
        <v>14</v>
      </c>
      <c r="AO66" s="2"/>
      <c r="AP66" s="48"/>
      <c r="AQ66" t="s">
        <v>767</v>
      </c>
      <c r="AR66" s="120"/>
    </row>
    <row r="67" spans="1:44" s="121" customFormat="1" ht="24" x14ac:dyDescent="0.3">
      <c r="A67" s="4">
        <v>64</v>
      </c>
      <c r="B67" s="2" t="s">
        <v>722</v>
      </c>
      <c r="C67" s="2" t="s">
        <v>15</v>
      </c>
      <c r="D67" s="2">
        <v>106.610331</v>
      </c>
      <c r="E67" s="2">
        <v>10.845826000000001</v>
      </c>
      <c r="F67" s="2" t="s">
        <v>723</v>
      </c>
      <c r="G67" s="34" t="s">
        <v>353</v>
      </c>
      <c r="H67" s="27" t="s">
        <v>892</v>
      </c>
      <c r="I67" s="34" t="s">
        <v>1236</v>
      </c>
      <c r="J67" s="20">
        <v>45397</v>
      </c>
      <c r="K67" s="20">
        <v>47222</v>
      </c>
      <c r="L67" s="20"/>
      <c r="M67" s="34"/>
      <c r="N67" s="97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2" t="s">
        <v>906</v>
      </c>
      <c r="AA67" s="101">
        <v>5000000</v>
      </c>
      <c r="AB67" s="101"/>
      <c r="AC67" s="101"/>
      <c r="AD67" s="95">
        <v>9500000</v>
      </c>
      <c r="AE67" s="101">
        <v>0</v>
      </c>
      <c r="AF67" s="154">
        <v>0</v>
      </c>
      <c r="AG67" s="87" t="s">
        <v>736</v>
      </c>
      <c r="AH67" s="111" t="s">
        <v>79</v>
      </c>
      <c r="AI67" s="118"/>
      <c r="AJ67" s="119" t="s">
        <v>724</v>
      </c>
      <c r="AK67" s="117" t="s">
        <v>725</v>
      </c>
      <c r="AL67" s="110" t="s">
        <v>393</v>
      </c>
      <c r="AM67" s="2" t="s">
        <v>726</v>
      </c>
      <c r="AN67" s="2">
        <v>22</v>
      </c>
      <c r="AO67" s="2">
        <v>6</v>
      </c>
      <c r="AP67" s="48"/>
      <c r="AQ67" t="s">
        <v>767</v>
      </c>
      <c r="AR67" s="120"/>
    </row>
    <row r="68" spans="1:44" s="121" customFormat="1" ht="36" x14ac:dyDescent="0.3">
      <c r="A68" s="4">
        <v>65</v>
      </c>
      <c r="B68" s="2" t="s">
        <v>729</v>
      </c>
      <c r="C68" s="2" t="s">
        <v>288</v>
      </c>
      <c r="D68" s="2">
        <v>106.695172</v>
      </c>
      <c r="E68" s="2">
        <v>10.842267</v>
      </c>
      <c r="F68" s="2" t="s">
        <v>730</v>
      </c>
      <c r="G68" s="34" t="s">
        <v>354</v>
      </c>
      <c r="H68" s="27" t="s">
        <v>892</v>
      </c>
      <c r="I68" s="25" t="s">
        <v>892</v>
      </c>
      <c r="J68" s="20">
        <v>45388</v>
      </c>
      <c r="K68" s="20">
        <v>47213</v>
      </c>
      <c r="L68" s="20"/>
      <c r="M68" s="34"/>
      <c r="N68" s="97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2" t="s">
        <v>1188</v>
      </c>
      <c r="AA68" s="101">
        <v>4000000</v>
      </c>
      <c r="AB68" s="101"/>
      <c r="AC68" s="101"/>
      <c r="AD68" s="95">
        <v>6400000</v>
      </c>
      <c r="AE68" s="101">
        <v>0</v>
      </c>
      <c r="AF68" s="154">
        <v>0</v>
      </c>
      <c r="AG68" s="87" t="s">
        <v>733</v>
      </c>
      <c r="AH68" s="111" t="s">
        <v>79</v>
      </c>
      <c r="AI68" s="118"/>
      <c r="AJ68" s="119" t="s">
        <v>732</v>
      </c>
      <c r="AK68" s="117" t="s">
        <v>731</v>
      </c>
      <c r="AL68" s="110" t="s">
        <v>734</v>
      </c>
      <c r="AM68" s="2" t="s">
        <v>735</v>
      </c>
      <c r="AN68" s="2">
        <v>13</v>
      </c>
      <c r="AO68" s="2">
        <v>6</v>
      </c>
      <c r="AP68" s="48"/>
      <c r="AQ68" t="s">
        <v>767</v>
      </c>
      <c r="AR68" s="120"/>
    </row>
    <row r="69" spans="1:44" s="121" customFormat="1" ht="24" x14ac:dyDescent="0.3">
      <c r="A69" s="4">
        <v>66</v>
      </c>
      <c r="B69" s="2" t="s">
        <v>739</v>
      </c>
      <c r="C69" s="2" t="s">
        <v>15</v>
      </c>
      <c r="D69" s="2">
        <v>106.608891</v>
      </c>
      <c r="E69" s="2">
        <v>10.858193999999999</v>
      </c>
      <c r="F69" s="2" t="s">
        <v>752</v>
      </c>
      <c r="G69" s="34" t="s">
        <v>353</v>
      </c>
      <c r="H69" s="27" t="s">
        <v>892</v>
      </c>
      <c r="I69" s="25" t="s">
        <v>892</v>
      </c>
      <c r="J69" s="20">
        <v>45465</v>
      </c>
      <c r="K69" s="20">
        <v>47290</v>
      </c>
      <c r="L69" s="20"/>
      <c r="M69" s="34"/>
      <c r="N69" s="97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2" t="s">
        <v>907</v>
      </c>
      <c r="AA69" s="101">
        <v>5000000</v>
      </c>
      <c r="AB69" s="101"/>
      <c r="AC69" s="101"/>
      <c r="AD69" s="95">
        <v>9000000</v>
      </c>
      <c r="AE69" s="101">
        <v>0</v>
      </c>
      <c r="AF69" s="154">
        <v>0</v>
      </c>
      <c r="AG69" s="87" t="s">
        <v>758</v>
      </c>
      <c r="AH69" s="111" t="s">
        <v>79</v>
      </c>
      <c r="AI69" s="118"/>
      <c r="AJ69" s="119" t="s">
        <v>753</v>
      </c>
      <c r="AK69" s="117" t="s">
        <v>754</v>
      </c>
      <c r="AL69" s="110" t="s">
        <v>700</v>
      </c>
      <c r="AM69" s="2" t="s">
        <v>751</v>
      </c>
      <c r="AN69" s="2"/>
      <c r="AO69" s="2"/>
      <c r="AP69" s="48"/>
      <c r="AQ69" t="s">
        <v>767</v>
      </c>
      <c r="AR69" s="120"/>
    </row>
    <row r="70" spans="1:44" s="121" customFormat="1" ht="24" x14ac:dyDescent="0.3">
      <c r="A70" s="4">
        <v>67</v>
      </c>
      <c r="B70" s="2" t="s">
        <v>740</v>
      </c>
      <c r="C70" s="2" t="s">
        <v>117</v>
      </c>
      <c r="D70" s="2">
        <v>106.58026</v>
      </c>
      <c r="E70" s="2">
        <v>10.693832</v>
      </c>
      <c r="F70" s="2" t="s">
        <v>747</v>
      </c>
      <c r="G70" s="34" t="s">
        <v>354</v>
      </c>
      <c r="H70" s="27" t="s">
        <v>892</v>
      </c>
      <c r="I70" s="25" t="s">
        <v>892</v>
      </c>
      <c r="J70" s="20">
        <v>45469</v>
      </c>
      <c r="K70" s="20">
        <v>47294</v>
      </c>
      <c r="L70" s="20"/>
      <c r="M70" s="34"/>
      <c r="N70" s="97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2" t="s">
        <v>1189</v>
      </c>
      <c r="AA70" s="101">
        <v>4500000</v>
      </c>
      <c r="AB70" s="101"/>
      <c r="AC70" s="101"/>
      <c r="AD70" s="95">
        <v>6400000</v>
      </c>
      <c r="AE70" s="101">
        <v>0</v>
      </c>
      <c r="AF70" s="154">
        <v>0</v>
      </c>
      <c r="AG70" s="87"/>
      <c r="AH70" s="111" t="s">
        <v>79</v>
      </c>
      <c r="AI70" s="118"/>
      <c r="AJ70" s="119" t="s">
        <v>749</v>
      </c>
      <c r="AK70" s="117" t="s">
        <v>748</v>
      </c>
      <c r="AL70" s="110" t="s">
        <v>700</v>
      </c>
      <c r="AM70" s="2" t="s">
        <v>750</v>
      </c>
      <c r="AN70" s="2"/>
      <c r="AO70" s="2"/>
      <c r="AP70" s="48"/>
      <c r="AQ70" t="s">
        <v>767</v>
      </c>
      <c r="AR70" s="120"/>
    </row>
    <row r="71" spans="1:44" s="121" customFormat="1" ht="24" x14ac:dyDescent="0.3">
      <c r="A71" s="4">
        <v>68</v>
      </c>
      <c r="B71" s="2" t="s">
        <v>741</v>
      </c>
      <c r="C71" s="2" t="s">
        <v>15</v>
      </c>
      <c r="D71" s="2">
        <v>106.648195</v>
      </c>
      <c r="E71" s="2">
        <v>10.901745</v>
      </c>
      <c r="F71" s="2" t="s">
        <v>743</v>
      </c>
      <c r="G71" s="34" t="s">
        <v>353</v>
      </c>
      <c r="H71" s="27" t="s">
        <v>892</v>
      </c>
      <c r="I71" s="25" t="s">
        <v>892</v>
      </c>
      <c r="J71" s="20">
        <v>45483</v>
      </c>
      <c r="K71" s="20">
        <v>47308</v>
      </c>
      <c r="L71" s="20"/>
      <c r="M71" s="34"/>
      <c r="N71" s="97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2" t="s">
        <v>1190</v>
      </c>
      <c r="AA71" s="101">
        <v>5500000</v>
      </c>
      <c r="AB71" s="101"/>
      <c r="AC71" s="101"/>
      <c r="AD71" s="95">
        <v>9400000</v>
      </c>
      <c r="AE71" s="101">
        <v>0</v>
      </c>
      <c r="AF71" s="154">
        <v>0</v>
      </c>
      <c r="AG71" s="87"/>
      <c r="AH71" s="111" t="s">
        <v>79</v>
      </c>
      <c r="AI71" s="118"/>
      <c r="AJ71" s="119" t="s">
        <v>756</v>
      </c>
      <c r="AK71" s="117" t="s">
        <v>755</v>
      </c>
      <c r="AL71" s="110" t="s">
        <v>757</v>
      </c>
      <c r="AM71" s="2" t="s">
        <v>744</v>
      </c>
      <c r="AN71" s="2">
        <v>12</v>
      </c>
      <c r="AO71" s="2">
        <v>12</v>
      </c>
      <c r="AP71" s="48"/>
      <c r="AQ71" t="s">
        <v>767</v>
      </c>
      <c r="AR71" s="120"/>
    </row>
    <row r="72" spans="1:44" s="121" customFormat="1" ht="24" x14ac:dyDescent="0.3">
      <c r="A72" s="4">
        <v>69</v>
      </c>
      <c r="B72" s="40" t="s">
        <v>742</v>
      </c>
      <c r="C72" s="2" t="s">
        <v>229</v>
      </c>
      <c r="D72" s="2">
        <v>106.599693</v>
      </c>
      <c r="E72" s="2">
        <v>10.779717</v>
      </c>
      <c r="F72" s="2" t="s">
        <v>745</v>
      </c>
      <c r="G72" s="34" t="s">
        <v>353</v>
      </c>
      <c r="H72" s="34" t="s">
        <v>1254</v>
      </c>
      <c r="I72" s="25" t="s">
        <v>892</v>
      </c>
      <c r="J72" s="20">
        <v>45483</v>
      </c>
      <c r="K72" s="20">
        <v>47308</v>
      </c>
      <c r="L72" s="272">
        <v>48013</v>
      </c>
      <c r="M72" s="34"/>
      <c r="N72" s="97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2" t="s">
        <v>1191</v>
      </c>
      <c r="AA72" s="101">
        <v>5000000</v>
      </c>
      <c r="AB72" s="277">
        <v>6000000</v>
      </c>
      <c r="AC72" s="101"/>
      <c r="AD72" s="95">
        <v>9400000</v>
      </c>
      <c r="AE72" s="101">
        <v>0</v>
      </c>
      <c r="AF72" s="154">
        <v>0</v>
      </c>
      <c r="AG72" s="87"/>
      <c r="AH72" s="111" t="s">
        <v>79</v>
      </c>
      <c r="AI72" s="118"/>
      <c r="AJ72" s="119" t="s">
        <v>768</v>
      </c>
      <c r="AK72" s="117" t="s">
        <v>769</v>
      </c>
      <c r="AL72" s="110" t="s">
        <v>770</v>
      </c>
      <c r="AM72" s="2" t="s">
        <v>746</v>
      </c>
      <c r="AN72" s="2">
        <v>11</v>
      </c>
      <c r="AO72" s="2">
        <v>12</v>
      </c>
      <c r="AP72" s="48"/>
      <c r="AQ72" t="s">
        <v>767</v>
      </c>
      <c r="AR72" s="120"/>
    </row>
    <row r="73" spans="1:44" s="121" customFormat="1" ht="24" x14ac:dyDescent="0.3">
      <c r="A73" s="4">
        <v>70</v>
      </c>
      <c r="B73" s="2" t="s">
        <v>737</v>
      </c>
      <c r="C73" s="2" t="s">
        <v>32</v>
      </c>
      <c r="D73" s="2">
        <v>106.699208</v>
      </c>
      <c r="E73" s="2">
        <v>10.805695099999999</v>
      </c>
      <c r="F73" s="2" t="s">
        <v>760</v>
      </c>
      <c r="G73" s="34" t="s">
        <v>354</v>
      </c>
      <c r="H73" s="27" t="s">
        <v>892</v>
      </c>
      <c r="I73" s="25" t="s">
        <v>892</v>
      </c>
      <c r="J73" s="20">
        <v>45373</v>
      </c>
      <c r="K73" s="20">
        <v>47198</v>
      </c>
      <c r="L73" s="20"/>
      <c r="M73" s="34"/>
      <c r="N73" s="97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2" t="s">
        <v>1192</v>
      </c>
      <c r="AA73" s="101">
        <v>4000000</v>
      </c>
      <c r="AB73" s="101"/>
      <c r="AC73" s="101"/>
      <c r="AD73" s="95">
        <v>6700000</v>
      </c>
      <c r="AE73" s="101">
        <v>0</v>
      </c>
      <c r="AF73" s="154">
        <v>0</v>
      </c>
      <c r="AG73" s="87"/>
      <c r="AH73" s="111" t="s">
        <v>79</v>
      </c>
      <c r="AI73" s="118"/>
      <c r="AJ73" s="119" t="s">
        <v>694</v>
      </c>
      <c r="AK73" s="117" t="s">
        <v>695</v>
      </c>
      <c r="AL73" s="110" t="s">
        <v>696</v>
      </c>
      <c r="AM73" s="2" t="s">
        <v>697</v>
      </c>
      <c r="AN73" s="2"/>
      <c r="AO73" s="2"/>
      <c r="AP73" s="48"/>
      <c r="AQ73" t="s">
        <v>767</v>
      </c>
      <c r="AR73" s="120"/>
    </row>
    <row r="74" spans="1:44" s="121" customFormat="1" ht="24" x14ac:dyDescent="0.3">
      <c r="A74" s="4">
        <v>71</v>
      </c>
      <c r="B74" s="2" t="s">
        <v>606</v>
      </c>
      <c r="C74" s="2" t="s">
        <v>761</v>
      </c>
      <c r="D74" s="2">
        <v>106.69146499999999</v>
      </c>
      <c r="E74" s="2">
        <v>10.760405</v>
      </c>
      <c r="F74" s="2" t="s">
        <v>762</v>
      </c>
      <c r="G74" s="34" t="s">
        <v>354</v>
      </c>
      <c r="H74" s="27" t="s">
        <v>892</v>
      </c>
      <c r="I74" s="25" t="s">
        <v>892</v>
      </c>
      <c r="J74" s="20">
        <v>45078</v>
      </c>
      <c r="K74" s="20">
        <v>46904</v>
      </c>
      <c r="L74" s="20"/>
      <c r="M74" s="34"/>
      <c r="N74" s="97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2" t="s">
        <v>1193</v>
      </c>
      <c r="AA74" s="101">
        <v>5500000</v>
      </c>
      <c r="AB74" s="101"/>
      <c r="AC74" s="101"/>
      <c r="AD74" s="95">
        <v>7500000</v>
      </c>
      <c r="AE74" s="101">
        <v>0</v>
      </c>
      <c r="AF74" s="154">
        <v>0</v>
      </c>
      <c r="AG74" s="87"/>
      <c r="AH74" s="111" t="s">
        <v>79</v>
      </c>
      <c r="AI74" s="118"/>
      <c r="AJ74" s="119" t="s">
        <v>663</v>
      </c>
      <c r="AK74" s="117" t="s">
        <v>664</v>
      </c>
      <c r="AL74" s="110" t="s">
        <v>665</v>
      </c>
      <c r="AM74" s="2" t="s">
        <v>666</v>
      </c>
      <c r="AN74" s="2"/>
      <c r="AO74" s="2"/>
      <c r="AP74" s="48"/>
      <c r="AQ74" t="s">
        <v>765</v>
      </c>
      <c r="AR74" s="120"/>
    </row>
    <row r="75" spans="1:44" s="121" customFormat="1" ht="24" x14ac:dyDescent="0.3">
      <c r="A75" s="4">
        <v>72</v>
      </c>
      <c r="B75" s="2" t="s">
        <v>771</v>
      </c>
      <c r="C75" s="2" t="s">
        <v>32</v>
      </c>
      <c r="D75" s="2">
        <v>106.70027</v>
      </c>
      <c r="E75" s="2">
        <v>10.828835</v>
      </c>
      <c r="F75" s="2" t="s">
        <v>772</v>
      </c>
      <c r="G75" s="34" t="s">
        <v>353</v>
      </c>
      <c r="H75" s="27" t="s">
        <v>892</v>
      </c>
      <c r="I75" s="25" t="s">
        <v>892</v>
      </c>
      <c r="J75" s="20">
        <v>45469</v>
      </c>
      <c r="K75" s="20">
        <v>47294</v>
      </c>
      <c r="L75" s="20"/>
      <c r="M75" s="34"/>
      <c r="N75" s="97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2" t="s">
        <v>1194</v>
      </c>
      <c r="AA75" s="101">
        <v>6000000</v>
      </c>
      <c r="AB75" s="101"/>
      <c r="AC75" s="101"/>
      <c r="AD75" s="95">
        <v>10500000</v>
      </c>
      <c r="AE75" s="101">
        <v>0</v>
      </c>
      <c r="AF75" s="154">
        <v>0</v>
      </c>
      <c r="AG75" s="87" t="s">
        <v>773</v>
      </c>
      <c r="AH75" s="111" t="s">
        <v>79</v>
      </c>
      <c r="AI75" s="118"/>
      <c r="AJ75" s="119" t="s">
        <v>774</v>
      </c>
      <c r="AK75" s="117" t="s">
        <v>775</v>
      </c>
      <c r="AL75" s="110" t="s">
        <v>770</v>
      </c>
      <c r="AM75" s="2" t="s">
        <v>776</v>
      </c>
      <c r="AN75" s="2" t="s">
        <v>777</v>
      </c>
      <c r="AO75" s="2">
        <v>9</v>
      </c>
      <c r="AP75" s="48"/>
      <c r="AQ75" t="s">
        <v>767</v>
      </c>
      <c r="AR75" s="120"/>
    </row>
    <row r="76" spans="1:44" s="121" customFormat="1" ht="24" x14ac:dyDescent="0.3">
      <c r="A76" s="4">
        <v>73</v>
      </c>
      <c r="B76" s="2" t="s">
        <v>778</v>
      </c>
      <c r="C76" s="2" t="s">
        <v>156</v>
      </c>
      <c r="D76" s="2">
        <v>106.66424809999999</v>
      </c>
      <c r="E76" s="2">
        <v>10.790502399999999</v>
      </c>
      <c r="F76" s="2" t="s">
        <v>779</v>
      </c>
      <c r="G76" s="34" t="s">
        <v>354</v>
      </c>
      <c r="H76" s="27" t="s">
        <v>892</v>
      </c>
      <c r="I76" s="25" t="s">
        <v>892</v>
      </c>
      <c r="J76" s="20" t="s">
        <v>896</v>
      </c>
      <c r="K76" s="20" t="s">
        <v>896</v>
      </c>
      <c r="L76" s="20"/>
      <c r="M76" s="34"/>
      <c r="N76" s="97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2" t="s">
        <v>1195</v>
      </c>
      <c r="AA76" s="101">
        <v>4000000</v>
      </c>
      <c r="AB76" s="101"/>
      <c r="AC76" s="101"/>
      <c r="AD76" s="95">
        <v>6400000</v>
      </c>
      <c r="AE76" s="101">
        <v>0</v>
      </c>
      <c r="AF76" s="154">
        <v>0</v>
      </c>
      <c r="AG76" s="87" t="s">
        <v>773</v>
      </c>
      <c r="AH76" s="111" t="s">
        <v>79</v>
      </c>
      <c r="AI76" s="118"/>
      <c r="AJ76" s="119" t="s">
        <v>780</v>
      </c>
      <c r="AK76" s="117" t="s">
        <v>781</v>
      </c>
      <c r="AL76" s="110" t="s">
        <v>782</v>
      </c>
      <c r="AM76" s="2" t="s">
        <v>783</v>
      </c>
      <c r="AN76" s="2" t="s">
        <v>784</v>
      </c>
      <c r="AO76" s="2">
        <v>6</v>
      </c>
      <c r="AP76" s="48"/>
      <c r="AQ76" t="s">
        <v>767</v>
      </c>
      <c r="AR76" s="120"/>
    </row>
    <row r="77" spans="1:44" s="121" customFormat="1" ht="24" x14ac:dyDescent="0.3">
      <c r="A77" s="4">
        <v>74</v>
      </c>
      <c r="B77" s="2" t="s">
        <v>787</v>
      </c>
      <c r="C77" s="2" t="s">
        <v>573</v>
      </c>
      <c r="D77" s="2">
        <v>106.787966</v>
      </c>
      <c r="E77" s="2">
        <v>10.769964999999999</v>
      </c>
      <c r="F77" s="2" t="s">
        <v>786</v>
      </c>
      <c r="G77" s="34" t="s">
        <v>353</v>
      </c>
      <c r="H77" s="27" t="s">
        <v>892</v>
      </c>
      <c r="I77" s="25" t="s">
        <v>892</v>
      </c>
      <c r="J77" s="20">
        <v>45616</v>
      </c>
      <c r="K77" s="20">
        <v>47441</v>
      </c>
      <c r="L77" s="20"/>
      <c r="M77" s="34"/>
      <c r="N77" s="97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2" t="s">
        <v>1196</v>
      </c>
      <c r="AA77" s="101">
        <v>7000000</v>
      </c>
      <c r="AB77" s="101"/>
      <c r="AC77" s="101"/>
      <c r="AD77" s="95">
        <v>11400000</v>
      </c>
      <c r="AE77" s="101">
        <v>0</v>
      </c>
      <c r="AF77" s="154">
        <v>0</v>
      </c>
      <c r="AG77" s="87" t="s">
        <v>773</v>
      </c>
      <c r="AH77" s="111" t="s">
        <v>79</v>
      </c>
      <c r="AI77" s="118"/>
      <c r="AJ77" s="119" t="s">
        <v>789</v>
      </c>
      <c r="AK77" s="117" t="s">
        <v>788</v>
      </c>
      <c r="AL77" s="110" t="s">
        <v>790</v>
      </c>
      <c r="AM77" s="2" t="s">
        <v>785</v>
      </c>
      <c r="AN77" s="2" t="s">
        <v>784</v>
      </c>
      <c r="AO77" s="2">
        <v>9</v>
      </c>
      <c r="AP77" s="48"/>
      <c r="AQ77" t="s">
        <v>767</v>
      </c>
      <c r="AR77" s="120"/>
    </row>
    <row r="78" spans="1:44" s="121" customFormat="1" ht="24" x14ac:dyDescent="0.3">
      <c r="A78" s="4">
        <v>75</v>
      </c>
      <c r="B78" s="2" t="s">
        <v>791</v>
      </c>
      <c r="C78" s="2" t="s">
        <v>32</v>
      </c>
      <c r="D78" s="2">
        <v>106.715318</v>
      </c>
      <c r="E78" s="2">
        <v>10.795153000000001</v>
      </c>
      <c r="F78" s="2" t="s">
        <v>801</v>
      </c>
      <c r="G78" s="34" t="s">
        <v>354</v>
      </c>
      <c r="H78" s="27" t="s">
        <v>892</v>
      </c>
      <c r="I78" s="25" t="s">
        <v>892</v>
      </c>
      <c r="J78" s="20">
        <v>45638</v>
      </c>
      <c r="K78" s="20">
        <v>47463</v>
      </c>
      <c r="L78" s="20"/>
      <c r="M78" s="34"/>
      <c r="N78" s="97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2" t="s">
        <v>1197</v>
      </c>
      <c r="AA78" s="101">
        <v>4000000</v>
      </c>
      <c r="AB78" s="101"/>
      <c r="AC78" s="101">
        <v>4400000</v>
      </c>
      <c r="AD78" s="95">
        <v>6400000</v>
      </c>
      <c r="AE78" s="101">
        <v>0</v>
      </c>
      <c r="AF78" s="154">
        <v>0</v>
      </c>
      <c r="AG78" s="87" t="s">
        <v>799</v>
      </c>
      <c r="AH78" s="111" t="s">
        <v>79</v>
      </c>
      <c r="AI78" s="118"/>
      <c r="AJ78" s="119" t="s">
        <v>798</v>
      </c>
      <c r="AK78" s="117" t="s">
        <v>858</v>
      </c>
      <c r="AL78" s="110" t="s">
        <v>696</v>
      </c>
      <c r="AM78" s="2" t="s">
        <v>797</v>
      </c>
      <c r="AN78" s="2"/>
      <c r="AO78" s="2">
        <v>6</v>
      </c>
      <c r="AP78" s="48"/>
      <c r="AQ78" t="s">
        <v>767</v>
      </c>
      <c r="AR78" s="120"/>
    </row>
    <row r="79" spans="1:44" s="121" customFormat="1" ht="24" x14ac:dyDescent="0.3">
      <c r="A79" s="4">
        <v>76</v>
      </c>
      <c r="B79" s="2" t="s">
        <v>792</v>
      </c>
      <c r="C79" s="2" t="s">
        <v>156</v>
      </c>
      <c r="D79" s="2">
        <v>106.6566996</v>
      </c>
      <c r="E79" s="2">
        <v>10.793421199999999</v>
      </c>
      <c r="F79" s="2" t="s">
        <v>793</v>
      </c>
      <c r="G79" s="34" t="s">
        <v>354</v>
      </c>
      <c r="H79" s="27" t="s">
        <v>892</v>
      </c>
      <c r="I79" s="25" t="s">
        <v>892</v>
      </c>
      <c r="J79" s="20" t="s">
        <v>896</v>
      </c>
      <c r="K79" s="20" t="s">
        <v>896</v>
      </c>
      <c r="L79" s="20"/>
      <c r="M79" s="34"/>
      <c r="N79" s="97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2" t="s">
        <v>1198</v>
      </c>
      <c r="AA79" s="101">
        <v>4000000</v>
      </c>
      <c r="AB79" s="101"/>
      <c r="AC79" s="101">
        <v>4500000</v>
      </c>
      <c r="AD79" s="95">
        <v>6500000</v>
      </c>
      <c r="AE79" s="101">
        <v>0</v>
      </c>
      <c r="AF79" s="154">
        <v>0</v>
      </c>
      <c r="AG79" s="87" t="s">
        <v>800</v>
      </c>
      <c r="AH79" s="111" t="s">
        <v>79</v>
      </c>
      <c r="AI79" s="118"/>
      <c r="AJ79" s="119" t="s">
        <v>794</v>
      </c>
      <c r="AK79" s="117" t="s">
        <v>795</v>
      </c>
      <c r="AL79" s="110" t="s">
        <v>170</v>
      </c>
      <c r="AM79" s="2" t="s">
        <v>796</v>
      </c>
      <c r="AN79" s="2"/>
      <c r="AO79" s="2">
        <v>6</v>
      </c>
      <c r="AP79" s="48"/>
      <c r="AQ79" t="s">
        <v>767</v>
      </c>
      <c r="AR79" s="120"/>
    </row>
    <row r="80" spans="1:44" s="121" customFormat="1" ht="24" x14ac:dyDescent="0.3">
      <c r="A80" s="4">
        <v>77</v>
      </c>
      <c r="B80" s="2" t="s">
        <v>803</v>
      </c>
      <c r="C80" s="2" t="s">
        <v>117</v>
      </c>
      <c r="D80" s="2">
        <v>106.652019</v>
      </c>
      <c r="E80" s="2">
        <v>10.706345000000001</v>
      </c>
      <c r="F80" s="2" t="s">
        <v>804</v>
      </c>
      <c r="G80" s="34" t="s">
        <v>353</v>
      </c>
      <c r="H80" s="27" t="s">
        <v>892</v>
      </c>
      <c r="I80" s="25" t="s">
        <v>892</v>
      </c>
      <c r="J80" s="20">
        <v>45705</v>
      </c>
      <c r="K80" s="20">
        <v>47530</v>
      </c>
      <c r="L80" s="20"/>
      <c r="M80" s="34"/>
      <c r="N80" s="97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2" t="s">
        <v>1199</v>
      </c>
      <c r="AA80" s="101">
        <v>5000000</v>
      </c>
      <c r="AB80" s="101"/>
      <c r="AC80" s="101">
        <v>6500000</v>
      </c>
      <c r="AD80" s="95">
        <v>9300000</v>
      </c>
      <c r="AE80" s="101">
        <v>0</v>
      </c>
      <c r="AF80" s="154">
        <v>0</v>
      </c>
      <c r="AG80" s="87" t="s">
        <v>800</v>
      </c>
      <c r="AH80" s="111" t="s">
        <v>79</v>
      </c>
      <c r="AI80" s="118"/>
      <c r="AJ80" s="119" t="s">
        <v>805</v>
      </c>
      <c r="AK80" s="117" t="s">
        <v>806</v>
      </c>
      <c r="AL80" s="110" t="s">
        <v>153</v>
      </c>
      <c r="AM80" s="2" t="s">
        <v>807</v>
      </c>
      <c r="AN80" s="2"/>
      <c r="AO80" s="2"/>
      <c r="AP80" s="48"/>
      <c r="AQ80">
        <v>2025</v>
      </c>
      <c r="AR80" s="120"/>
    </row>
    <row r="81" spans="1:44" s="121" customFormat="1" ht="24" x14ac:dyDescent="0.3">
      <c r="A81" s="4">
        <v>78</v>
      </c>
      <c r="B81" s="2" t="s">
        <v>814</v>
      </c>
      <c r="C81" s="2" t="s">
        <v>66</v>
      </c>
      <c r="D81" s="2" t="s">
        <v>859</v>
      </c>
      <c r="E81" s="2" t="s">
        <v>860</v>
      </c>
      <c r="F81" s="2" t="s">
        <v>473</v>
      </c>
      <c r="G81" s="34" t="s">
        <v>893</v>
      </c>
      <c r="H81" s="27" t="s">
        <v>892</v>
      </c>
      <c r="I81" s="25" t="s">
        <v>892</v>
      </c>
      <c r="J81" s="20" t="s">
        <v>896</v>
      </c>
      <c r="K81" s="20" t="s">
        <v>896</v>
      </c>
      <c r="L81" s="20"/>
      <c r="M81" s="34"/>
      <c r="N81" s="97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2" t="s">
        <v>1200</v>
      </c>
      <c r="AA81" s="101">
        <v>0</v>
      </c>
      <c r="AB81" s="101"/>
      <c r="AC81" s="101"/>
      <c r="AD81" s="95">
        <v>1500000</v>
      </c>
      <c r="AE81" s="101">
        <v>0</v>
      </c>
      <c r="AF81" s="154">
        <v>0</v>
      </c>
      <c r="AG81" s="87"/>
      <c r="AH81" s="119" t="s">
        <v>897</v>
      </c>
      <c r="AI81" s="118"/>
      <c r="AJ81" s="119" t="s">
        <v>897</v>
      </c>
      <c r="AK81" s="119" t="s">
        <v>897</v>
      </c>
      <c r="AL81" s="119" t="s">
        <v>897</v>
      </c>
      <c r="AM81" s="119" t="s">
        <v>897</v>
      </c>
      <c r="AN81" s="2"/>
      <c r="AO81" s="2"/>
      <c r="AP81" s="48"/>
      <c r="AQ81">
        <v>2025</v>
      </c>
      <c r="AR81" s="120"/>
    </row>
    <row r="82" spans="1:44" s="121" customFormat="1" ht="24" x14ac:dyDescent="0.3">
      <c r="A82" s="4">
        <v>79</v>
      </c>
      <c r="B82" s="2" t="s">
        <v>815</v>
      </c>
      <c r="C82" s="2" t="s">
        <v>66</v>
      </c>
      <c r="D82" s="2" t="s">
        <v>861</v>
      </c>
      <c r="E82" s="2" t="s">
        <v>860</v>
      </c>
      <c r="F82" s="2" t="s">
        <v>473</v>
      </c>
      <c r="G82" s="34" t="s">
        <v>893</v>
      </c>
      <c r="H82" s="27" t="s">
        <v>892</v>
      </c>
      <c r="I82" s="25" t="s">
        <v>892</v>
      </c>
      <c r="J82" s="20" t="s">
        <v>896</v>
      </c>
      <c r="K82" s="20" t="s">
        <v>896</v>
      </c>
      <c r="L82" s="20"/>
      <c r="M82" s="34"/>
      <c r="N82" s="97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2" t="s">
        <v>1200</v>
      </c>
      <c r="AA82" s="101">
        <v>0</v>
      </c>
      <c r="AB82" s="101"/>
      <c r="AC82" s="101"/>
      <c r="AD82" s="95">
        <v>1500000</v>
      </c>
      <c r="AE82" s="101">
        <v>0</v>
      </c>
      <c r="AF82" s="154">
        <v>0</v>
      </c>
      <c r="AG82" s="87"/>
      <c r="AH82" s="119" t="s">
        <v>897</v>
      </c>
      <c r="AI82" s="118"/>
      <c r="AJ82" s="119" t="s">
        <v>897</v>
      </c>
      <c r="AK82" s="119" t="s">
        <v>897</v>
      </c>
      <c r="AL82" s="119" t="s">
        <v>897</v>
      </c>
      <c r="AM82" s="119" t="s">
        <v>897</v>
      </c>
      <c r="AN82" s="2"/>
      <c r="AO82" s="2"/>
      <c r="AP82" s="48"/>
      <c r="AQ82">
        <v>2025</v>
      </c>
      <c r="AR82" s="120"/>
    </row>
    <row r="83" spans="1:44" s="121" customFormat="1" ht="24" x14ac:dyDescent="0.3">
      <c r="A83" s="4">
        <v>80</v>
      </c>
      <c r="B83" s="2" t="s">
        <v>816</v>
      </c>
      <c r="C83" s="2" t="s">
        <v>66</v>
      </c>
      <c r="D83" s="2" t="s">
        <v>862</v>
      </c>
      <c r="E83" s="2" t="s">
        <v>863</v>
      </c>
      <c r="F83" s="2" t="s">
        <v>473</v>
      </c>
      <c r="G83" s="34" t="s">
        <v>893</v>
      </c>
      <c r="H83" s="27" t="s">
        <v>892</v>
      </c>
      <c r="I83" s="25" t="s">
        <v>892</v>
      </c>
      <c r="J83" s="20" t="s">
        <v>896</v>
      </c>
      <c r="K83" s="20" t="s">
        <v>896</v>
      </c>
      <c r="L83" s="20"/>
      <c r="M83" s="34"/>
      <c r="N83" s="97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2" t="s">
        <v>1200</v>
      </c>
      <c r="AA83" s="101">
        <v>0</v>
      </c>
      <c r="AB83" s="101"/>
      <c r="AC83" s="101"/>
      <c r="AD83" s="95">
        <v>1500000</v>
      </c>
      <c r="AE83" s="101">
        <v>0</v>
      </c>
      <c r="AF83" s="154">
        <v>0</v>
      </c>
      <c r="AG83" s="87"/>
      <c r="AH83" s="119" t="s">
        <v>897</v>
      </c>
      <c r="AI83" s="118"/>
      <c r="AJ83" s="119" t="s">
        <v>897</v>
      </c>
      <c r="AK83" s="119" t="s">
        <v>897</v>
      </c>
      <c r="AL83" s="119" t="s">
        <v>897</v>
      </c>
      <c r="AM83" s="119" t="s">
        <v>897</v>
      </c>
      <c r="AN83" s="2"/>
      <c r="AO83" s="2"/>
      <c r="AP83" s="48"/>
      <c r="AQ83">
        <v>2025</v>
      </c>
      <c r="AR83" s="120"/>
    </row>
    <row r="84" spans="1:44" s="121" customFormat="1" ht="24" x14ac:dyDescent="0.3">
      <c r="A84" s="4">
        <v>81</v>
      </c>
      <c r="B84" s="2" t="s">
        <v>817</v>
      </c>
      <c r="C84" s="2" t="s">
        <v>66</v>
      </c>
      <c r="D84" s="2" t="s">
        <v>864</v>
      </c>
      <c r="E84" s="2" t="s">
        <v>865</v>
      </c>
      <c r="F84" s="2" t="s">
        <v>473</v>
      </c>
      <c r="G84" s="34" t="s">
        <v>893</v>
      </c>
      <c r="H84" s="27" t="s">
        <v>892</v>
      </c>
      <c r="I84" s="25" t="s">
        <v>892</v>
      </c>
      <c r="J84" s="20" t="s">
        <v>896</v>
      </c>
      <c r="K84" s="20" t="s">
        <v>896</v>
      </c>
      <c r="L84" s="20"/>
      <c r="M84" s="34"/>
      <c r="N84" s="97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2" t="s">
        <v>1200</v>
      </c>
      <c r="AA84" s="101">
        <v>0</v>
      </c>
      <c r="AB84" s="101"/>
      <c r="AC84" s="101"/>
      <c r="AD84" s="95">
        <v>1500000</v>
      </c>
      <c r="AE84" s="101">
        <v>0</v>
      </c>
      <c r="AF84" s="154">
        <v>0</v>
      </c>
      <c r="AG84" s="87"/>
      <c r="AH84" s="119" t="s">
        <v>897</v>
      </c>
      <c r="AI84" s="118"/>
      <c r="AJ84" s="119" t="s">
        <v>897</v>
      </c>
      <c r="AK84" s="119" t="s">
        <v>897</v>
      </c>
      <c r="AL84" s="119" t="s">
        <v>897</v>
      </c>
      <c r="AM84" s="119" t="s">
        <v>897</v>
      </c>
      <c r="AN84" s="2"/>
      <c r="AO84" s="2"/>
      <c r="AP84" s="48"/>
      <c r="AQ84">
        <v>2025</v>
      </c>
      <c r="AR84" s="120"/>
    </row>
    <row r="85" spans="1:44" s="121" customFormat="1" ht="24" x14ac:dyDescent="0.3">
      <c r="A85" s="4">
        <v>82</v>
      </c>
      <c r="B85" s="2" t="s">
        <v>818</v>
      </c>
      <c r="C85" s="2" t="s">
        <v>66</v>
      </c>
      <c r="D85" s="2" t="s">
        <v>866</v>
      </c>
      <c r="E85" s="2" t="s">
        <v>867</v>
      </c>
      <c r="F85" s="2" t="s">
        <v>473</v>
      </c>
      <c r="G85" s="34" t="s">
        <v>893</v>
      </c>
      <c r="H85" s="27" t="s">
        <v>892</v>
      </c>
      <c r="I85" s="25" t="s">
        <v>892</v>
      </c>
      <c r="J85" s="20" t="s">
        <v>896</v>
      </c>
      <c r="K85" s="20" t="s">
        <v>896</v>
      </c>
      <c r="L85" s="20"/>
      <c r="M85" s="34"/>
      <c r="N85" s="97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2" t="s">
        <v>1200</v>
      </c>
      <c r="AA85" s="101">
        <v>0</v>
      </c>
      <c r="AB85" s="101"/>
      <c r="AC85" s="101"/>
      <c r="AD85" s="95">
        <v>1500000</v>
      </c>
      <c r="AE85" s="101">
        <v>0</v>
      </c>
      <c r="AF85" s="154">
        <v>0</v>
      </c>
      <c r="AG85" s="87"/>
      <c r="AH85" s="119" t="s">
        <v>897</v>
      </c>
      <c r="AI85" s="118"/>
      <c r="AJ85" s="119" t="s">
        <v>897</v>
      </c>
      <c r="AK85" s="119" t="s">
        <v>897</v>
      </c>
      <c r="AL85" s="119" t="s">
        <v>897</v>
      </c>
      <c r="AM85" s="119" t="s">
        <v>897</v>
      </c>
      <c r="AN85" s="2"/>
      <c r="AO85" s="2"/>
      <c r="AP85" s="48"/>
      <c r="AQ85">
        <v>2025</v>
      </c>
      <c r="AR85" s="120"/>
    </row>
    <row r="86" spans="1:44" s="121" customFormat="1" ht="24" x14ac:dyDescent="0.3">
      <c r="A86" s="4">
        <v>83</v>
      </c>
      <c r="B86" s="2" t="s">
        <v>819</v>
      </c>
      <c r="C86" s="2" t="s">
        <v>66</v>
      </c>
      <c r="D86" s="2" t="s">
        <v>868</v>
      </c>
      <c r="E86" s="2" t="s">
        <v>869</v>
      </c>
      <c r="F86" s="2" t="s">
        <v>473</v>
      </c>
      <c r="G86" s="34" t="s">
        <v>893</v>
      </c>
      <c r="H86" s="27" t="s">
        <v>892</v>
      </c>
      <c r="I86" s="25" t="s">
        <v>892</v>
      </c>
      <c r="J86" s="20" t="s">
        <v>896</v>
      </c>
      <c r="K86" s="20" t="s">
        <v>896</v>
      </c>
      <c r="L86" s="20"/>
      <c r="M86" s="34"/>
      <c r="N86" s="97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2" t="s">
        <v>1200</v>
      </c>
      <c r="AA86" s="101">
        <v>0</v>
      </c>
      <c r="AB86" s="101"/>
      <c r="AC86" s="101"/>
      <c r="AD86" s="95">
        <v>1500000</v>
      </c>
      <c r="AE86" s="101">
        <v>0</v>
      </c>
      <c r="AF86" s="154">
        <v>0</v>
      </c>
      <c r="AG86" s="87"/>
      <c r="AH86" s="119" t="s">
        <v>897</v>
      </c>
      <c r="AI86" s="118"/>
      <c r="AJ86" s="119" t="s">
        <v>897</v>
      </c>
      <c r="AK86" s="119" t="s">
        <v>897</v>
      </c>
      <c r="AL86" s="119" t="s">
        <v>897</v>
      </c>
      <c r="AM86" s="119" t="s">
        <v>897</v>
      </c>
      <c r="AN86" s="2"/>
      <c r="AO86" s="2"/>
      <c r="AP86" s="48"/>
      <c r="AQ86">
        <v>2025</v>
      </c>
      <c r="AR86" s="120"/>
    </row>
    <row r="87" spans="1:44" s="121" customFormat="1" ht="24" x14ac:dyDescent="0.3">
      <c r="A87" s="4">
        <v>84</v>
      </c>
      <c r="B87" s="2" t="s">
        <v>820</v>
      </c>
      <c r="C87" s="2" t="s">
        <v>66</v>
      </c>
      <c r="D87" s="2" t="s">
        <v>870</v>
      </c>
      <c r="E87" s="2" t="s">
        <v>871</v>
      </c>
      <c r="F87" s="2" t="s">
        <v>473</v>
      </c>
      <c r="G87" s="34" t="s">
        <v>893</v>
      </c>
      <c r="H87" s="27" t="s">
        <v>892</v>
      </c>
      <c r="I87" s="25" t="s">
        <v>892</v>
      </c>
      <c r="J87" s="20" t="s">
        <v>896</v>
      </c>
      <c r="K87" s="20" t="s">
        <v>896</v>
      </c>
      <c r="L87" s="20"/>
      <c r="M87" s="34"/>
      <c r="N87" s="97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2" t="s">
        <v>1200</v>
      </c>
      <c r="AA87" s="101">
        <v>0</v>
      </c>
      <c r="AB87" s="101"/>
      <c r="AC87" s="101"/>
      <c r="AD87" s="95">
        <v>1500000</v>
      </c>
      <c r="AE87" s="101">
        <v>0</v>
      </c>
      <c r="AF87" s="154">
        <v>0</v>
      </c>
      <c r="AG87" s="87"/>
      <c r="AH87" s="119" t="s">
        <v>897</v>
      </c>
      <c r="AI87" s="118"/>
      <c r="AJ87" s="119" t="s">
        <v>897</v>
      </c>
      <c r="AK87" s="119" t="s">
        <v>897</v>
      </c>
      <c r="AL87" s="119" t="s">
        <v>897</v>
      </c>
      <c r="AM87" s="119" t="s">
        <v>897</v>
      </c>
      <c r="AN87" s="2"/>
      <c r="AO87" s="2"/>
      <c r="AP87" s="48"/>
      <c r="AQ87">
        <v>2025</v>
      </c>
      <c r="AR87" s="120"/>
    </row>
    <row r="88" spans="1:44" s="121" customFormat="1" ht="24" x14ac:dyDescent="0.3">
      <c r="A88" s="4">
        <v>85</v>
      </c>
      <c r="B88" s="2" t="s">
        <v>821</v>
      </c>
      <c r="C88" s="2" t="s">
        <v>66</v>
      </c>
      <c r="D88" s="2" t="s">
        <v>872</v>
      </c>
      <c r="E88" s="2" t="s">
        <v>873</v>
      </c>
      <c r="F88" s="2" t="s">
        <v>473</v>
      </c>
      <c r="G88" s="34" t="s">
        <v>893</v>
      </c>
      <c r="H88" s="27" t="s">
        <v>892</v>
      </c>
      <c r="I88" s="25" t="s">
        <v>892</v>
      </c>
      <c r="J88" s="20" t="s">
        <v>896</v>
      </c>
      <c r="K88" s="20" t="s">
        <v>896</v>
      </c>
      <c r="L88" s="20"/>
      <c r="M88" s="34"/>
      <c r="N88" s="97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2" t="s">
        <v>1200</v>
      </c>
      <c r="AA88" s="101">
        <v>0</v>
      </c>
      <c r="AB88" s="101"/>
      <c r="AC88" s="101"/>
      <c r="AD88" s="95">
        <v>1500000</v>
      </c>
      <c r="AE88" s="101">
        <v>0</v>
      </c>
      <c r="AF88" s="154">
        <v>0</v>
      </c>
      <c r="AG88" s="87"/>
      <c r="AH88" s="119" t="s">
        <v>897</v>
      </c>
      <c r="AI88" s="118"/>
      <c r="AJ88" s="119" t="s">
        <v>897</v>
      </c>
      <c r="AK88" s="119" t="s">
        <v>897</v>
      </c>
      <c r="AL88" s="119" t="s">
        <v>897</v>
      </c>
      <c r="AM88" s="119" t="s">
        <v>897</v>
      </c>
      <c r="AN88" s="2"/>
      <c r="AO88" s="2"/>
      <c r="AP88" s="48"/>
      <c r="AQ88">
        <v>2025</v>
      </c>
      <c r="AR88" s="120"/>
    </row>
    <row r="89" spans="1:44" s="121" customFormat="1" x14ac:dyDescent="0.3">
      <c r="A89" s="4">
        <v>86</v>
      </c>
      <c r="B89" s="2" t="s">
        <v>822</v>
      </c>
      <c r="C89" s="2" t="s">
        <v>66</v>
      </c>
      <c r="D89" s="2" t="s">
        <v>874</v>
      </c>
      <c r="E89" s="2" t="s">
        <v>875</v>
      </c>
      <c r="F89" s="2" t="s">
        <v>826</v>
      </c>
      <c r="G89" s="34" t="s">
        <v>893</v>
      </c>
      <c r="H89" s="27" t="s">
        <v>892</v>
      </c>
      <c r="I89" s="25" t="s">
        <v>892</v>
      </c>
      <c r="J89" s="20" t="s">
        <v>896</v>
      </c>
      <c r="K89" s="20" t="s">
        <v>896</v>
      </c>
      <c r="L89" s="20"/>
      <c r="M89" s="34"/>
      <c r="N89" s="97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2" t="s">
        <v>1201</v>
      </c>
      <c r="AA89" s="101" t="s">
        <v>830</v>
      </c>
      <c r="AB89" s="101"/>
      <c r="AC89" s="101"/>
      <c r="AD89" s="95">
        <v>2200000</v>
      </c>
      <c r="AE89" s="101">
        <v>0</v>
      </c>
      <c r="AF89" s="154">
        <v>0</v>
      </c>
      <c r="AG89" s="87"/>
      <c r="AH89" s="119" t="s">
        <v>912</v>
      </c>
      <c r="AI89" s="118"/>
      <c r="AJ89" s="119" t="s">
        <v>897</v>
      </c>
      <c r="AK89" s="119" t="s">
        <v>897</v>
      </c>
      <c r="AL89" s="119" t="s">
        <v>897</v>
      </c>
      <c r="AM89" s="119" t="s">
        <v>897</v>
      </c>
      <c r="AN89" s="2"/>
      <c r="AO89" s="2"/>
      <c r="AP89" s="48"/>
      <c r="AQ89">
        <v>2025</v>
      </c>
      <c r="AR89" s="120"/>
    </row>
    <row r="90" spans="1:44" s="121" customFormat="1" x14ac:dyDescent="0.3">
      <c r="A90" s="4">
        <v>87</v>
      </c>
      <c r="B90" s="2" t="s">
        <v>823</v>
      </c>
      <c r="C90" s="2" t="s">
        <v>66</v>
      </c>
      <c r="D90" s="2" t="s">
        <v>876</v>
      </c>
      <c r="E90" s="2" t="s">
        <v>877</v>
      </c>
      <c r="F90" s="2" t="s">
        <v>827</v>
      </c>
      <c r="G90" s="34" t="s">
        <v>893</v>
      </c>
      <c r="H90" s="27" t="s">
        <v>892</v>
      </c>
      <c r="I90" s="25" t="s">
        <v>892</v>
      </c>
      <c r="J90" s="20" t="s">
        <v>896</v>
      </c>
      <c r="K90" s="20" t="s">
        <v>896</v>
      </c>
      <c r="L90" s="20"/>
      <c r="M90" s="34"/>
      <c r="N90" s="97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2" t="s">
        <v>1201</v>
      </c>
      <c r="AA90" s="101" t="s">
        <v>830</v>
      </c>
      <c r="AB90" s="101"/>
      <c r="AC90" s="101"/>
      <c r="AD90" s="95">
        <v>2200000</v>
      </c>
      <c r="AE90" s="101">
        <v>0</v>
      </c>
      <c r="AF90" s="154">
        <v>0</v>
      </c>
      <c r="AG90" s="87"/>
      <c r="AH90" s="119" t="s">
        <v>912</v>
      </c>
      <c r="AI90" s="118"/>
      <c r="AJ90" s="119" t="s">
        <v>897</v>
      </c>
      <c r="AK90" s="119" t="s">
        <v>897</v>
      </c>
      <c r="AL90" s="119" t="s">
        <v>897</v>
      </c>
      <c r="AM90" s="119" t="s">
        <v>897</v>
      </c>
      <c r="AN90" s="2"/>
      <c r="AO90" s="2"/>
      <c r="AP90" s="48"/>
      <c r="AQ90">
        <v>2025</v>
      </c>
      <c r="AR90" s="120"/>
    </row>
    <row r="91" spans="1:44" s="121" customFormat="1" x14ac:dyDescent="0.3">
      <c r="A91" s="4">
        <v>88</v>
      </c>
      <c r="B91" s="2" t="s">
        <v>824</v>
      </c>
      <c r="C91" s="2" t="s">
        <v>66</v>
      </c>
      <c r="D91" s="2" t="s">
        <v>878</v>
      </c>
      <c r="E91" s="2" t="s">
        <v>879</v>
      </c>
      <c r="F91" s="2" t="s">
        <v>828</v>
      </c>
      <c r="G91" s="34" t="s">
        <v>893</v>
      </c>
      <c r="H91" s="27" t="s">
        <v>892</v>
      </c>
      <c r="I91" s="25" t="s">
        <v>892</v>
      </c>
      <c r="J91" s="20" t="s">
        <v>896</v>
      </c>
      <c r="K91" s="20" t="s">
        <v>896</v>
      </c>
      <c r="L91" s="20"/>
      <c r="M91" s="34"/>
      <c r="N91" s="97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2" t="s">
        <v>1201</v>
      </c>
      <c r="AA91" s="101" t="s">
        <v>830</v>
      </c>
      <c r="AB91" s="101"/>
      <c r="AC91" s="101"/>
      <c r="AD91" s="95">
        <v>2200000</v>
      </c>
      <c r="AE91" s="101">
        <v>0</v>
      </c>
      <c r="AF91" s="154">
        <v>0</v>
      </c>
      <c r="AG91" s="87"/>
      <c r="AH91" s="119" t="s">
        <v>912</v>
      </c>
      <c r="AI91" s="118"/>
      <c r="AJ91" s="119" t="s">
        <v>897</v>
      </c>
      <c r="AK91" s="119" t="s">
        <v>897</v>
      </c>
      <c r="AL91" s="119" t="s">
        <v>897</v>
      </c>
      <c r="AM91" s="119" t="s">
        <v>897</v>
      </c>
      <c r="AN91" s="2"/>
      <c r="AO91" s="2"/>
      <c r="AP91" s="48"/>
      <c r="AQ91">
        <v>2025</v>
      </c>
      <c r="AR91" s="120"/>
    </row>
    <row r="92" spans="1:44" s="121" customFormat="1" x14ac:dyDescent="0.3">
      <c r="A92" s="4">
        <v>89</v>
      </c>
      <c r="B92" s="2" t="s">
        <v>825</v>
      </c>
      <c r="C92" s="2" t="s">
        <v>66</v>
      </c>
      <c r="D92" s="2" t="s">
        <v>880</v>
      </c>
      <c r="E92" s="2" t="s">
        <v>881</v>
      </c>
      <c r="F92" s="2" t="s">
        <v>829</v>
      </c>
      <c r="G92" s="34" t="s">
        <v>893</v>
      </c>
      <c r="H92" s="27" t="s">
        <v>892</v>
      </c>
      <c r="I92" s="25" t="s">
        <v>892</v>
      </c>
      <c r="J92" s="20" t="s">
        <v>896</v>
      </c>
      <c r="K92" s="20" t="s">
        <v>896</v>
      </c>
      <c r="L92" s="20"/>
      <c r="M92" s="34"/>
      <c r="N92" s="97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2" t="s">
        <v>1201</v>
      </c>
      <c r="AA92" s="101" t="s">
        <v>830</v>
      </c>
      <c r="AB92" s="101"/>
      <c r="AC92" s="101"/>
      <c r="AD92" s="95">
        <v>2200000</v>
      </c>
      <c r="AE92" s="101">
        <v>0</v>
      </c>
      <c r="AF92" s="154">
        <v>0</v>
      </c>
      <c r="AG92" s="87"/>
      <c r="AH92" s="119" t="s">
        <v>912</v>
      </c>
      <c r="AI92" s="118"/>
      <c r="AJ92" s="119" t="s">
        <v>897</v>
      </c>
      <c r="AK92" s="119" t="s">
        <v>897</v>
      </c>
      <c r="AL92" s="119" t="s">
        <v>897</v>
      </c>
      <c r="AM92" s="119" t="s">
        <v>897</v>
      </c>
      <c r="AN92" s="2"/>
      <c r="AO92" s="2"/>
      <c r="AP92" s="48"/>
      <c r="AQ92">
        <v>2025</v>
      </c>
      <c r="AR92" s="120"/>
    </row>
    <row r="93" spans="1:44" s="121" customFormat="1" ht="24" x14ac:dyDescent="0.3">
      <c r="A93" s="4">
        <v>90</v>
      </c>
      <c r="B93" s="2" t="s">
        <v>831</v>
      </c>
      <c r="C93" s="2" t="s">
        <v>15</v>
      </c>
      <c r="D93" s="2">
        <v>106.597342</v>
      </c>
      <c r="E93" s="2">
        <v>10.860189999999999</v>
      </c>
      <c r="F93" s="2" t="s">
        <v>832</v>
      </c>
      <c r="G93" s="34" t="s">
        <v>353</v>
      </c>
      <c r="H93" s="27" t="s">
        <v>892</v>
      </c>
      <c r="I93" s="25" t="s">
        <v>892</v>
      </c>
      <c r="J93" s="20">
        <v>45813</v>
      </c>
      <c r="K93" s="20">
        <v>47638</v>
      </c>
      <c r="L93" s="20"/>
      <c r="M93" s="34"/>
      <c r="N93" s="97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2" t="s">
        <v>908</v>
      </c>
      <c r="AA93" s="101">
        <v>5000000</v>
      </c>
      <c r="AB93" s="101"/>
      <c r="AC93" s="101">
        <v>6000000</v>
      </c>
      <c r="AD93" s="95">
        <v>9100000</v>
      </c>
      <c r="AE93" s="101">
        <v>0</v>
      </c>
      <c r="AF93" s="154">
        <v>0</v>
      </c>
      <c r="AG93" s="87">
        <v>45857</v>
      </c>
      <c r="AH93" s="111" t="s">
        <v>79</v>
      </c>
      <c r="AI93" s="118"/>
      <c r="AJ93" s="119" t="s">
        <v>839</v>
      </c>
      <c r="AK93" s="117" t="s">
        <v>838</v>
      </c>
      <c r="AL93" s="110" t="s">
        <v>153</v>
      </c>
      <c r="AM93" s="2" t="s">
        <v>840</v>
      </c>
      <c r="AN93" s="2"/>
      <c r="AO93" s="2">
        <v>9</v>
      </c>
      <c r="AP93" s="48"/>
      <c r="AQ93">
        <v>2025</v>
      </c>
      <c r="AR93" s="120"/>
    </row>
    <row r="94" spans="1:44" s="121" customFormat="1" ht="33" customHeight="1" x14ac:dyDescent="0.3">
      <c r="A94" s="4">
        <v>91</v>
      </c>
      <c r="B94" s="2" t="s">
        <v>833</v>
      </c>
      <c r="C94" s="2" t="s">
        <v>229</v>
      </c>
      <c r="D94" s="2">
        <v>106.608164</v>
      </c>
      <c r="E94" s="2">
        <v>10.803616</v>
      </c>
      <c r="F94" s="2" t="s">
        <v>847</v>
      </c>
      <c r="G94" s="34" t="s">
        <v>353</v>
      </c>
      <c r="H94" s="27" t="s">
        <v>892</v>
      </c>
      <c r="I94" s="25" t="s">
        <v>892</v>
      </c>
      <c r="J94" s="20">
        <v>45809</v>
      </c>
      <c r="K94" s="20">
        <v>47634</v>
      </c>
      <c r="L94" s="20"/>
      <c r="M94" s="34"/>
      <c r="N94" s="97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2" t="s">
        <v>1202</v>
      </c>
      <c r="AA94" s="101">
        <v>5000000</v>
      </c>
      <c r="AB94" s="101"/>
      <c r="AC94" s="101"/>
      <c r="AD94" s="95">
        <v>9900000</v>
      </c>
      <c r="AE94" s="101">
        <v>0</v>
      </c>
      <c r="AF94" s="154">
        <v>0</v>
      </c>
      <c r="AG94" s="87">
        <v>45870</v>
      </c>
      <c r="AH94" s="111" t="s">
        <v>79</v>
      </c>
      <c r="AI94" s="118"/>
      <c r="AJ94" s="119" t="s">
        <v>849</v>
      </c>
      <c r="AK94" s="117" t="s">
        <v>848</v>
      </c>
      <c r="AL94" s="110" t="s">
        <v>850</v>
      </c>
      <c r="AM94" s="2" t="s">
        <v>846</v>
      </c>
      <c r="AN94" s="2"/>
      <c r="AO94" s="2">
        <v>9</v>
      </c>
      <c r="AP94" s="48"/>
      <c r="AQ94">
        <v>2025</v>
      </c>
      <c r="AR94" s="120"/>
    </row>
    <row r="95" spans="1:44" s="121" customFormat="1" ht="34.799999999999997" customHeight="1" x14ac:dyDescent="0.3">
      <c r="A95" s="4">
        <v>92</v>
      </c>
      <c r="B95" s="2" t="s">
        <v>835</v>
      </c>
      <c r="C95" s="2" t="s">
        <v>288</v>
      </c>
      <c r="D95" s="2">
        <v>106.6436025</v>
      </c>
      <c r="E95" s="2">
        <v>10.869358</v>
      </c>
      <c r="F95" s="2" t="s">
        <v>842</v>
      </c>
      <c r="G95" s="34" t="s">
        <v>354</v>
      </c>
      <c r="H95" s="27" t="s">
        <v>892</v>
      </c>
      <c r="I95" s="25" t="s">
        <v>892</v>
      </c>
      <c r="J95" s="20">
        <v>45785</v>
      </c>
      <c r="K95" s="20">
        <v>47610</v>
      </c>
      <c r="L95" s="20"/>
      <c r="M95" s="34"/>
      <c r="N95" s="97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2" t="s">
        <v>1203</v>
      </c>
      <c r="AA95" s="101">
        <v>4000000</v>
      </c>
      <c r="AB95" s="101"/>
      <c r="AC95" s="101"/>
      <c r="AD95" s="95">
        <v>6250000</v>
      </c>
      <c r="AE95" s="101">
        <v>0</v>
      </c>
      <c r="AF95" s="154">
        <v>0</v>
      </c>
      <c r="AG95" s="87">
        <v>45846</v>
      </c>
      <c r="AH95" s="111" t="s">
        <v>79</v>
      </c>
      <c r="AI95" s="118"/>
      <c r="AJ95" s="119" t="s">
        <v>844</v>
      </c>
      <c r="AK95" s="119" t="s">
        <v>843</v>
      </c>
      <c r="AL95" s="110" t="s">
        <v>845</v>
      </c>
      <c r="AM95" s="2" t="s">
        <v>841</v>
      </c>
      <c r="AN95" s="2"/>
      <c r="AO95" s="2">
        <v>6</v>
      </c>
      <c r="AP95" s="48"/>
      <c r="AQ95">
        <v>2025</v>
      </c>
      <c r="AR95" s="120"/>
    </row>
    <row r="96" spans="1:44" s="121" customFormat="1" ht="34.799999999999997" customHeight="1" x14ac:dyDescent="0.3">
      <c r="A96" s="4">
        <v>93</v>
      </c>
      <c r="B96" s="2" t="s">
        <v>972</v>
      </c>
      <c r="C96" s="2" t="s">
        <v>66</v>
      </c>
      <c r="D96" s="2">
        <v>106.683274</v>
      </c>
      <c r="E96" s="2">
        <v>10.837393199999999</v>
      </c>
      <c r="F96" s="2" t="s">
        <v>836</v>
      </c>
      <c r="G96" s="34" t="s">
        <v>354</v>
      </c>
      <c r="H96" s="27" t="s">
        <v>892</v>
      </c>
      <c r="I96" s="25" t="s">
        <v>892</v>
      </c>
      <c r="J96" s="20">
        <v>45804</v>
      </c>
      <c r="K96" s="20">
        <v>47629</v>
      </c>
      <c r="L96" s="20"/>
      <c r="M96" s="34"/>
      <c r="N96" s="97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2" t="s">
        <v>1204</v>
      </c>
      <c r="AA96" s="101">
        <v>4000000</v>
      </c>
      <c r="AB96" s="101"/>
      <c r="AC96" s="101"/>
      <c r="AD96" s="95">
        <v>6400000</v>
      </c>
      <c r="AE96" s="101">
        <v>0</v>
      </c>
      <c r="AF96" s="154">
        <v>0</v>
      </c>
      <c r="AG96" s="87">
        <v>45804</v>
      </c>
      <c r="AH96" s="111" t="s">
        <v>79</v>
      </c>
      <c r="AI96" s="118"/>
      <c r="AJ96" s="119" t="s">
        <v>812</v>
      </c>
      <c r="AK96" s="119" t="s">
        <v>811</v>
      </c>
      <c r="AL96" s="110" t="s">
        <v>837</v>
      </c>
      <c r="AM96" s="2" t="s">
        <v>813</v>
      </c>
      <c r="AN96" s="2"/>
      <c r="AO96" s="2">
        <v>6</v>
      </c>
      <c r="AP96" s="48"/>
      <c r="AQ96">
        <v>2025</v>
      </c>
      <c r="AR96" s="120"/>
    </row>
    <row r="97" spans="1:44" s="121" customFormat="1" ht="34.799999999999997" customHeight="1" x14ac:dyDescent="0.3">
      <c r="A97" s="4">
        <v>94</v>
      </c>
      <c r="B97" s="40" t="s">
        <v>808</v>
      </c>
      <c r="C97" s="2" t="s">
        <v>117</v>
      </c>
      <c r="D97" s="2">
        <v>106.518545</v>
      </c>
      <c r="E97" s="2">
        <v>10.738443</v>
      </c>
      <c r="F97" s="2" t="s">
        <v>851</v>
      </c>
      <c r="G97" s="34" t="s">
        <v>353</v>
      </c>
      <c r="H97" s="34" t="s">
        <v>1226</v>
      </c>
      <c r="I97" s="34" t="s">
        <v>1226</v>
      </c>
      <c r="J97" s="20">
        <v>45738</v>
      </c>
      <c r="K97" s="20">
        <v>47563</v>
      </c>
      <c r="L97" s="272">
        <v>50000</v>
      </c>
      <c r="M97" s="34"/>
      <c r="N97" s="97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2" t="s">
        <v>1205</v>
      </c>
      <c r="AA97" s="101">
        <v>3000000</v>
      </c>
      <c r="AB97" s="277">
        <v>4000000</v>
      </c>
      <c r="AC97" s="101"/>
      <c r="AD97" s="95">
        <v>13400000</v>
      </c>
      <c r="AE97" s="101">
        <v>0</v>
      </c>
      <c r="AF97" s="154">
        <v>0</v>
      </c>
      <c r="AG97" s="87">
        <v>45799</v>
      </c>
      <c r="AH97" s="111" t="s">
        <v>79</v>
      </c>
      <c r="AI97" s="118">
        <f>EDATE(AG97,6)</f>
        <v>45983</v>
      </c>
      <c r="AJ97" s="119" t="s">
        <v>809</v>
      </c>
      <c r="AK97" s="119" t="s">
        <v>810</v>
      </c>
      <c r="AL97" s="110" t="s">
        <v>170</v>
      </c>
      <c r="AM97" s="2" t="s">
        <v>852</v>
      </c>
      <c r="AN97" s="2">
        <v>0</v>
      </c>
      <c r="AO97" s="2">
        <v>30</v>
      </c>
      <c r="AP97" s="48"/>
      <c r="AQ97">
        <v>2025</v>
      </c>
      <c r="AR97" s="120"/>
    </row>
    <row r="98" spans="1:44" s="121" customFormat="1" ht="24" x14ac:dyDescent="0.3">
      <c r="A98" s="4">
        <v>95</v>
      </c>
      <c r="B98" s="2" t="s">
        <v>834</v>
      </c>
      <c r="C98" s="2" t="s">
        <v>579</v>
      </c>
      <c r="D98" s="2">
        <v>106.6705798</v>
      </c>
      <c r="E98" s="2">
        <v>10.763659000000001</v>
      </c>
      <c r="F98" s="2" t="s">
        <v>853</v>
      </c>
      <c r="G98" s="34" t="s">
        <v>354</v>
      </c>
      <c r="H98" s="27" t="s">
        <v>892</v>
      </c>
      <c r="I98" s="25" t="s">
        <v>892</v>
      </c>
      <c r="J98" s="20">
        <v>45823</v>
      </c>
      <c r="K98" s="20">
        <v>47648</v>
      </c>
      <c r="L98" s="20"/>
      <c r="M98" s="34"/>
      <c r="N98" s="97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2" t="s">
        <v>1206</v>
      </c>
      <c r="AA98" s="101">
        <v>5000000</v>
      </c>
      <c r="AB98" s="101"/>
      <c r="AC98" s="101"/>
      <c r="AD98" s="95">
        <v>6400000</v>
      </c>
      <c r="AE98" s="101">
        <v>0</v>
      </c>
      <c r="AF98" s="154">
        <v>0</v>
      </c>
      <c r="AG98" s="87"/>
      <c r="AH98" s="111" t="s">
        <v>79</v>
      </c>
      <c r="AI98" s="118"/>
      <c r="AJ98" s="119" t="s">
        <v>856</v>
      </c>
      <c r="AK98" s="117" t="s">
        <v>854</v>
      </c>
      <c r="AL98" s="110" t="s">
        <v>855</v>
      </c>
      <c r="AM98" s="2" t="s">
        <v>857</v>
      </c>
      <c r="AN98" s="2">
        <v>18</v>
      </c>
      <c r="AO98" s="2">
        <v>6</v>
      </c>
      <c r="AP98" s="48"/>
      <c r="AQ98">
        <v>2025</v>
      </c>
      <c r="AR98" s="120"/>
    </row>
    <row r="99" spans="1:44" s="121" customFormat="1" ht="36" x14ac:dyDescent="0.3">
      <c r="A99" s="4">
        <v>96</v>
      </c>
      <c r="B99" s="2" t="s">
        <v>882</v>
      </c>
      <c r="C99" s="2" t="s">
        <v>66</v>
      </c>
      <c r="D99" s="2">
        <v>106.6493112</v>
      </c>
      <c r="E99" s="2">
        <v>10.8455811</v>
      </c>
      <c r="F99" s="2" t="s">
        <v>886</v>
      </c>
      <c r="G99" s="34" t="s">
        <v>354</v>
      </c>
      <c r="H99" s="27" t="s">
        <v>892</v>
      </c>
      <c r="I99" s="25" t="s">
        <v>892</v>
      </c>
      <c r="J99" s="20">
        <v>45850</v>
      </c>
      <c r="K99" s="20">
        <v>47675</v>
      </c>
      <c r="L99" s="20"/>
      <c r="M99" s="34"/>
      <c r="N99" s="97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2" t="s">
        <v>1207</v>
      </c>
      <c r="AA99" s="101">
        <v>4000000</v>
      </c>
      <c r="AB99" s="101"/>
      <c r="AC99" s="101"/>
      <c r="AD99" s="95">
        <v>6500000</v>
      </c>
      <c r="AE99" s="101">
        <v>0</v>
      </c>
      <c r="AF99" s="101">
        <v>0</v>
      </c>
      <c r="AG99" s="87">
        <v>45905</v>
      </c>
      <c r="AH99" s="111" t="s">
        <v>79</v>
      </c>
      <c r="AI99" s="118"/>
      <c r="AJ99" s="42" t="s">
        <v>884</v>
      </c>
      <c r="AK99" s="152" t="s">
        <v>883</v>
      </c>
      <c r="AL99" s="41" t="s">
        <v>690</v>
      </c>
      <c r="AM99" s="2" t="s">
        <v>885</v>
      </c>
      <c r="AN99" s="2"/>
      <c r="AO99" s="2"/>
      <c r="AP99" s="48"/>
      <c r="AQ99">
        <v>2025</v>
      </c>
      <c r="AR99" s="120"/>
    </row>
    <row r="100" spans="1:44" s="121" customFormat="1" ht="36" x14ac:dyDescent="0.3">
      <c r="A100" s="4">
        <v>97</v>
      </c>
      <c r="B100" s="2" t="s">
        <v>889</v>
      </c>
      <c r="C100" s="2" t="s">
        <v>66</v>
      </c>
      <c r="D100" s="2">
        <v>106.688222</v>
      </c>
      <c r="E100" s="2">
        <v>10.824833</v>
      </c>
      <c r="F100" s="2" t="s">
        <v>887</v>
      </c>
      <c r="G100" s="34" t="s">
        <v>353</v>
      </c>
      <c r="H100" s="27" t="s">
        <v>892</v>
      </c>
      <c r="I100" s="25" t="s">
        <v>892</v>
      </c>
      <c r="J100" s="20">
        <v>45878</v>
      </c>
      <c r="K100" s="20">
        <v>47703</v>
      </c>
      <c r="L100" s="20"/>
      <c r="M100" s="34"/>
      <c r="N100" s="97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2" t="s">
        <v>1208</v>
      </c>
      <c r="AA100" s="101">
        <v>6000000</v>
      </c>
      <c r="AB100" s="101"/>
      <c r="AC100" s="101"/>
      <c r="AD100" s="95">
        <v>10600000</v>
      </c>
      <c r="AE100" s="101">
        <v>0</v>
      </c>
      <c r="AF100" s="101">
        <v>0</v>
      </c>
      <c r="AG100" s="87"/>
      <c r="AH100" s="111" t="s">
        <v>79</v>
      </c>
      <c r="AI100" s="118"/>
      <c r="AJ100" s="42" t="s">
        <v>890</v>
      </c>
      <c r="AK100" s="152" t="s">
        <v>888</v>
      </c>
      <c r="AL100" s="41" t="s">
        <v>102</v>
      </c>
      <c r="AM100" s="2" t="s">
        <v>891</v>
      </c>
      <c r="AN100" s="2"/>
      <c r="AO100" s="2"/>
      <c r="AP100" s="48"/>
      <c r="AQ100">
        <v>2025</v>
      </c>
      <c r="AR100" s="120"/>
    </row>
    <row r="101" spans="1:44" x14ac:dyDescent="0.3">
      <c r="A101" s="4">
        <v>98</v>
      </c>
      <c r="B101" s="2" t="s">
        <v>1030</v>
      </c>
      <c r="C101" s="2" t="s">
        <v>394</v>
      </c>
      <c r="D101" s="2">
        <v>106.60477</v>
      </c>
      <c r="E101" s="2">
        <v>10.977980000000001</v>
      </c>
      <c r="F101" s="2" t="s">
        <v>1125</v>
      </c>
      <c r="G101" s="34" t="s">
        <v>353</v>
      </c>
      <c r="H101" s="27" t="s">
        <v>892</v>
      </c>
      <c r="I101" s="25" t="s">
        <v>892</v>
      </c>
      <c r="J101" s="20">
        <v>45286</v>
      </c>
      <c r="K101" s="20">
        <v>47112</v>
      </c>
      <c r="L101" s="20"/>
      <c r="M101" s="34"/>
      <c r="N101" s="97">
        <v>45437</v>
      </c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2" t="s">
        <v>953</v>
      </c>
      <c r="AA101" s="101">
        <v>4500000</v>
      </c>
      <c r="AB101" s="101"/>
      <c r="AC101" s="101"/>
      <c r="AD101" s="95">
        <v>12000000</v>
      </c>
      <c r="AE101" s="101"/>
      <c r="AF101" s="101"/>
      <c r="AG101" s="87"/>
      <c r="AH101" s="111" t="s">
        <v>79</v>
      </c>
      <c r="AI101" s="118"/>
      <c r="AJ101" s="18" t="s">
        <v>1127</v>
      </c>
      <c r="AK101" s="2" t="s">
        <v>1126</v>
      </c>
      <c r="AL101" s="2" t="s">
        <v>398</v>
      </c>
      <c r="AM101" s="2" t="s">
        <v>1128</v>
      </c>
      <c r="AN101" s="2">
        <v>0</v>
      </c>
      <c r="AO101" s="2">
        <v>30</v>
      </c>
      <c r="AP101" s="48"/>
      <c r="AQ101">
        <v>2023</v>
      </c>
    </row>
    <row r="102" spans="1:44" ht="24" x14ac:dyDescent="0.3">
      <c r="A102" s="4">
        <v>99</v>
      </c>
      <c r="B102" s="2" t="s">
        <v>1129</v>
      </c>
      <c r="C102" s="2" t="s">
        <v>15</v>
      </c>
      <c r="D102" s="2">
        <v>106.63862</v>
      </c>
      <c r="E102" s="2">
        <v>10.901565</v>
      </c>
      <c r="F102" s="2" t="s">
        <v>1130</v>
      </c>
      <c r="G102" s="34" t="s">
        <v>353</v>
      </c>
      <c r="H102" s="27" t="s">
        <v>892</v>
      </c>
      <c r="I102" s="25" t="s">
        <v>892</v>
      </c>
      <c r="J102" s="20">
        <v>45853</v>
      </c>
      <c r="K102" s="20">
        <v>47678</v>
      </c>
      <c r="L102" s="20"/>
      <c r="M102" s="34"/>
      <c r="N102" s="97">
        <v>45868</v>
      </c>
      <c r="O102" s="48"/>
      <c r="P102" s="97">
        <v>45952</v>
      </c>
      <c r="Q102" s="97">
        <v>45952</v>
      </c>
      <c r="R102" s="48"/>
      <c r="S102" s="48"/>
      <c r="T102" s="48"/>
      <c r="U102" s="48"/>
      <c r="V102" s="48"/>
      <c r="W102" s="48"/>
      <c r="X102" s="48"/>
      <c r="Y102" s="48"/>
      <c r="Z102" s="2" t="s">
        <v>1209</v>
      </c>
      <c r="AA102" s="101">
        <v>6000000</v>
      </c>
      <c r="AB102" s="101"/>
      <c r="AC102" s="101"/>
      <c r="AD102" s="95">
        <v>9000000</v>
      </c>
      <c r="AE102" s="101"/>
      <c r="AF102" s="101"/>
      <c r="AG102" s="87"/>
      <c r="AH102" s="111" t="s">
        <v>79</v>
      </c>
      <c r="AI102" s="118"/>
      <c r="AJ102" s="42" t="s">
        <v>1132</v>
      </c>
      <c r="AK102" s="2" t="s">
        <v>1131</v>
      </c>
      <c r="AL102" s="41" t="s">
        <v>1133</v>
      </c>
      <c r="AM102" s="2" t="s">
        <v>1134</v>
      </c>
      <c r="AN102" s="2">
        <v>14</v>
      </c>
      <c r="AO102" s="2">
        <v>12</v>
      </c>
      <c r="AP102" s="48"/>
      <c r="AQ102">
        <v>2025</v>
      </c>
    </row>
    <row r="103" spans="1:44" ht="27.6" x14ac:dyDescent="0.3">
      <c r="A103" s="4">
        <v>100</v>
      </c>
      <c r="B103" s="2" t="s">
        <v>1248</v>
      </c>
      <c r="C103" s="2" t="s">
        <v>107</v>
      </c>
      <c r="D103" s="2">
        <v>106.799272</v>
      </c>
      <c r="E103" s="2">
        <v>10.878826</v>
      </c>
      <c r="F103" s="2" t="s">
        <v>1249</v>
      </c>
      <c r="G103" s="27" t="s">
        <v>892</v>
      </c>
      <c r="H103" s="34" t="s">
        <v>1250</v>
      </c>
      <c r="I103" s="25" t="s">
        <v>892</v>
      </c>
      <c r="J103" s="20"/>
      <c r="K103" s="20"/>
      <c r="L103" s="20"/>
      <c r="M103" s="34"/>
      <c r="N103" s="97"/>
      <c r="O103" s="48"/>
      <c r="P103" s="97"/>
      <c r="Q103" s="97"/>
      <c r="R103" s="48"/>
      <c r="S103" s="48"/>
      <c r="T103" s="48"/>
      <c r="U103" s="48"/>
      <c r="V103" s="48"/>
      <c r="W103" s="48"/>
      <c r="X103" s="48"/>
      <c r="Y103" s="48"/>
      <c r="Z103" s="2" t="s">
        <v>1251</v>
      </c>
      <c r="AA103" s="101">
        <v>8000000</v>
      </c>
      <c r="AB103" s="101"/>
      <c r="AC103" s="101"/>
      <c r="AD103" s="95">
        <v>0</v>
      </c>
      <c r="AE103" s="101">
        <v>0</v>
      </c>
      <c r="AF103" s="101">
        <v>13500000</v>
      </c>
      <c r="AG103" s="87"/>
      <c r="AH103" s="111" t="s">
        <v>77</v>
      </c>
      <c r="AI103" s="118"/>
      <c r="AJ103" s="42" t="s">
        <v>1252</v>
      </c>
      <c r="AK103" s="2" t="s">
        <v>1252</v>
      </c>
      <c r="AL103" s="41" t="s">
        <v>1252</v>
      </c>
      <c r="AM103" s="2" t="s">
        <v>1253</v>
      </c>
      <c r="AN103" s="2">
        <v>0</v>
      </c>
      <c r="AO103" s="2">
        <v>30</v>
      </c>
      <c r="AP103" s="48"/>
      <c r="AQ103">
        <v>2026</v>
      </c>
    </row>
  </sheetData>
  <phoneticPr fontId="30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A5DC4-7C98-4E3F-8966-1BD4EB047AD7}">
  <dimension ref="A1:AL85"/>
  <sheetViews>
    <sheetView topLeftCell="T1" workbookViewId="0">
      <selection activeCell="AM10" sqref="AM10"/>
    </sheetView>
  </sheetViews>
  <sheetFormatPr defaultRowHeight="10.199999999999999" x14ac:dyDescent="0.2"/>
  <cols>
    <col min="1" max="1" width="9" style="159" bestFit="1" customWidth="1"/>
    <col min="2" max="2" width="22.33203125" style="159" bestFit="1" customWidth="1"/>
    <col min="3" max="3" width="9" style="159" bestFit="1" customWidth="1"/>
    <col min="4" max="6" width="17.33203125" style="222" customWidth="1"/>
    <col min="7" max="7" width="10.6640625" style="159" bestFit="1" customWidth="1"/>
    <col min="8" max="13" width="9" style="159" bestFit="1" customWidth="1"/>
    <col min="14" max="14" width="8.5546875" style="159" customWidth="1"/>
    <col min="15" max="17" width="9" style="159" bestFit="1" customWidth="1"/>
    <col min="18" max="18" width="7.88671875" style="159" customWidth="1"/>
    <col min="19" max="30" width="9" style="159" bestFit="1" customWidth="1"/>
    <col min="31" max="35" width="9" style="159" customWidth="1"/>
    <col min="36" max="36" width="9" style="159" bestFit="1" customWidth="1"/>
    <col min="37" max="37" width="10.21875" style="159" bestFit="1" customWidth="1"/>
    <col min="38" max="38" width="9" style="159" bestFit="1" customWidth="1"/>
    <col min="39" max="16384" width="8.88671875" style="159"/>
  </cols>
  <sheetData>
    <row r="1" spans="1:38" ht="30.6" x14ac:dyDescent="0.2">
      <c r="A1" s="155" t="s">
        <v>24</v>
      </c>
      <c r="B1" s="155" t="s">
        <v>363</v>
      </c>
      <c r="C1" s="155" t="s">
        <v>914</v>
      </c>
      <c r="D1" s="155" t="s">
        <v>915</v>
      </c>
      <c r="E1" s="155" t="s">
        <v>1239</v>
      </c>
      <c r="F1" s="155" t="s">
        <v>1299</v>
      </c>
      <c r="G1" s="156" t="s">
        <v>80</v>
      </c>
      <c r="H1" s="156" t="s">
        <v>82</v>
      </c>
      <c r="I1" s="156" t="s">
        <v>81</v>
      </c>
      <c r="J1" s="156" t="s">
        <v>68</v>
      </c>
      <c r="K1" s="155" t="s">
        <v>916</v>
      </c>
      <c r="L1" s="155" t="s">
        <v>978</v>
      </c>
      <c r="M1" s="155" t="s">
        <v>917</v>
      </c>
      <c r="N1" s="155" t="s">
        <v>918</v>
      </c>
      <c r="O1" s="155" t="s">
        <v>919</v>
      </c>
      <c r="P1" s="155" t="s">
        <v>920</v>
      </c>
      <c r="Q1" s="155" t="s">
        <v>921</v>
      </c>
      <c r="R1" s="155" t="s">
        <v>922</v>
      </c>
      <c r="S1" s="155" t="s">
        <v>923</v>
      </c>
      <c r="T1" s="155" t="s">
        <v>924</v>
      </c>
      <c r="U1" s="155" t="s">
        <v>925</v>
      </c>
      <c r="V1" s="157" t="s">
        <v>926</v>
      </c>
      <c r="W1" s="157" t="s">
        <v>927</v>
      </c>
      <c r="X1" s="157" t="s">
        <v>928</v>
      </c>
      <c r="Y1" s="157" t="s">
        <v>929</v>
      </c>
      <c r="Z1" s="157" t="s">
        <v>930</v>
      </c>
      <c r="AA1" s="157" t="s">
        <v>931</v>
      </c>
      <c r="AB1" s="157" t="s">
        <v>932</v>
      </c>
      <c r="AC1" s="157" t="s">
        <v>933</v>
      </c>
      <c r="AD1" s="157" t="s">
        <v>933</v>
      </c>
      <c r="AE1" s="157" t="s">
        <v>973</v>
      </c>
      <c r="AF1" s="157" t="s">
        <v>974</v>
      </c>
      <c r="AG1" s="157" t="s">
        <v>975</v>
      </c>
      <c r="AH1" s="157" t="s">
        <v>976</v>
      </c>
      <c r="AI1" s="157" t="s">
        <v>977</v>
      </c>
      <c r="AJ1" s="158" t="s">
        <v>934</v>
      </c>
      <c r="AK1" s="155" t="s">
        <v>935</v>
      </c>
      <c r="AL1" s="155" t="s">
        <v>172</v>
      </c>
    </row>
    <row r="2" spans="1:38" x14ac:dyDescent="0.2">
      <c r="A2" s="155">
        <f t="shared" ref="A2:AJ2" si="0">SUBTOTAL(3,A4:A91)</f>
        <v>82</v>
      </c>
      <c r="B2" s="155">
        <f t="shared" si="0"/>
        <v>82</v>
      </c>
      <c r="C2" s="155">
        <f t="shared" si="0"/>
        <v>82</v>
      </c>
      <c r="D2" s="155">
        <f t="shared" si="0"/>
        <v>82</v>
      </c>
      <c r="E2" s="155">
        <f t="shared" ref="E2:F2" si="1">SUBTOTAL(3,E4:E91)</f>
        <v>5</v>
      </c>
      <c r="F2" s="155">
        <f t="shared" si="1"/>
        <v>5</v>
      </c>
      <c r="G2" s="155">
        <f t="shared" si="0"/>
        <v>82</v>
      </c>
      <c r="H2" s="155">
        <f t="shared" si="0"/>
        <v>82</v>
      </c>
      <c r="I2" s="155">
        <f t="shared" si="0"/>
        <v>82</v>
      </c>
      <c r="J2" s="155">
        <f t="shared" si="0"/>
        <v>82</v>
      </c>
      <c r="K2" s="155">
        <v>82</v>
      </c>
      <c r="L2" s="155">
        <f t="shared" si="0"/>
        <v>82</v>
      </c>
      <c r="M2" s="155">
        <f t="shared" si="0"/>
        <v>82</v>
      </c>
      <c r="N2" s="155">
        <f t="shared" si="0"/>
        <v>82</v>
      </c>
      <c r="O2" s="155">
        <f t="shared" si="0"/>
        <v>82</v>
      </c>
      <c r="P2" s="155">
        <f t="shared" si="0"/>
        <v>82</v>
      </c>
      <c r="Q2" s="155">
        <f t="shared" si="0"/>
        <v>82</v>
      </c>
      <c r="R2" s="155">
        <f t="shared" si="0"/>
        <v>82</v>
      </c>
      <c r="S2" s="155">
        <f t="shared" si="0"/>
        <v>82</v>
      </c>
      <c r="T2" s="155">
        <f t="shared" si="0"/>
        <v>82</v>
      </c>
      <c r="U2" s="155">
        <f t="shared" si="0"/>
        <v>82</v>
      </c>
      <c r="V2" s="155">
        <f t="shared" si="0"/>
        <v>82</v>
      </c>
      <c r="W2" s="155">
        <f t="shared" si="0"/>
        <v>82</v>
      </c>
      <c r="X2" s="155">
        <f t="shared" si="0"/>
        <v>82</v>
      </c>
      <c r="Y2" s="155">
        <f t="shared" si="0"/>
        <v>82</v>
      </c>
      <c r="Z2" s="155">
        <f t="shared" si="0"/>
        <v>82</v>
      </c>
      <c r="AA2" s="155">
        <f t="shared" si="0"/>
        <v>82</v>
      </c>
      <c r="AB2" s="155">
        <f t="shared" si="0"/>
        <v>82</v>
      </c>
      <c r="AC2" s="155">
        <f t="shared" si="0"/>
        <v>82</v>
      </c>
      <c r="AD2" s="155">
        <f t="shared" si="0"/>
        <v>82</v>
      </c>
      <c r="AE2" s="155">
        <f t="shared" ref="AE2:AH2" si="2">SUBTOTAL(3,AE4:AE91)</f>
        <v>82</v>
      </c>
      <c r="AF2" s="155">
        <f t="shared" si="2"/>
        <v>82</v>
      </c>
      <c r="AG2" s="155">
        <f t="shared" si="2"/>
        <v>82</v>
      </c>
      <c r="AH2" s="155">
        <f t="shared" si="2"/>
        <v>82</v>
      </c>
      <c r="AI2" s="155">
        <f t="shared" ref="AI2" si="3">SUBTOTAL(3,AI4:AI91)</f>
        <v>82</v>
      </c>
      <c r="AJ2" s="155">
        <f t="shared" ca="1" si="0"/>
        <v>82</v>
      </c>
      <c r="AK2" s="160">
        <f>SUBTOTAL(9,AK4:AK90)</f>
        <v>2205675000</v>
      </c>
      <c r="AL2" s="155">
        <f t="shared" ref="AL2" si="4">SUBTOTAL(3,AL4:AL91)</f>
        <v>82</v>
      </c>
    </row>
    <row r="3" spans="1:38" x14ac:dyDescent="0.2">
      <c r="A3" s="161" t="s">
        <v>0</v>
      </c>
      <c r="B3" s="161" t="s">
        <v>0</v>
      </c>
      <c r="C3" s="161" t="s">
        <v>0</v>
      </c>
      <c r="D3" s="161" t="s">
        <v>0</v>
      </c>
      <c r="E3" s="161" t="s">
        <v>0</v>
      </c>
      <c r="F3" s="161" t="s">
        <v>0</v>
      </c>
      <c r="G3" s="161" t="s">
        <v>0</v>
      </c>
      <c r="H3" s="161" t="s">
        <v>0</v>
      </c>
      <c r="I3" s="161" t="s">
        <v>0</v>
      </c>
      <c r="J3" s="161" t="s">
        <v>0</v>
      </c>
      <c r="K3" s="161" t="s">
        <v>0</v>
      </c>
      <c r="L3" s="161" t="s">
        <v>0</v>
      </c>
      <c r="M3" s="161" t="s">
        <v>0</v>
      </c>
      <c r="N3" s="161" t="s">
        <v>0</v>
      </c>
      <c r="O3" s="161" t="s">
        <v>0</v>
      </c>
      <c r="P3" s="161" t="s">
        <v>0</v>
      </c>
      <c r="Q3" s="161" t="s">
        <v>0</v>
      </c>
      <c r="R3" s="161" t="s">
        <v>0</v>
      </c>
      <c r="S3" s="161" t="s">
        <v>0</v>
      </c>
      <c r="T3" s="161" t="s">
        <v>0</v>
      </c>
      <c r="U3" s="161" t="s">
        <v>0</v>
      </c>
      <c r="V3" s="161" t="s">
        <v>0</v>
      </c>
      <c r="W3" s="161" t="s">
        <v>0</v>
      </c>
      <c r="X3" s="161" t="s">
        <v>0</v>
      </c>
      <c r="Y3" s="161" t="s">
        <v>0</v>
      </c>
      <c r="Z3" s="161" t="s">
        <v>0</v>
      </c>
      <c r="AA3" s="161" t="s">
        <v>0</v>
      </c>
      <c r="AB3" s="161" t="s">
        <v>0</v>
      </c>
      <c r="AC3" s="161" t="s">
        <v>0</v>
      </c>
      <c r="AD3" s="161" t="s">
        <v>0</v>
      </c>
      <c r="AE3" s="161" t="s">
        <v>0</v>
      </c>
      <c r="AF3" s="161" t="s">
        <v>0</v>
      </c>
      <c r="AG3" s="161" t="s">
        <v>0</v>
      </c>
      <c r="AH3" s="161" t="s">
        <v>0</v>
      </c>
      <c r="AI3" s="161" t="s">
        <v>0</v>
      </c>
      <c r="AJ3" s="161" t="s">
        <v>0</v>
      </c>
      <c r="AK3" s="161" t="s">
        <v>0</v>
      </c>
      <c r="AL3" s="161" t="s">
        <v>0</v>
      </c>
    </row>
    <row r="4" spans="1:38" x14ac:dyDescent="0.2">
      <c r="A4" s="162">
        <v>1</v>
      </c>
      <c r="B4" s="267" t="s">
        <v>14</v>
      </c>
      <c r="C4" s="163" t="s">
        <v>15</v>
      </c>
      <c r="D4" s="164">
        <v>6500000</v>
      </c>
      <c r="E4" s="164">
        <v>7000000</v>
      </c>
      <c r="F4" s="166">
        <v>46351</v>
      </c>
      <c r="G4" s="164" t="s">
        <v>84</v>
      </c>
      <c r="H4" s="164" t="s">
        <v>83</v>
      </c>
      <c r="I4" s="164" t="s">
        <v>85</v>
      </c>
      <c r="J4" s="164" t="s">
        <v>69</v>
      </c>
      <c r="K4" s="165" t="s">
        <v>77</v>
      </c>
      <c r="L4" s="166">
        <v>44593</v>
      </c>
      <c r="M4" s="167">
        <f>EDATE(L4,3)</f>
        <v>44682</v>
      </c>
      <c r="N4" s="167">
        <f t="shared" ref="N4:AI6" si="5">EDATE(M4,3)</f>
        <v>44774</v>
      </c>
      <c r="O4" s="167">
        <f t="shared" si="5"/>
        <v>44866</v>
      </c>
      <c r="P4" s="167">
        <f t="shared" si="5"/>
        <v>44958</v>
      </c>
      <c r="Q4" s="167">
        <f t="shared" si="5"/>
        <v>45047</v>
      </c>
      <c r="R4" s="167">
        <f t="shared" si="5"/>
        <v>45139</v>
      </c>
      <c r="S4" s="167">
        <f t="shared" si="5"/>
        <v>45231</v>
      </c>
      <c r="T4" s="167">
        <f t="shared" si="5"/>
        <v>45323</v>
      </c>
      <c r="U4" s="167">
        <f t="shared" si="5"/>
        <v>45413</v>
      </c>
      <c r="V4" s="167">
        <f t="shared" si="5"/>
        <v>45505</v>
      </c>
      <c r="W4" s="167">
        <f t="shared" si="5"/>
        <v>45597</v>
      </c>
      <c r="X4" s="167">
        <f t="shared" si="5"/>
        <v>45689</v>
      </c>
      <c r="Y4" s="167">
        <f t="shared" si="5"/>
        <v>45778</v>
      </c>
      <c r="Z4" s="167">
        <f t="shared" si="5"/>
        <v>45870</v>
      </c>
      <c r="AA4" s="167">
        <f t="shared" si="5"/>
        <v>45962</v>
      </c>
      <c r="AB4" s="167">
        <f t="shared" ref="AB4:AI4" si="6">EDATE(AA4,3)</f>
        <v>46054</v>
      </c>
      <c r="AC4" s="167">
        <f t="shared" si="6"/>
        <v>46143</v>
      </c>
      <c r="AD4" s="167">
        <f t="shared" si="6"/>
        <v>46235</v>
      </c>
      <c r="AE4" s="167">
        <f t="shared" si="6"/>
        <v>46327</v>
      </c>
      <c r="AF4" s="167">
        <f>EDATE(AE4,3)</f>
        <v>46419</v>
      </c>
      <c r="AG4" s="167">
        <f t="shared" si="6"/>
        <v>46508</v>
      </c>
      <c r="AH4" s="167">
        <f t="shared" si="6"/>
        <v>46600</v>
      </c>
      <c r="AI4" s="167">
        <f t="shared" si="6"/>
        <v>46692</v>
      </c>
      <c r="AJ4" s="169">
        <f ca="1">AC4-TODAY()</f>
        <v>-156</v>
      </c>
      <c r="AK4" s="170">
        <f>3*D4</f>
        <v>19500000</v>
      </c>
      <c r="AL4" s="162" t="s">
        <v>936</v>
      </c>
    </row>
    <row r="5" spans="1:38" x14ac:dyDescent="0.2">
      <c r="A5" s="171">
        <v>2</v>
      </c>
      <c r="B5" s="268" t="s">
        <v>19</v>
      </c>
      <c r="C5" s="163" t="s">
        <v>15</v>
      </c>
      <c r="D5" s="173">
        <v>7000000</v>
      </c>
      <c r="E5" s="164"/>
      <c r="F5" s="166"/>
      <c r="G5" s="173" t="s">
        <v>91</v>
      </c>
      <c r="H5" s="173" t="s">
        <v>89</v>
      </c>
      <c r="I5" s="173" t="s">
        <v>90</v>
      </c>
      <c r="J5" s="173" t="s">
        <v>70</v>
      </c>
      <c r="K5" s="174" t="s">
        <v>77</v>
      </c>
      <c r="L5" s="175">
        <v>44535</v>
      </c>
      <c r="M5" s="176">
        <f>EDATE(L5,3)</f>
        <v>44625</v>
      </c>
      <c r="N5" s="175">
        <f t="shared" si="5"/>
        <v>44717</v>
      </c>
      <c r="O5" s="175">
        <f t="shared" si="5"/>
        <v>44809</v>
      </c>
      <c r="P5" s="177">
        <f t="shared" si="5"/>
        <v>44900</v>
      </c>
      <c r="Q5" s="177">
        <f t="shared" si="5"/>
        <v>44990</v>
      </c>
      <c r="R5" s="177">
        <f t="shared" si="5"/>
        <v>45082</v>
      </c>
      <c r="S5" s="177">
        <f t="shared" si="5"/>
        <v>45174</v>
      </c>
      <c r="T5" s="177">
        <f>EDATE(S5,3)</f>
        <v>45265</v>
      </c>
      <c r="U5" s="177">
        <f t="shared" si="5"/>
        <v>45356</v>
      </c>
      <c r="V5" s="167">
        <f>EDATE(U5,3)</f>
        <v>45448</v>
      </c>
      <c r="W5" s="177">
        <f t="shared" si="5"/>
        <v>45540</v>
      </c>
      <c r="X5" s="177">
        <f>EDATE(W5,3)</f>
        <v>45631</v>
      </c>
      <c r="Y5" s="177">
        <f t="shared" si="5"/>
        <v>45721</v>
      </c>
      <c r="Z5" s="177">
        <f t="shared" si="5"/>
        <v>45813</v>
      </c>
      <c r="AA5" s="177">
        <f t="shared" si="5"/>
        <v>45905</v>
      </c>
      <c r="AB5" s="177">
        <f t="shared" si="5"/>
        <v>45996</v>
      </c>
      <c r="AC5" s="177">
        <f t="shared" si="5"/>
        <v>46086</v>
      </c>
      <c r="AD5" s="177">
        <f t="shared" si="5"/>
        <v>46178</v>
      </c>
      <c r="AE5" s="177">
        <f t="shared" si="5"/>
        <v>46270</v>
      </c>
      <c r="AF5" s="177">
        <f t="shared" si="5"/>
        <v>46361</v>
      </c>
      <c r="AG5" s="177">
        <f t="shared" si="5"/>
        <v>46451</v>
      </c>
      <c r="AH5" s="177">
        <f t="shared" si="5"/>
        <v>46543</v>
      </c>
      <c r="AI5" s="177">
        <f t="shared" si="5"/>
        <v>46635</v>
      </c>
      <c r="AJ5" s="179">
        <f ca="1">AD5-TODAY()</f>
        <v>-121</v>
      </c>
      <c r="AK5" s="173">
        <f>3*D5</f>
        <v>21000000</v>
      </c>
      <c r="AL5" s="171" t="s">
        <v>937</v>
      </c>
    </row>
    <row r="6" spans="1:38" x14ac:dyDescent="0.2">
      <c r="A6" s="162">
        <v>3</v>
      </c>
      <c r="B6" s="267" t="s">
        <v>29</v>
      </c>
      <c r="C6" s="163" t="s">
        <v>15</v>
      </c>
      <c r="D6" s="180">
        <v>5875000</v>
      </c>
      <c r="E6" s="164"/>
      <c r="F6" s="166"/>
      <c r="G6" s="164" t="s">
        <v>87</v>
      </c>
      <c r="H6" s="164" t="s">
        <v>86</v>
      </c>
      <c r="I6" s="164" t="s">
        <v>88</v>
      </c>
      <c r="J6" s="164" t="s">
        <v>71</v>
      </c>
      <c r="K6" s="181" t="s">
        <v>77</v>
      </c>
      <c r="L6" s="166">
        <v>44681</v>
      </c>
      <c r="M6" s="182">
        <f>EDATE(L6,3)</f>
        <v>44772</v>
      </c>
      <c r="N6" s="167">
        <f t="shared" si="5"/>
        <v>44864</v>
      </c>
      <c r="O6" s="167">
        <f t="shared" si="5"/>
        <v>44956</v>
      </c>
      <c r="P6" s="167">
        <f t="shared" si="5"/>
        <v>45046</v>
      </c>
      <c r="Q6" s="167">
        <f t="shared" si="5"/>
        <v>45137</v>
      </c>
      <c r="R6" s="167">
        <f t="shared" si="5"/>
        <v>45229</v>
      </c>
      <c r="S6" s="167">
        <f t="shared" si="5"/>
        <v>45321</v>
      </c>
      <c r="T6" s="167">
        <f>EDATE(S6,3)</f>
        <v>45412</v>
      </c>
      <c r="U6" s="167">
        <f>EDATE(T6,3)</f>
        <v>45503</v>
      </c>
      <c r="V6" s="167">
        <f>EDATE(U6,3)</f>
        <v>45595</v>
      </c>
      <c r="W6" s="167">
        <f>EDATE(V6,3)</f>
        <v>45687</v>
      </c>
      <c r="X6" s="167">
        <f>EDATE(W6,3)</f>
        <v>45777</v>
      </c>
      <c r="Y6" s="167">
        <f>EDATE(X6,3)</f>
        <v>45868</v>
      </c>
      <c r="Z6" s="167">
        <f t="shared" ref="Z6:AI6" si="7">EDATE(Y6,3)</f>
        <v>45960</v>
      </c>
      <c r="AA6" s="167">
        <f>EDATE(Z6,3)</f>
        <v>46052</v>
      </c>
      <c r="AB6" s="168">
        <f>EDATE(AA6,3)</f>
        <v>46142</v>
      </c>
      <c r="AC6" s="167">
        <f t="shared" si="7"/>
        <v>46233</v>
      </c>
      <c r="AD6" s="167">
        <f t="shared" si="7"/>
        <v>46325</v>
      </c>
      <c r="AE6" s="167">
        <f t="shared" si="7"/>
        <v>46417</v>
      </c>
      <c r="AF6" s="167">
        <f t="shared" si="7"/>
        <v>46507</v>
      </c>
      <c r="AG6" s="167">
        <f t="shared" si="7"/>
        <v>46598</v>
      </c>
      <c r="AH6" s="167">
        <f t="shared" si="7"/>
        <v>46690</v>
      </c>
      <c r="AI6" s="167">
        <f t="shared" si="7"/>
        <v>46782</v>
      </c>
      <c r="AJ6" s="169">
        <f ca="1">AB6-TODAY()</f>
        <v>-157</v>
      </c>
      <c r="AK6" s="170">
        <f>3*D6</f>
        <v>17625000</v>
      </c>
      <c r="AL6" s="162" t="s">
        <v>938</v>
      </c>
    </row>
    <row r="7" spans="1:38" x14ac:dyDescent="0.2">
      <c r="A7" s="171">
        <v>4</v>
      </c>
      <c r="B7" s="171" t="s">
        <v>971</v>
      </c>
      <c r="C7" s="163" t="s">
        <v>32</v>
      </c>
      <c r="D7" s="173">
        <v>4000000</v>
      </c>
      <c r="E7" s="164"/>
      <c r="F7" s="166"/>
      <c r="G7" s="173" t="s">
        <v>113</v>
      </c>
      <c r="H7" s="173" t="s">
        <v>112</v>
      </c>
      <c r="I7" s="173" t="s">
        <v>114</v>
      </c>
      <c r="J7" s="173" t="s">
        <v>72</v>
      </c>
      <c r="K7" s="183" t="s">
        <v>79</v>
      </c>
      <c r="L7" s="175">
        <v>44652</v>
      </c>
      <c r="M7" s="176">
        <f t="shared" ref="M7:R7" si="8">EDATE(L7,6)</f>
        <v>44835</v>
      </c>
      <c r="N7" s="176">
        <f t="shared" si="8"/>
        <v>45017</v>
      </c>
      <c r="O7" s="177">
        <f t="shared" si="8"/>
        <v>45200</v>
      </c>
      <c r="P7" s="176">
        <f t="shared" si="8"/>
        <v>45383</v>
      </c>
      <c r="Q7" s="176">
        <f t="shared" si="8"/>
        <v>45566</v>
      </c>
      <c r="R7" s="176">
        <f t="shared" si="8"/>
        <v>45748</v>
      </c>
      <c r="S7" s="176">
        <f>EDATE(R7,6)</f>
        <v>45931</v>
      </c>
      <c r="T7" s="176">
        <f>EDATE(S7,6)</f>
        <v>46113</v>
      </c>
      <c r="U7" s="176">
        <f t="shared" ref="U7:AI7" si="9">EDATE(T7,6)</f>
        <v>46296</v>
      </c>
      <c r="V7" s="176">
        <f t="shared" si="9"/>
        <v>46478</v>
      </c>
      <c r="W7" s="176">
        <f t="shared" si="9"/>
        <v>46661</v>
      </c>
      <c r="X7" s="176">
        <f t="shared" si="9"/>
        <v>46844</v>
      </c>
      <c r="Y7" s="176">
        <f t="shared" si="9"/>
        <v>47027</v>
      </c>
      <c r="Z7" s="176">
        <f t="shared" si="9"/>
        <v>47209</v>
      </c>
      <c r="AA7" s="176">
        <f t="shared" si="9"/>
        <v>47392</v>
      </c>
      <c r="AB7" s="176">
        <f t="shared" si="9"/>
        <v>47574</v>
      </c>
      <c r="AC7" s="176">
        <f t="shared" si="9"/>
        <v>47757</v>
      </c>
      <c r="AD7" s="176">
        <f t="shared" si="9"/>
        <v>47939</v>
      </c>
      <c r="AE7" s="176">
        <f t="shared" si="9"/>
        <v>48122</v>
      </c>
      <c r="AF7" s="176">
        <f t="shared" si="9"/>
        <v>48305</v>
      </c>
      <c r="AG7" s="176">
        <f t="shared" si="9"/>
        <v>48488</v>
      </c>
      <c r="AH7" s="176">
        <f t="shared" si="9"/>
        <v>48670</v>
      </c>
      <c r="AI7" s="176">
        <f t="shared" si="9"/>
        <v>48853</v>
      </c>
      <c r="AJ7" s="179">
        <f ca="1">T7-TODAY()</f>
        <v>-186</v>
      </c>
      <c r="AK7" s="173">
        <f>6*D7</f>
        <v>24000000</v>
      </c>
      <c r="AL7" s="171" t="s">
        <v>939</v>
      </c>
    </row>
    <row r="8" spans="1:38" x14ac:dyDescent="0.2">
      <c r="A8" s="162">
        <v>5</v>
      </c>
      <c r="B8" s="184" t="s">
        <v>97</v>
      </c>
      <c r="C8" s="163" t="s">
        <v>15</v>
      </c>
      <c r="D8" s="164">
        <v>4750000</v>
      </c>
      <c r="E8" s="164"/>
      <c r="F8" s="166"/>
      <c r="G8" s="164" t="s">
        <v>101</v>
      </c>
      <c r="H8" s="164" t="s">
        <v>99</v>
      </c>
      <c r="I8" s="164" t="s">
        <v>102</v>
      </c>
      <c r="J8" s="164" t="s">
        <v>103</v>
      </c>
      <c r="K8" s="165" t="s">
        <v>77</v>
      </c>
      <c r="L8" s="166">
        <v>44713</v>
      </c>
      <c r="M8" s="166">
        <f>L8+90+2</f>
        <v>44805</v>
      </c>
      <c r="N8" s="166">
        <f t="shared" ref="N8:T14" si="10">EDATE(M8,3)</f>
        <v>44896</v>
      </c>
      <c r="O8" s="166">
        <f t="shared" si="10"/>
        <v>44986</v>
      </c>
      <c r="P8" s="167">
        <f t="shared" si="10"/>
        <v>45078</v>
      </c>
      <c r="Q8" s="166">
        <f>EDATE(P8,3)</f>
        <v>45170</v>
      </c>
      <c r="R8" s="167">
        <f>EDATE(Q8,3)</f>
        <v>45261</v>
      </c>
      <c r="S8" s="166">
        <f t="shared" ref="Q8:AI14" si="11">EDATE(R8,3)</f>
        <v>45352</v>
      </c>
      <c r="T8" s="167">
        <f t="shared" si="11"/>
        <v>45444</v>
      </c>
      <c r="U8" s="166">
        <f t="shared" si="11"/>
        <v>45536</v>
      </c>
      <c r="V8" s="166">
        <f t="shared" si="11"/>
        <v>45627</v>
      </c>
      <c r="W8" s="166">
        <f t="shared" si="11"/>
        <v>45717</v>
      </c>
      <c r="X8" s="166">
        <f t="shared" si="11"/>
        <v>45809</v>
      </c>
      <c r="Y8" s="166">
        <f t="shared" si="11"/>
        <v>45901</v>
      </c>
      <c r="Z8" s="166">
        <f>EDATE(Y8,3)</f>
        <v>45992</v>
      </c>
      <c r="AA8" s="185">
        <f>EDATE(Z8,3)</f>
        <v>46082</v>
      </c>
      <c r="AB8" s="166">
        <f>EDATE(AA8,3)-1</f>
        <v>46173</v>
      </c>
      <c r="AC8" s="166">
        <f t="shared" ref="AB8:AI9" si="12">EDATE(AB8,3)</f>
        <v>46265</v>
      </c>
      <c r="AD8" s="166">
        <f t="shared" si="12"/>
        <v>46356</v>
      </c>
      <c r="AE8" s="166">
        <f t="shared" si="12"/>
        <v>46446</v>
      </c>
      <c r="AF8" s="166">
        <f t="shared" si="12"/>
        <v>46535</v>
      </c>
      <c r="AG8" s="166">
        <f t="shared" si="12"/>
        <v>46627</v>
      </c>
      <c r="AH8" s="166">
        <f t="shared" si="12"/>
        <v>46719</v>
      </c>
      <c r="AI8" s="166">
        <f t="shared" si="12"/>
        <v>46811</v>
      </c>
      <c r="AJ8" s="186">
        <f ca="1">AB8-TODAY()</f>
        <v>-126</v>
      </c>
      <c r="AK8" s="164">
        <f>3*D8</f>
        <v>14250000</v>
      </c>
      <c r="AL8" s="162" t="s">
        <v>938</v>
      </c>
    </row>
    <row r="9" spans="1:38" x14ac:dyDescent="0.2">
      <c r="A9" s="171">
        <v>6</v>
      </c>
      <c r="B9" s="269" t="s">
        <v>251</v>
      </c>
      <c r="C9" s="163" t="s">
        <v>107</v>
      </c>
      <c r="D9" s="164">
        <v>8300000</v>
      </c>
      <c r="E9" s="164"/>
      <c r="F9" s="166"/>
      <c r="G9" s="164" t="s">
        <v>131</v>
      </c>
      <c r="H9" s="164" t="s">
        <v>130</v>
      </c>
      <c r="I9" s="164" t="s">
        <v>102</v>
      </c>
      <c r="J9" s="164" t="s">
        <v>132</v>
      </c>
      <c r="K9" s="165" t="s">
        <v>77</v>
      </c>
      <c r="L9" s="167">
        <v>44696</v>
      </c>
      <c r="M9" s="167">
        <f>EDATE(L9,3)</f>
        <v>44788</v>
      </c>
      <c r="N9" s="167">
        <f t="shared" si="10"/>
        <v>44880</v>
      </c>
      <c r="O9" s="167">
        <f t="shared" si="10"/>
        <v>44972</v>
      </c>
      <c r="P9" s="167">
        <f t="shared" si="10"/>
        <v>45061</v>
      </c>
      <c r="Q9" s="167">
        <f t="shared" si="11"/>
        <v>45153</v>
      </c>
      <c r="R9" s="167">
        <f t="shared" si="10"/>
        <v>45245</v>
      </c>
      <c r="S9" s="167">
        <f>EDATE(R9,3)</f>
        <v>45337</v>
      </c>
      <c r="T9" s="167">
        <f t="shared" si="10"/>
        <v>45427</v>
      </c>
      <c r="U9" s="167">
        <f>EDATE(T9,3)</f>
        <v>45519</v>
      </c>
      <c r="V9" s="167">
        <f t="shared" si="11"/>
        <v>45611</v>
      </c>
      <c r="W9" s="167">
        <f>EDATE(V9,3)</f>
        <v>45703</v>
      </c>
      <c r="X9" s="167">
        <f t="shared" si="11"/>
        <v>45792</v>
      </c>
      <c r="Y9" s="167">
        <f t="shared" si="11"/>
        <v>45884</v>
      </c>
      <c r="Z9" s="167">
        <f>EDATE(Y9,3)</f>
        <v>45976</v>
      </c>
      <c r="AA9" s="167">
        <f>EDATE(Z9,3)</f>
        <v>46068</v>
      </c>
      <c r="AB9" s="168">
        <f t="shared" si="12"/>
        <v>46157</v>
      </c>
      <c r="AC9" s="167">
        <f t="shared" si="12"/>
        <v>46249</v>
      </c>
      <c r="AD9" s="167">
        <f t="shared" si="12"/>
        <v>46341</v>
      </c>
      <c r="AE9" s="167">
        <f t="shared" si="12"/>
        <v>46433</v>
      </c>
      <c r="AF9" s="167">
        <f t="shared" si="12"/>
        <v>46522</v>
      </c>
      <c r="AG9" s="167">
        <f t="shared" si="12"/>
        <v>46614</v>
      </c>
      <c r="AH9" s="167">
        <f t="shared" si="12"/>
        <v>46706</v>
      </c>
      <c r="AI9" s="167">
        <f t="shared" si="12"/>
        <v>46798</v>
      </c>
      <c r="AJ9" s="169">
        <f ca="1">AB9-TODAY()</f>
        <v>-142</v>
      </c>
      <c r="AK9" s="164">
        <f>3*D9</f>
        <v>24900000</v>
      </c>
      <c r="AL9" s="162" t="s">
        <v>940</v>
      </c>
    </row>
    <row r="10" spans="1:38" x14ac:dyDescent="0.2">
      <c r="A10" s="162">
        <v>7</v>
      </c>
      <c r="B10" s="162" t="s">
        <v>254</v>
      </c>
      <c r="C10" s="163" t="s">
        <v>117</v>
      </c>
      <c r="D10" s="164">
        <v>6000000</v>
      </c>
      <c r="E10" s="164"/>
      <c r="F10" s="166"/>
      <c r="G10" s="164" t="s">
        <v>119</v>
      </c>
      <c r="H10" s="164" t="s">
        <v>120</v>
      </c>
      <c r="I10" s="164" t="s">
        <v>121</v>
      </c>
      <c r="J10" s="164" t="s">
        <v>122</v>
      </c>
      <c r="K10" s="165" t="s">
        <v>77</v>
      </c>
      <c r="L10" s="167">
        <v>44652</v>
      </c>
      <c r="M10" s="182">
        <f>EDATE(L10,3)</f>
        <v>44743</v>
      </c>
      <c r="N10" s="167">
        <f t="shared" si="10"/>
        <v>44835</v>
      </c>
      <c r="O10" s="167">
        <f t="shared" si="10"/>
        <v>44927</v>
      </c>
      <c r="P10" s="167">
        <f t="shared" si="10"/>
        <v>45017</v>
      </c>
      <c r="Q10" s="167">
        <f t="shared" si="11"/>
        <v>45108</v>
      </c>
      <c r="R10" s="167">
        <f>EDATE(Q10,3)</f>
        <v>45200</v>
      </c>
      <c r="S10" s="167">
        <f>EDATE(R10,3)</f>
        <v>45292</v>
      </c>
      <c r="T10" s="167">
        <f>EDATE(S10,3)</f>
        <v>45383</v>
      </c>
      <c r="U10" s="167">
        <f>EDATE(T10,3)</f>
        <v>45474</v>
      </c>
      <c r="V10" s="167">
        <f>EDATE(U10,3)</f>
        <v>45566</v>
      </c>
      <c r="W10" s="167">
        <f>EDATE(V10,3)</f>
        <v>45658</v>
      </c>
      <c r="X10" s="167">
        <f t="shared" si="11"/>
        <v>45748</v>
      </c>
      <c r="Y10" s="167">
        <f t="shared" si="11"/>
        <v>45839</v>
      </c>
      <c r="Z10" s="167">
        <f t="shared" si="11"/>
        <v>45931</v>
      </c>
      <c r="AA10" s="167">
        <f>EDATE(Z10,3)</f>
        <v>46023</v>
      </c>
      <c r="AB10" s="168">
        <f>EDATE(AA10,3)</f>
        <v>46113</v>
      </c>
      <c r="AC10" s="167">
        <f t="shared" si="11"/>
        <v>46204</v>
      </c>
      <c r="AD10" s="167">
        <f t="shared" si="11"/>
        <v>46296</v>
      </c>
      <c r="AE10" s="167">
        <f t="shared" si="11"/>
        <v>46388</v>
      </c>
      <c r="AF10" s="167">
        <f t="shared" si="11"/>
        <v>46478</v>
      </c>
      <c r="AG10" s="167">
        <f t="shared" si="11"/>
        <v>46569</v>
      </c>
      <c r="AH10" s="167">
        <f t="shared" si="11"/>
        <v>46661</v>
      </c>
      <c r="AI10" s="167">
        <f t="shared" si="11"/>
        <v>46753</v>
      </c>
      <c r="AJ10" s="169">
        <f ca="1">AB10-TODAY()</f>
        <v>-186</v>
      </c>
      <c r="AK10" s="164">
        <f>D10*3</f>
        <v>18000000</v>
      </c>
      <c r="AL10" s="162" t="s">
        <v>938</v>
      </c>
    </row>
    <row r="11" spans="1:38" x14ac:dyDescent="0.2">
      <c r="A11" s="171">
        <v>8</v>
      </c>
      <c r="B11" s="162" t="s">
        <v>30</v>
      </c>
      <c r="C11" s="163" t="s">
        <v>32</v>
      </c>
      <c r="D11" s="164">
        <v>7000000</v>
      </c>
      <c r="E11" s="164"/>
      <c r="F11" s="166"/>
      <c r="G11" s="164" t="s">
        <v>151</v>
      </c>
      <c r="H11" s="164" t="s">
        <v>152</v>
      </c>
      <c r="I11" s="164" t="s">
        <v>153</v>
      </c>
      <c r="J11" s="164" t="s">
        <v>154</v>
      </c>
      <c r="K11" s="165" t="s">
        <v>77</v>
      </c>
      <c r="L11" s="167">
        <v>44645</v>
      </c>
      <c r="M11" s="182">
        <f>EDATE(L11,3)</f>
        <v>44737</v>
      </c>
      <c r="N11" s="167">
        <f t="shared" si="10"/>
        <v>44829</v>
      </c>
      <c r="O11" s="167">
        <f t="shared" si="10"/>
        <v>44920</v>
      </c>
      <c r="P11" s="167">
        <f t="shared" si="10"/>
        <v>45010</v>
      </c>
      <c r="Q11" s="167">
        <f t="shared" si="11"/>
        <v>45102</v>
      </c>
      <c r="R11" s="167">
        <f>EDATE(Q11,3)</f>
        <v>45194</v>
      </c>
      <c r="S11" s="167">
        <f t="shared" si="11"/>
        <v>45285</v>
      </c>
      <c r="T11" s="167">
        <f t="shared" si="11"/>
        <v>45376</v>
      </c>
      <c r="U11" s="167">
        <f t="shared" si="11"/>
        <v>45468</v>
      </c>
      <c r="V11" s="167">
        <f t="shared" si="11"/>
        <v>45560</v>
      </c>
      <c r="W11" s="167">
        <f t="shared" si="11"/>
        <v>45651</v>
      </c>
      <c r="X11" s="167">
        <f t="shared" si="11"/>
        <v>45741</v>
      </c>
      <c r="Y11" s="167">
        <f t="shared" si="11"/>
        <v>45833</v>
      </c>
      <c r="Z11" s="167">
        <f t="shared" si="11"/>
        <v>45925</v>
      </c>
      <c r="AA11" s="167">
        <f t="shared" si="11"/>
        <v>46016</v>
      </c>
      <c r="AB11" s="168">
        <f t="shared" si="11"/>
        <v>46106</v>
      </c>
      <c r="AC11" s="167">
        <f t="shared" si="11"/>
        <v>46198</v>
      </c>
      <c r="AD11" s="167">
        <f t="shared" si="11"/>
        <v>46290</v>
      </c>
      <c r="AE11" s="167">
        <f t="shared" si="11"/>
        <v>46381</v>
      </c>
      <c r="AF11" s="167">
        <f t="shared" si="11"/>
        <v>46471</v>
      </c>
      <c r="AG11" s="167">
        <f t="shared" si="11"/>
        <v>46563</v>
      </c>
      <c r="AH11" s="167">
        <f t="shared" si="11"/>
        <v>46655</v>
      </c>
      <c r="AI11" s="167">
        <f t="shared" si="11"/>
        <v>46746</v>
      </c>
      <c r="AJ11" s="169">
        <f ca="1">AB11-TODAY()</f>
        <v>-193</v>
      </c>
      <c r="AK11" s="187">
        <f>D11*3</f>
        <v>21000000</v>
      </c>
      <c r="AL11" s="163" t="s">
        <v>938</v>
      </c>
    </row>
    <row r="12" spans="1:38" x14ac:dyDescent="0.2">
      <c r="A12" s="162">
        <v>9</v>
      </c>
      <c r="B12" s="162" t="s">
        <v>155</v>
      </c>
      <c r="C12" s="163" t="s">
        <v>156</v>
      </c>
      <c r="D12" s="164">
        <v>6500000</v>
      </c>
      <c r="E12" s="164"/>
      <c r="F12" s="166"/>
      <c r="G12" s="164" t="s">
        <v>159</v>
      </c>
      <c r="H12" s="164" t="s">
        <v>160</v>
      </c>
      <c r="I12" s="164" t="s">
        <v>153</v>
      </c>
      <c r="J12" s="164" t="s">
        <v>161</v>
      </c>
      <c r="K12" s="165" t="s">
        <v>77</v>
      </c>
      <c r="L12" s="167">
        <v>44743</v>
      </c>
      <c r="M12" s="182">
        <f>EDATE(L12,3)</f>
        <v>44835</v>
      </c>
      <c r="N12" s="167">
        <f t="shared" si="10"/>
        <v>44927</v>
      </c>
      <c r="O12" s="167">
        <f t="shared" si="10"/>
        <v>45017</v>
      </c>
      <c r="P12" s="167">
        <f t="shared" si="10"/>
        <v>45108</v>
      </c>
      <c r="Q12" s="167">
        <f t="shared" si="11"/>
        <v>45200</v>
      </c>
      <c r="R12" s="167">
        <f>EDATE(Q12,3)</f>
        <v>45292</v>
      </c>
      <c r="S12" s="167">
        <f t="shared" si="11"/>
        <v>45383</v>
      </c>
      <c r="T12" s="167">
        <f t="shared" si="11"/>
        <v>45474</v>
      </c>
      <c r="U12" s="167">
        <f>EDATE(T12,3)</f>
        <v>45566</v>
      </c>
      <c r="V12" s="167">
        <f t="shared" si="11"/>
        <v>45658</v>
      </c>
      <c r="W12" s="167">
        <f>EDATE(V12,3)</f>
        <v>45748</v>
      </c>
      <c r="X12" s="167">
        <f>EDATE(W12,3)</f>
        <v>45839</v>
      </c>
      <c r="Y12" s="167">
        <f t="shared" si="11"/>
        <v>45931</v>
      </c>
      <c r="Z12" s="167">
        <f>EDATE(Y12,3)</f>
        <v>46023</v>
      </c>
      <c r="AA12" s="168">
        <f>EDATE(Z12,3)</f>
        <v>46113</v>
      </c>
      <c r="AB12" s="167">
        <f t="shared" si="11"/>
        <v>46204</v>
      </c>
      <c r="AC12" s="167">
        <f t="shared" si="11"/>
        <v>46296</v>
      </c>
      <c r="AD12" s="167">
        <f t="shared" si="11"/>
        <v>46388</v>
      </c>
      <c r="AE12" s="167">
        <f t="shared" si="11"/>
        <v>46478</v>
      </c>
      <c r="AF12" s="167">
        <f t="shared" si="11"/>
        <v>46569</v>
      </c>
      <c r="AG12" s="167">
        <f t="shared" si="11"/>
        <v>46661</v>
      </c>
      <c r="AH12" s="167">
        <f t="shared" si="11"/>
        <v>46753</v>
      </c>
      <c r="AI12" s="167">
        <f t="shared" si="11"/>
        <v>46844</v>
      </c>
      <c r="AJ12" s="169">
        <f ca="1">AA12-TODAY()</f>
        <v>-186</v>
      </c>
      <c r="AK12" s="164">
        <f>3*D12</f>
        <v>19500000</v>
      </c>
      <c r="AL12" s="162" t="s">
        <v>941</v>
      </c>
    </row>
    <row r="13" spans="1:38" x14ac:dyDescent="0.2">
      <c r="A13" s="171">
        <v>10</v>
      </c>
      <c r="B13" s="162" t="s">
        <v>257</v>
      </c>
      <c r="C13" s="163" t="s">
        <v>66</v>
      </c>
      <c r="D13" s="164">
        <v>7000000</v>
      </c>
      <c r="E13" s="164"/>
      <c r="F13" s="166"/>
      <c r="G13" s="188" t="s">
        <v>942</v>
      </c>
      <c r="H13" s="164" t="s">
        <v>169</v>
      </c>
      <c r="I13" s="189" t="s">
        <v>700</v>
      </c>
      <c r="J13" s="164" t="s">
        <v>171</v>
      </c>
      <c r="K13" s="165" t="s">
        <v>77</v>
      </c>
      <c r="L13" s="167">
        <v>44653</v>
      </c>
      <c r="M13" s="182">
        <f>EDATE(L13,3)</f>
        <v>44744</v>
      </c>
      <c r="N13" s="167">
        <f t="shared" si="10"/>
        <v>44836</v>
      </c>
      <c r="O13" s="167">
        <f t="shared" si="10"/>
        <v>44928</v>
      </c>
      <c r="P13" s="167">
        <f t="shared" si="10"/>
        <v>45018</v>
      </c>
      <c r="Q13" s="167">
        <f>EDATE(P13,3)</f>
        <v>45109</v>
      </c>
      <c r="R13" s="167">
        <f>EDATE(Q13,3)</f>
        <v>45201</v>
      </c>
      <c r="S13" s="167">
        <f t="shared" si="11"/>
        <v>45293</v>
      </c>
      <c r="T13" s="167">
        <f t="shared" si="11"/>
        <v>45384</v>
      </c>
      <c r="U13" s="167">
        <f>EDATE(T13,3)</f>
        <v>45475</v>
      </c>
      <c r="V13" s="167">
        <f>EDATE(U13,3)</f>
        <v>45567</v>
      </c>
      <c r="W13" s="167">
        <f>EDATE(V13,3)</f>
        <v>45659</v>
      </c>
      <c r="X13" s="167">
        <f>EDATE(W13,3)</f>
        <v>45749</v>
      </c>
      <c r="Y13" s="167">
        <f>EDATE(X13,3)</f>
        <v>45840</v>
      </c>
      <c r="Z13" s="167">
        <f>EDATE(Y13,3)</f>
        <v>45932</v>
      </c>
      <c r="AA13" s="167">
        <f>EDATE(Z13,3)</f>
        <v>46024</v>
      </c>
      <c r="AB13" s="168">
        <f t="shared" ref="AB13:AI13" si="13">EDATE(AA13,3)</f>
        <v>46114</v>
      </c>
      <c r="AC13" s="167">
        <f t="shared" si="13"/>
        <v>46205</v>
      </c>
      <c r="AD13" s="167">
        <f t="shared" si="13"/>
        <v>46297</v>
      </c>
      <c r="AE13" s="167">
        <f t="shared" si="13"/>
        <v>46389</v>
      </c>
      <c r="AF13" s="167">
        <f t="shared" si="13"/>
        <v>46479</v>
      </c>
      <c r="AG13" s="167">
        <f t="shared" si="13"/>
        <v>46570</v>
      </c>
      <c r="AH13" s="167">
        <f t="shared" si="13"/>
        <v>46662</v>
      </c>
      <c r="AI13" s="167">
        <f t="shared" si="13"/>
        <v>46754</v>
      </c>
      <c r="AJ13" s="169">
        <f ca="1">AB13-TODAY()</f>
        <v>-185</v>
      </c>
      <c r="AK13" s="164">
        <f>3*7000000</f>
        <v>21000000</v>
      </c>
      <c r="AL13" s="162" t="s">
        <v>938</v>
      </c>
    </row>
    <row r="14" spans="1:38" x14ac:dyDescent="0.2">
      <c r="A14" s="162">
        <v>11</v>
      </c>
      <c r="B14" s="162" t="s">
        <v>415</v>
      </c>
      <c r="C14" s="163" t="s">
        <v>15</v>
      </c>
      <c r="D14" s="164">
        <v>6000000</v>
      </c>
      <c r="E14" s="164"/>
      <c r="F14" s="166"/>
      <c r="G14" s="164" t="s">
        <v>181</v>
      </c>
      <c r="H14" s="164" t="s">
        <v>180</v>
      </c>
      <c r="I14" s="164" t="s">
        <v>182</v>
      </c>
      <c r="J14" s="164" t="s">
        <v>183</v>
      </c>
      <c r="K14" s="165" t="s">
        <v>77</v>
      </c>
      <c r="L14" s="167">
        <v>44753</v>
      </c>
      <c r="M14" s="167">
        <f>L14+3*30+2</f>
        <v>44845</v>
      </c>
      <c r="N14" s="167">
        <f t="shared" si="10"/>
        <v>44937</v>
      </c>
      <c r="O14" s="167">
        <f t="shared" si="10"/>
        <v>45027</v>
      </c>
      <c r="P14" s="167">
        <f t="shared" si="10"/>
        <v>45118</v>
      </c>
      <c r="Q14" s="167">
        <f>EDATE(P14,3)</f>
        <v>45210</v>
      </c>
      <c r="R14" s="167">
        <f t="shared" si="10"/>
        <v>45302</v>
      </c>
      <c r="S14" s="167">
        <f t="shared" si="11"/>
        <v>45393</v>
      </c>
      <c r="T14" s="167">
        <f t="shared" si="11"/>
        <v>45484</v>
      </c>
      <c r="U14" s="167">
        <f>EDATE(T14,3)</f>
        <v>45576</v>
      </c>
      <c r="V14" s="167">
        <f>EDATE(U14,3)</f>
        <v>45668</v>
      </c>
      <c r="W14" s="167">
        <f>EDATE(V14,3)</f>
        <v>45758</v>
      </c>
      <c r="X14" s="167">
        <f t="shared" ref="X14:AI14" si="14">EDATE(W14,3)</f>
        <v>45849</v>
      </c>
      <c r="Y14" s="167">
        <f>EDATE(X14,3)</f>
        <v>45941</v>
      </c>
      <c r="Z14" s="167">
        <f>EDATE(Y14,3)</f>
        <v>46033</v>
      </c>
      <c r="AA14" s="168">
        <f t="shared" si="14"/>
        <v>46123</v>
      </c>
      <c r="AB14" s="167">
        <f t="shared" si="14"/>
        <v>46214</v>
      </c>
      <c r="AC14" s="167">
        <f t="shared" si="14"/>
        <v>46306</v>
      </c>
      <c r="AD14" s="167">
        <f t="shared" si="14"/>
        <v>46398</v>
      </c>
      <c r="AE14" s="167">
        <f t="shared" si="14"/>
        <v>46488</v>
      </c>
      <c r="AF14" s="167">
        <f t="shared" si="14"/>
        <v>46579</v>
      </c>
      <c r="AG14" s="167">
        <f t="shared" si="14"/>
        <v>46671</v>
      </c>
      <c r="AH14" s="167">
        <f t="shared" si="14"/>
        <v>46763</v>
      </c>
      <c r="AI14" s="167">
        <f t="shared" si="14"/>
        <v>46854</v>
      </c>
      <c r="AJ14" s="186">
        <f ca="1">AA14-TODAY()</f>
        <v>-176</v>
      </c>
      <c r="AK14" s="164">
        <f>3*D14</f>
        <v>18000000</v>
      </c>
      <c r="AL14" s="162" t="s">
        <v>941</v>
      </c>
    </row>
    <row r="15" spans="1:38" x14ac:dyDescent="0.2">
      <c r="A15" s="171">
        <v>12</v>
      </c>
      <c r="B15" s="162" t="s">
        <v>184</v>
      </c>
      <c r="C15" s="163" t="s">
        <v>66</v>
      </c>
      <c r="D15" s="164">
        <v>7000000</v>
      </c>
      <c r="E15" s="164"/>
      <c r="F15" s="166"/>
      <c r="G15" s="164" t="s">
        <v>304</v>
      </c>
      <c r="H15" s="164" t="s">
        <v>186</v>
      </c>
      <c r="I15" s="164" t="s">
        <v>194</v>
      </c>
      <c r="J15" s="164" t="s">
        <v>188</v>
      </c>
      <c r="K15" s="165" t="s">
        <v>79</v>
      </c>
      <c r="L15" s="167">
        <v>44793</v>
      </c>
      <c r="M15" s="167">
        <f>EDATE(L15,6)</f>
        <v>44977</v>
      </c>
      <c r="N15" s="167">
        <f>EDATE(M15,6)</f>
        <v>45158</v>
      </c>
      <c r="O15" s="166">
        <f>EDATE(N15,6)</f>
        <v>45342</v>
      </c>
      <c r="P15" s="167">
        <f>EDATE(O15,6)</f>
        <v>45524</v>
      </c>
      <c r="Q15" s="167">
        <f>EDATE(P15,6)</f>
        <v>45708</v>
      </c>
      <c r="R15" s="167">
        <f t="shared" ref="R15:AI16" si="15">EDATE(Q15,6)</f>
        <v>45889</v>
      </c>
      <c r="S15" s="167">
        <f t="shared" si="15"/>
        <v>46073</v>
      </c>
      <c r="T15" s="168">
        <f t="shared" si="15"/>
        <v>46254</v>
      </c>
      <c r="U15" s="167">
        <f t="shared" si="15"/>
        <v>46438</v>
      </c>
      <c r="V15" s="167">
        <f t="shared" si="15"/>
        <v>46619</v>
      </c>
      <c r="W15" s="167">
        <f t="shared" si="15"/>
        <v>46803</v>
      </c>
      <c r="X15" s="167">
        <f t="shared" si="15"/>
        <v>46985</v>
      </c>
      <c r="Y15" s="167">
        <f t="shared" si="15"/>
        <v>47169</v>
      </c>
      <c r="Z15" s="167">
        <f t="shared" si="15"/>
        <v>47350</v>
      </c>
      <c r="AA15" s="167">
        <f t="shared" si="15"/>
        <v>47534</v>
      </c>
      <c r="AB15" s="167">
        <f t="shared" si="15"/>
        <v>47715</v>
      </c>
      <c r="AC15" s="167">
        <f t="shared" si="15"/>
        <v>47899</v>
      </c>
      <c r="AD15" s="167">
        <f t="shared" si="15"/>
        <v>48080</v>
      </c>
      <c r="AE15" s="167">
        <f t="shared" si="15"/>
        <v>48264</v>
      </c>
      <c r="AF15" s="167">
        <f t="shared" si="15"/>
        <v>48446</v>
      </c>
      <c r="AG15" s="167">
        <f t="shared" si="15"/>
        <v>48630</v>
      </c>
      <c r="AH15" s="167">
        <f t="shared" si="15"/>
        <v>48811</v>
      </c>
      <c r="AI15" s="167">
        <f t="shared" si="15"/>
        <v>48995</v>
      </c>
      <c r="AJ15" s="186">
        <f ca="1">T15-TODAY()</f>
        <v>-45</v>
      </c>
      <c r="AK15" s="164">
        <f>6*D15</f>
        <v>42000000</v>
      </c>
      <c r="AL15" s="162" t="s">
        <v>939</v>
      </c>
    </row>
    <row r="16" spans="1:38" x14ac:dyDescent="0.2">
      <c r="A16" s="162">
        <v>13</v>
      </c>
      <c r="B16" s="162" t="s">
        <v>189</v>
      </c>
      <c r="C16" s="163" t="s">
        <v>15</v>
      </c>
      <c r="D16" s="164">
        <v>6600000</v>
      </c>
      <c r="E16" s="164"/>
      <c r="F16" s="166"/>
      <c r="G16" s="164" t="s">
        <v>192</v>
      </c>
      <c r="H16" s="164" t="s">
        <v>193</v>
      </c>
      <c r="I16" s="164" t="s">
        <v>194</v>
      </c>
      <c r="J16" s="164" t="s">
        <v>191</v>
      </c>
      <c r="K16" s="190" t="s">
        <v>79</v>
      </c>
      <c r="L16" s="167">
        <v>44706</v>
      </c>
      <c r="M16" s="167">
        <v>44890</v>
      </c>
      <c r="N16" s="166">
        <f>EDATE(M16,6)</f>
        <v>45071</v>
      </c>
      <c r="O16" s="167">
        <f>EDATE(N16,6)</f>
        <v>45255</v>
      </c>
      <c r="P16" s="167">
        <f>EDATE(O16,6)</f>
        <v>45437</v>
      </c>
      <c r="Q16" s="167">
        <f>EDATE(P16,6)</f>
        <v>45621</v>
      </c>
      <c r="R16" s="167">
        <f t="shared" si="15"/>
        <v>45802</v>
      </c>
      <c r="S16" s="168">
        <f t="shared" si="15"/>
        <v>45986</v>
      </c>
      <c r="T16" s="167">
        <f t="shared" si="15"/>
        <v>46167</v>
      </c>
      <c r="U16" s="167">
        <f t="shared" si="15"/>
        <v>46351</v>
      </c>
      <c r="V16" s="167">
        <f t="shared" si="15"/>
        <v>46532</v>
      </c>
      <c r="W16" s="167">
        <f t="shared" si="15"/>
        <v>46716</v>
      </c>
      <c r="X16" s="167">
        <f t="shared" si="15"/>
        <v>46898</v>
      </c>
      <c r="Y16" s="167">
        <f t="shared" si="15"/>
        <v>47082</v>
      </c>
      <c r="Z16" s="167">
        <f t="shared" si="15"/>
        <v>47263</v>
      </c>
      <c r="AA16" s="167">
        <f t="shared" si="15"/>
        <v>47447</v>
      </c>
      <c r="AB16" s="167">
        <f t="shared" si="15"/>
        <v>47628</v>
      </c>
      <c r="AC16" s="167">
        <f t="shared" si="15"/>
        <v>47812</v>
      </c>
      <c r="AD16" s="167">
        <f t="shared" si="15"/>
        <v>47993</v>
      </c>
      <c r="AE16" s="167">
        <f t="shared" si="15"/>
        <v>48177</v>
      </c>
      <c r="AF16" s="167">
        <f t="shared" si="15"/>
        <v>48359</v>
      </c>
      <c r="AG16" s="167">
        <f t="shared" si="15"/>
        <v>48543</v>
      </c>
      <c r="AH16" s="167">
        <f t="shared" si="15"/>
        <v>48724</v>
      </c>
      <c r="AI16" s="167">
        <f t="shared" si="15"/>
        <v>48908</v>
      </c>
      <c r="AJ16" s="169">
        <f ca="1">T16-TODAY()</f>
        <v>-132</v>
      </c>
      <c r="AK16" s="164">
        <f>6*D16</f>
        <v>39600000</v>
      </c>
      <c r="AL16" s="162" t="s">
        <v>939</v>
      </c>
    </row>
    <row r="17" spans="1:38" ht="41.4" x14ac:dyDescent="0.2">
      <c r="A17" s="171">
        <v>14</v>
      </c>
      <c r="B17" s="267" t="s">
        <v>228</v>
      </c>
      <c r="C17" s="163" t="s">
        <v>229</v>
      </c>
      <c r="D17" s="164">
        <v>7000000</v>
      </c>
      <c r="E17" s="164">
        <v>8000000</v>
      </c>
      <c r="F17" s="166">
        <v>46174</v>
      </c>
      <c r="G17" s="143" t="s">
        <v>1240</v>
      </c>
      <c r="H17" s="98" t="s">
        <v>1241</v>
      </c>
      <c r="I17" s="98" t="s">
        <v>1242</v>
      </c>
      <c r="J17" s="164" t="s">
        <v>231</v>
      </c>
      <c r="K17" s="165" t="s">
        <v>77</v>
      </c>
      <c r="L17" s="167">
        <v>44713</v>
      </c>
      <c r="M17" s="166">
        <f>L17+90+2</f>
        <v>44805</v>
      </c>
      <c r="N17" s="166">
        <f t="shared" ref="N17:T17" si="16">EDATE(M17,3)</f>
        <v>44896</v>
      </c>
      <c r="O17" s="166">
        <f t="shared" si="16"/>
        <v>44986</v>
      </c>
      <c r="P17" s="167">
        <f t="shared" si="16"/>
        <v>45078</v>
      </c>
      <c r="Q17" s="166">
        <f t="shared" si="16"/>
        <v>45170</v>
      </c>
      <c r="R17" s="166">
        <f t="shared" si="16"/>
        <v>45261</v>
      </c>
      <c r="S17" s="166">
        <f t="shared" si="16"/>
        <v>45352</v>
      </c>
      <c r="T17" s="166">
        <f t="shared" si="16"/>
        <v>45444</v>
      </c>
      <c r="U17" s="166">
        <f>EDATE(T17,3)</f>
        <v>45536</v>
      </c>
      <c r="V17" s="166">
        <f>EDATE(U17,3)</f>
        <v>45627</v>
      </c>
      <c r="W17" s="166">
        <f t="shared" ref="W17:AI17" si="17">EDATE(V17,3)</f>
        <v>45717</v>
      </c>
      <c r="X17" s="166">
        <f t="shared" si="17"/>
        <v>45809</v>
      </c>
      <c r="Y17" s="166">
        <f t="shared" si="17"/>
        <v>45901</v>
      </c>
      <c r="Z17" s="166">
        <f t="shared" si="17"/>
        <v>45992</v>
      </c>
      <c r="AA17" s="185">
        <f>EDATE(Z17,3)</f>
        <v>46082</v>
      </c>
      <c r="AB17" s="166">
        <f>EDATE(AA17,3)</f>
        <v>46174</v>
      </c>
      <c r="AC17" s="166">
        <f t="shared" si="17"/>
        <v>46266</v>
      </c>
      <c r="AD17" s="166">
        <f t="shared" si="17"/>
        <v>46357</v>
      </c>
      <c r="AE17" s="166">
        <f t="shared" si="17"/>
        <v>46447</v>
      </c>
      <c r="AF17" s="166">
        <f t="shared" si="17"/>
        <v>46539</v>
      </c>
      <c r="AG17" s="166">
        <f t="shared" si="17"/>
        <v>46631</v>
      </c>
      <c r="AH17" s="166">
        <f t="shared" si="17"/>
        <v>46722</v>
      </c>
      <c r="AI17" s="166">
        <f t="shared" si="17"/>
        <v>46813</v>
      </c>
      <c r="AJ17" s="186">
        <f ca="1">AB17-TODAY()</f>
        <v>-125</v>
      </c>
      <c r="AK17" s="164">
        <f>3*D17</f>
        <v>21000000</v>
      </c>
      <c r="AL17" s="162" t="s">
        <v>938</v>
      </c>
    </row>
    <row r="18" spans="1:38" x14ac:dyDescent="0.2">
      <c r="A18" s="162">
        <v>15</v>
      </c>
      <c r="B18" s="162" t="s">
        <v>287</v>
      </c>
      <c r="C18" s="163" t="s">
        <v>288</v>
      </c>
      <c r="D18" s="164">
        <v>5300000</v>
      </c>
      <c r="E18" s="164"/>
      <c r="F18" s="166"/>
      <c r="G18" s="164" t="s">
        <v>299</v>
      </c>
      <c r="H18" s="164" t="s">
        <v>298</v>
      </c>
      <c r="I18" s="164" t="s">
        <v>300</v>
      </c>
      <c r="J18" s="164" t="s">
        <v>295</v>
      </c>
      <c r="K18" s="191" t="s">
        <v>79</v>
      </c>
      <c r="L18" s="167">
        <v>44727</v>
      </c>
      <c r="M18" s="167">
        <f>EDATE(L18,6)</f>
        <v>44910</v>
      </c>
      <c r="N18" s="167">
        <f>EDATE(M18,6)</f>
        <v>45092</v>
      </c>
      <c r="O18" s="167">
        <f>EDATE(N18,6)</f>
        <v>45275</v>
      </c>
      <c r="P18" s="167">
        <f>EDATE(O18,6)</f>
        <v>45458</v>
      </c>
      <c r="Q18" s="167">
        <f>EDATE(P18,6)</f>
        <v>45641</v>
      </c>
      <c r="R18" s="167">
        <f t="shared" ref="R18:AI18" si="18">EDATE(Q18,6)</f>
        <v>45823</v>
      </c>
      <c r="S18" s="167">
        <f t="shared" si="18"/>
        <v>46006</v>
      </c>
      <c r="T18" s="168">
        <f t="shared" si="18"/>
        <v>46188</v>
      </c>
      <c r="U18" s="167">
        <f t="shared" si="18"/>
        <v>46371</v>
      </c>
      <c r="V18" s="167">
        <f t="shared" si="18"/>
        <v>46553</v>
      </c>
      <c r="W18" s="167">
        <f t="shared" si="18"/>
        <v>46736</v>
      </c>
      <c r="X18" s="167">
        <f t="shared" si="18"/>
        <v>46919</v>
      </c>
      <c r="Y18" s="167">
        <f t="shared" si="18"/>
        <v>47102</v>
      </c>
      <c r="Z18" s="167">
        <f t="shared" si="18"/>
        <v>47284</v>
      </c>
      <c r="AA18" s="167">
        <f t="shared" si="18"/>
        <v>47467</v>
      </c>
      <c r="AB18" s="167">
        <f t="shared" si="18"/>
        <v>47649</v>
      </c>
      <c r="AC18" s="167">
        <f t="shared" si="18"/>
        <v>47832</v>
      </c>
      <c r="AD18" s="167">
        <f t="shared" si="18"/>
        <v>48014</v>
      </c>
      <c r="AE18" s="167">
        <f t="shared" si="18"/>
        <v>48197</v>
      </c>
      <c r="AF18" s="167">
        <f t="shared" si="18"/>
        <v>48380</v>
      </c>
      <c r="AG18" s="167">
        <f t="shared" si="18"/>
        <v>48563</v>
      </c>
      <c r="AH18" s="167">
        <f t="shared" si="18"/>
        <v>48745</v>
      </c>
      <c r="AI18" s="167">
        <f t="shared" si="18"/>
        <v>48928</v>
      </c>
      <c r="AJ18" s="186">
        <f ca="1">T18-TODAY()</f>
        <v>-111</v>
      </c>
      <c r="AK18" s="164">
        <f>6*D18</f>
        <v>31800000</v>
      </c>
      <c r="AL18" s="162" t="s">
        <v>939</v>
      </c>
    </row>
    <row r="19" spans="1:38" x14ac:dyDescent="0.2">
      <c r="A19" s="171">
        <v>16</v>
      </c>
      <c r="B19" s="162" t="s">
        <v>313</v>
      </c>
      <c r="C19" s="163" t="s">
        <v>15</v>
      </c>
      <c r="D19" s="164">
        <v>6000000</v>
      </c>
      <c r="E19" s="164"/>
      <c r="F19" s="166"/>
      <c r="G19" s="164" t="s">
        <v>329</v>
      </c>
      <c r="H19" s="164" t="s">
        <v>330</v>
      </c>
      <c r="I19" s="164" t="s">
        <v>331</v>
      </c>
      <c r="J19" s="164" t="s">
        <v>332</v>
      </c>
      <c r="K19" s="165" t="s">
        <v>77</v>
      </c>
      <c r="L19" s="167">
        <v>44785</v>
      </c>
      <c r="M19" s="167">
        <f t="shared" ref="M19:S19" si="19">EDATE(L19,3)</f>
        <v>44877</v>
      </c>
      <c r="N19" s="167">
        <f t="shared" si="19"/>
        <v>44969</v>
      </c>
      <c r="O19" s="167">
        <f t="shared" si="19"/>
        <v>45058</v>
      </c>
      <c r="P19" s="167">
        <f t="shared" si="19"/>
        <v>45150</v>
      </c>
      <c r="Q19" s="167">
        <f t="shared" si="19"/>
        <v>45242</v>
      </c>
      <c r="R19" s="167">
        <f t="shared" si="19"/>
        <v>45334</v>
      </c>
      <c r="S19" s="167">
        <f t="shared" si="19"/>
        <v>45424</v>
      </c>
      <c r="T19" s="167">
        <f>EDATE(S19,3)</f>
        <v>45516</v>
      </c>
      <c r="U19" s="167">
        <f t="shared" ref="U19:AI19" si="20">EDATE(T19,3)</f>
        <v>45608</v>
      </c>
      <c r="V19" s="167">
        <f t="shared" si="20"/>
        <v>45700</v>
      </c>
      <c r="W19" s="167">
        <f t="shared" si="20"/>
        <v>45789</v>
      </c>
      <c r="X19" s="167">
        <f t="shared" si="20"/>
        <v>45881</v>
      </c>
      <c r="Y19" s="167">
        <f>EDATE(X19,3)</f>
        <v>45973</v>
      </c>
      <c r="Z19" s="167">
        <f>EDATE(Y19,3)</f>
        <v>46065</v>
      </c>
      <c r="AA19" s="168">
        <f t="shared" si="20"/>
        <v>46154</v>
      </c>
      <c r="AB19" s="167">
        <f t="shared" si="20"/>
        <v>46246</v>
      </c>
      <c r="AC19" s="167">
        <f t="shared" si="20"/>
        <v>46338</v>
      </c>
      <c r="AD19" s="167">
        <f t="shared" si="20"/>
        <v>46430</v>
      </c>
      <c r="AE19" s="167">
        <f t="shared" si="20"/>
        <v>46519</v>
      </c>
      <c r="AF19" s="167">
        <f t="shared" si="20"/>
        <v>46611</v>
      </c>
      <c r="AG19" s="167">
        <f t="shared" si="20"/>
        <v>46703</v>
      </c>
      <c r="AH19" s="167">
        <f t="shared" si="20"/>
        <v>46795</v>
      </c>
      <c r="AI19" s="167">
        <f t="shared" si="20"/>
        <v>46885</v>
      </c>
      <c r="AJ19" s="186">
        <f ca="1">AA19-TODAY()</f>
        <v>-145</v>
      </c>
      <c r="AK19" s="164">
        <f>3*D19</f>
        <v>18000000</v>
      </c>
      <c r="AL19" s="162" t="s">
        <v>941</v>
      </c>
    </row>
    <row r="20" spans="1:38" x14ac:dyDescent="0.2">
      <c r="A20" s="162" t="s">
        <v>1137</v>
      </c>
      <c r="B20" s="172" t="s">
        <v>419</v>
      </c>
      <c r="C20" s="163" t="s">
        <v>15</v>
      </c>
      <c r="D20" s="173">
        <v>5000000</v>
      </c>
      <c r="E20" s="164"/>
      <c r="F20" s="166"/>
      <c r="G20" s="173" t="s">
        <v>336</v>
      </c>
      <c r="H20" s="173" t="s">
        <v>337</v>
      </c>
      <c r="I20" s="173" t="s">
        <v>338</v>
      </c>
      <c r="J20" s="173" t="s">
        <v>339</v>
      </c>
      <c r="K20" s="174" t="s">
        <v>79</v>
      </c>
      <c r="L20" s="177">
        <v>44805</v>
      </c>
      <c r="M20" s="177">
        <f>EDATE(L20,6)</f>
        <v>44986</v>
      </c>
      <c r="N20" s="175">
        <f t="shared" ref="N20:AI20" si="21">EDATE(M20,6)</f>
        <v>45170</v>
      </c>
      <c r="O20" s="175">
        <f t="shared" si="21"/>
        <v>45352</v>
      </c>
      <c r="P20" s="177">
        <f>EDATE(O20,6)</f>
        <v>45536</v>
      </c>
      <c r="Q20" s="177">
        <f>EDATE(P20,6)</f>
        <v>45717</v>
      </c>
      <c r="R20" s="177">
        <f>EDATE(Q20,6)</f>
        <v>45901</v>
      </c>
      <c r="S20" s="178">
        <f>EDATE(R20,6)</f>
        <v>46082</v>
      </c>
      <c r="T20" s="177">
        <f t="shared" si="21"/>
        <v>46266</v>
      </c>
      <c r="U20" s="177">
        <f t="shared" si="21"/>
        <v>46447</v>
      </c>
      <c r="V20" s="177">
        <f t="shared" si="21"/>
        <v>46631</v>
      </c>
      <c r="W20" s="177">
        <f t="shared" si="21"/>
        <v>46813</v>
      </c>
      <c r="X20" s="177">
        <f>EDATE(W20,6)-1</f>
        <v>46996</v>
      </c>
      <c r="Y20" s="177">
        <f t="shared" si="21"/>
        <v>47177</v>
      </c>
      <c r="Z20" s="177">
        <f t="shared" si="21"/>
        <v>47358</v>
      </c>
      <c r="AA20" s="177">
        <f t="shared" si="21"/>
        <v>47542</v>
      </c>
      <c r="AB20" s="177">
        <f t="shared" si="21"/>
        <v>47723</v>
      </c>
      <c r="AC20" s="177">
        <f t="shared" si="21"/>
        <v>47907</v>
      </c>
      <c r="AD20" s="177">
        <f t="shared" si="21"/>
        <v>48088</v>
      </c>
      <c r="AE20" s="177">
        <f t="shared" si="21"/>
        <v>48272</v>
      </c>
      <c r="AF20" s="177">
        <f t="shared" si="21"/>
        <v>48454</v>
      </c>
      <c r="AG20" s="177">
        <f t="shared" si="21"/>
        <v>48638</v>
      </c>
      <c r="AH20" s="177">
        <f t="shared" si="21"/>
        <v>48819</v>
      </c>
      <c r="AI20" s="177">
        <f t="shared" si="21"/>
        <v>49003</v>
      </c>
      <c r="AJ20" s="192">
        <f ca="1">T20-TODAY()</f>
        <v>-33</v>
      </c>
      <c r="AK20" s="173">
        <f>6*D20</f>
        <v>30000000</v>
      </c>
      <c r="AL20" s="171" t="s">
        <v>939</v>
      </c>
    </row>
    <row r="21" spans="1:38" x14ac:dyDescent="0.2">
      <c r="A21" s="171">
        <v>18</v>
      </c>
      <c r="B21" s="193" t="s">
        <v>640</v>
      </c>
      <c r="C21" s="163" t="s">
        <v>66</v>
      </c>
      <c r="D21" s="164">
        <v>6500000</v>
      </c>
      <c r="E21" s="164"/>
      <c r="F21" s="166"/>
      <c r="G21" s="164" t="s">
        <v>598</v>
      </c>
      <c r="H21" s="164" t="s">
        <v>592</v>
      </c>
      <c r="I21" s="164" t="s">
        <v>398</v>
      </c>
      <c r="J21" s="164" t="s">
        <v>350</v>
      </c>
      <c r="K21" s="165" t="s">
        <v>77</v>
      </c>
      <c r="L21" s="167">
        <v>44717</v>
      </c>
      <c r="M21" s="182">
        <f t="shared" ref="M21:AI21" si="22">EDATE(L21,3)</f>
        <v>44809</v>
      </c>
      <c r="N21" s="166">
        <f t="shared" si="22"/>
        <v>44900</v>
      </c>
      <c r="O21" s="166">
        <f t="shared" si="22"/>
        <v>44990</v>
      </c>
      <c r="P21" s="167">
        <f t="shared" si="22"/>
        <v>45082</v>
      </c>
      <c r="Q21" s="167">
        <f t="shared" si="22"/>
        <v>45174</v>
      </c>
      <c r="R21" s="167">
        <f t="shared" si="22"/>
        <v>45265</v>
      </c>
      <c r="S21" s="167">
        <f t="shared" si="22"/>
        <v>45356</v>
      </c>
      <c r="T21" s="167">
        <f>EDATE(S21,3)</f>
        <v>45448</v>
      </c>
      <c r="U21" s="167">
        <f t="shared" si="22"/>
        <v>45540</v>
      </c>
      <c r="V21" s="167">
        <f t="shared" si="22"/>
        <v>45631</v>
      </c>
      <c r="W21" s="167">
        <f t="shared" si="22"/>
        <v>45721</v>
      </c>
      <c r="X21" s="167">
        <f t="shared" si="22"/>
        <v>45813</v>
      </c>
      <c r="Y21" s="167">
        <f t="shared" si="22"/>
        <v>45905</v>
      </c>
      <c r="Z21" s="167">
        <f t="shared" si="22"/>
        <v>45996</v>
      </c>
      <c r="AA21" s="168">
        <f t="shared" si="22"/>
        <v>46086</v>
      </c>
      <c r="AB21" s="167">
        <f t="shared" si="22"/>
        <v>46178</v>
      </c>
      <c r="AC21" s="167">
        <f t="shared" si="22"/>
        <v>46270</v>
      </c>
      <c r="AD21" s="167">
        <f t="shared" si="22"/>
        <v>46361</v>
      </c>
      <c r="AE21" s="167">
        <f t="shared" si="22"/>
        <v>46451</v>
      </c>
      <c r="AF21" s="167">
        <f t="shared" si="22"/>
        <v>46543</v>
      </c>
      <c r="AG21" s="167">
        <f t="shared" si="22"/>
        <v>46635</v>
      </c>
      <c r="AH21" s="167">
        <f t="shared" si="22"/>
        <v>46726</v>
      </c>
      <c r="AI21" s="167">
        <f t="shared" si="22"/>
        <v>46817</v>
      </c>
      <c r="AJ21" s="186">
        <f ca="1">AB21-TODAY()</f>
        <v>-121</v>
      </c>
      <c r="AK21" s="164">
        <f>3*D21</f>
        <v>19500000</v>
      </c>
      <c r="AL21" s="162" t="s">
        <v>938</v>
      </c>
    </row>
    <row r="22" spans="1:38" x14ac:dyDescent="0.2">
      <c r="A22" s="162">
        <v>19</v>
      </c>
      <c r="B22" s="162" t="s">
        <v>344</v>
      </c>
      <c r="C22" s="163" t="s">
        <v>66</v>
      </c>
      <c r="D22" s="164">
        <v>4000000</v>
      </c>
      <c r="E22" s="164"/>
      <c r="F22" s="166"/>
      <c r="G22" s="164" t="s">
        <v>368</v>
      </c>
      <c r="H22" s="164" t="s">
        <v>367</v>
      </c>
      <c r="I22" s="164" t="s">
        <v>369</v>
      </c>
      <c r="J22" s="164" t="s">
        <v>346</v>
      </c>
      <c r="K22" s="167" t="s">
        <v>79</v>
      </c>
      <c r="L22" s="167">
        <v>44781</v>
      </c>
      <c r="M22" s="167">
        <f t="shared" ref="M22:R23" si="23">EDATE(L22,6)</f>
        <v>44965</v>
      </c>
      <c r="N22" s="166">
        <f t="shared" si="23"/>
        <v>45146</v>
      </c>
      <c r="O22" s="166">
        <f t="shared" si="23"/>
        <v>45330</v>
      </c>
      <c r="P22" s="166">
        <f t="shared" si="23"/>
        <v>45512</v>
      </c>
      <c r="Q22" s="166">
        <f t="shared" si="23"/>
        <v>45696</v>
      </c>
      <c r="R22" s="166">
        <f t="shared" si="23"/>
        <v>45877</v>
      </c>
      <c r="S22" s="166">
        <f>EDATE(R22,6)</f>
        <v>46061</v>
      </c>
      <c r="T22" s="185">
        <f t="shared" ref="T22:AI23" si="24">EDATE(S22,6)</f>
        <v>46242</v>
      </c>
      <c r="U22" s="166">
        <f t="shared" si="24"/>
        <v>46426</v>
      </c>
      <c r="V22" s="166">
        <f t="shared" si="24"/>
        <v>46607</v>
      </c>
      <c r="W22" s="166">
        <f t="shared" si="24"/>
        <v>46791</v>
      </c>
      <c r="X22" s="166">
        <f t="shared" si="24"/>
        <v>46973</v>
      </c>
      <c r="Y22" s="166">
        <f t="shared" si="24"/>
        <v>47157</v>
      </c>
      <c r="Z22" s="166">
        <f t="shared" si="24"/>
        <v>47338</v>
      </c>
      <c r="AA22" s="166">
        <f t="shared" si="24"/>
        <v>47522</v>
      </c>
      <c r="AB22" s="166">
        <f t="shared" si="24"/>
        <v>47703</v>
      </c>
      <c r="AC22" s="166">
        <f t="shared" si="24"/>
        <v>47887</v>
      </c>
      <c r="AD22" s="166">
        <f t="shared" si="24"/>
        <v>48068</v>
      </c>
      <c r="AE22" s="166">
        <f t="shared" si="24"/>
        <v>48252</v>
      </c>
      <c r="AF22" s="166">
        <f t="shared" si="24"/>
        <v>48434</v>
      </c>
      <c r="AG22" s="166">
        <f t="shared" si="24"/>
        <v>48618</v>
      </c>
      <c r="AH22" s="166">
        <f t="shared" si="24"/>
        <v>48799</v>
      </c>
      <c r="AI22" s="166">
        <f t="shared" si="24"/>
        <v>48983</v>
      </c>
      <c r="AJ22" s="186">
        <f ca="1">T22-TODAY()</f>
        <v>-57</v>
      </c>
      <c r="AK22" s="164">
        <f>6*D22</f>
        <v>24000000</v>
      </c>
      <c r="AL22" s="162" t="s">
        <v>939</v>
      </c>
    </row>
    <row r="23" spans="1:38" x14ac:dyDescent="0.2">
      <c r="A23" s="171">
        <v>20</v>
      </c>
      <c r="B23" s="162" t="s">
        <v>195</v>
      </c>
      <c r="C23" s="163" t="s">
        <v>15</v>
      </c>
      <c r="D23" s="194">
        <v>6000000</v>
      </c>
      <c r="E23" s="164"/>
      <c r="F23" s="166"/>
      <c r="G23" s="195" t="s">
        <v>943</v>
      </c>
      <c r="H23" s="164" t="s">
        <v>290</v>
      </c>
      <c r="I23" s="164" t="s">
        <v>302</v>
      </c>
      <c r="J23" s="164" t="s">
        <v>291</v>
      </c>
      <c r="K23" s="167" t="s">
        <v>79</v>
      </c>
      <c r="L23" s="167">
        <v>44781</v>
      </c>
      <c r="M23" s="167">
        <f t="shared" si="23"/>
        <v>44965</v>
      </c>
      <c r="N23" s="166">
        <f t="shared" si="23"/>
        <v>45146</v>
      </c>
      <c r="O23" s="166">
        <f t="shared" si="23"/>
        <v>45330</v>
      </c>
      <c r="P23" s="166">
        <f t="shared" si="23"/>
        <v>45512</v>
      </c>
      <c r="Q23" s="166">
        <f t="shared" si="23"/>
        <v>45696</v>
      </c>
      <c r="R23" s="166">
        <f t="shared" si="23"/>
        <v>45877</v>
      </c>
      <c r="S23" s="166">
        <f>EDATE(R23,6)</f>
        <v>46061</v>
      </c>
      <c r="T23" s="185">
        <f t="shared" si="24"/>
        <v>46242</v>
      </c>
      <c r="U23" s="166">
        <f t="shared" si="24"/>
        <v>46426</v>
      </c>
      <c r="V23" s="166">
        <f t="shared" si="24"/>
        <v>46607</v>
      </c>
      <c r="W23" s="166">
        <f t="shared" si="24"/>
        <v>46791</v>
      </c>
      <c r="X23" s="166">
        <f t="shared" si="24"/>
        <v>46973</v>
      </c>
      <c r="Y23" s="166">
        <f t="shared" si="24"/>
        <v>47157</v>
      </c>
      <c r="Z23" s="166">
        <f t="shared" si="24"/>
        <v>47338</v>
      </c>
      <c r="AA23" s="166">
        <f t="shared" si="24"/>
        <v>47522</v>
      </c>
      <c r="AB23" s="166">
        <f t="shared" si="24"/>
        <v>47703</v>
      </c>
      <c r="AC23" s="166">
        <f t="shared" si="24"/>
        <v>47887</v>
      </c>
      <c r="AD23" s="166">
        <f t="shared" si="24"/>
        <v>48068</v>
      </c>
      <c r="AE23" s="166">
        <f t="shared" si="24"/>
        <v>48252</v>
      </c>
      <c r="AF23" s="166">
        <f t="shared" si="24"/>
        <v>48434</v>
      </c>
      <c r="AG23" s="166">
        <f t="shared" si="24"/>
        <v>48618</v>
      </c>
      <c r="AH23" s="166">
        <f t="shared" si="24"/>
        <v>48799</v>
      </c>
      <c r="AI23" s="166">
        <f t="shared" si="24"/>
        <v>48983</v>
      </c>
      <c r="AJ23" s="186">
        <f ca="1">T23-TODAY()</f>
        <v>-57</v>
      </c>
      <c r="AK23" s="164">
        <f>D23*6</f>
        <v>36000000</v>
      </c>
      <c r="AL23" s="162" t="s">
        <v>939</v>
      </c>
    </row>
    <row r="24" spans="1:38" x14ac:dyDescent="0.2">
      <c r="A24" s="162">
        <v>21</v>
      </c>
      <c r="B24" s="163" t="s">
        <v>527</v>
      </c>
      <c r="C24" s="163" t="s">
        <v>15</v>
      </c>
      <c r="D24" s="164">
        <v>5000000</v>
      </c>
      <c r="E24" s="164"/>
      <c r="F24" s="166"/>
      <c r="G24" s="164" t="s">
        <v>372</v>
      </c>
      <c r="H24" s="164" t="s">
        <v>373</v>
      </c>
      <c r="I24" s="164" t="s">
        <v>374</v>
      </c>
      <c r="J24" s="164" t="s">
        <v>375</v>
      </c>
      <c r="K24" s="167" t="s">
        <v>77</v>
      </c>
      <c r="L24" s="167">
        <v>44917</v>
      </c>
      <c r="M24" s="182">
        <f t="shared" ref="M24:AB25" si="25">EDATE(L24,3)</f>
        <v>45007</v>
      </c>
      <c r="N24" s="166">
        <f t="shared" si="25"/>
        <v>45099</v>
      </c>
      <c r="O24" s="167">
        <f t="shared" si="25"/>
        <v>45191</v>
      </c>
      <c r="P24" s="166">
        <f t="shared" si="25"/>
        <v>45282</v>
      </c>
      <c r="Q24" s="167">
        <f t="shared" si="25"/>
        <v>45373</v>
      </c>
      <c r="R24" s="166">
        <f t="shared" si="25"/>
        <v>45465</v>
      </c>
      <c r="S24" s="167">
        <f t="shared" si="25"/>
        <v>45557</v>
      </c>
      <c r="T24" s="167">
        <f t="shared" si="25"/>
        <v>45648</v>
      </c>
      <c r="U24" s="167">
        <f t="shared" si="25"/>
        <v>45738</v>
      </c>
      <c r="V24" s="167">
        <f t="shared" si="25"/>
        <v>45830</v>
      </c>
      <c r="W24" s="167">
        <f t="shared" si="25"/>
        <v>45922</v>
      </c>
      <c r="X24" s="167">
        <f t="shared" si="25"/>
        <v>46013</v>
      </c>
      <c r="Y24" s="168">
        <f t="shared" si="25"/>
        <v>46103</v>
      </c>
      <c r="Z24" s="167">
        <f t="shared" si="25"/>
        <v>46195</v>
      </c>
      <c r="AA24" s="167">
        <f t="shared" si="25"/>
        <v>46287</v>
      </c>
      <c r="AB24" s="167">
        <f t="shared" si="25"/>
        <v>46378</v>
      </c>
      <c r="AC24" s="167">
        <f t="shared" ref="AC24:AI25" si="26">EDATE(AB24,3)</f>
        <v>46468</v>
      </c>
      <c r="AD24" s="167">
        <f t="shared" si="26"/>
        <v>46560</v>
      </c>
      <c r="AE24" s="167">
        <f t="shared" si="26"/>
        <v>46652</v>
      </c>
      <c r="AF24" s="167">
        <f t="shared" si="26"/>
        <v>46743</v>
      </c>
      <c r="AG24" s="167">
        <f t="shared" si="26"/>
        <v>46834</v>
      </c>
      <c r="AH24" s="167">
        <f t="shared" si="26"/>
        <v>46926</v>
      </c>
      <c r="AI24" s="167">
        <f t="shared" si="26"/>
        <v>47018</v>
      </c>
      <c r="AJ24" s="186">
        <f ca="1">Z24-TODAY()</f>
        <v>-104</v>
      </c>
      <c r="AK24" s="187">
        <f>3*D24</f>
        <v>15000000</v>
      </c>
      <c r="AL24" s="162" t="s">
        <v>944</v>
      </c>
    </row>
    <row r="25" spans="1:38" x14ac:dyDescent="0.2">
      <c r="A25" s="171">
        <v>22</v>
      </c>
      <c r="B25" s="171" t="s">
        <v>106</v>
      </c>
      <c r="C25" s="163" t="s">
        <v>376</v>
      </c>
      <c r="D25" s="194">
        <v>6500000</v>
      </c>
      <c r="E25" s="164"/>
      <c r="F25" s="166"/>
      <c r="G25" s="196" t="s">
        <v>945</v>
      </c>
      <c r="H25" s="173" t="s">
        <v>946</v>
      </c>
      <c r="I25" s="173" t="s">
        <v>398</v>
      </c>
      <c r="J25" s="173" t="s">
        <v>379</v>
      </c>
      <c r="K25" s="177" t="s">
        <v>77</v>
      </c>
      <c r="L25" s="177">
        <v>44788</v>
      </c>
      <c r="M25" s="177">
        <f t="shared" si="25"/>
        <v>44880</v>
      </c>
      <c r="N25" s="177">
        <f t="shared" si="25"/>
        <v>44972</v>
      </c>
      <c r="O25" s="177">
        <f t="shared" si="25"/>
        <v>45061</v>
      </c>
      <c r="P25" s="177">
        <f>EDATE(O25,3)</f>
        <v>45153</v>
      </c>
      <c r="Q25" s="177">
        <f>EDATE(P25,3)</f>
        <v>45245</v>
      </c>
      <c r="R25" s="167">
        <f>EDATE(Q25,3)</f>
        <v>45337</v>
      </c>
      <c r="S25" s="167">
        <f>EDATE(R25,3)</f>
        <v>45427</v>
      </c>
      <c r="T25" s="167">
        <f>EDATE(S25,3)</f>
        <v>45519</v>
      </c>
      <c r="U25" s="167">
        <f t="shared" si="25"/>
        <v>45611</v>
      </c>
      <c r="V25" s="167">
        <f t="shared" si="25"/>
        <v>45703</v>
      </c>
      <c r="W25" s="167">
        <f t="shared" si="25"/>
        <v>45792</v>
      </c>
      <c r="X25" s="167">
        <f t="shared" si="25"/>
        <v>45884</v>
      </c>
      <c r="Y25" s="167">
        <f t="shared" si="25"/>
        <v>45976</v>
      </c>
      <c r="Z25" s="167">
        <f t="shared" si="25"/>
        <v>46068</v>
      </c>
      <c r="AA25" s="168">
        <f t="shared" si="25"/>
        <v>46157</v>
      </c>
      <c r="AB25" s="167">
        <f t="shared" si="25"/>
        <v>46249</v>
      </c>
      <c r="AC25" s="167">
        <f t="shared" si="26"/>
        <v>46341</v>
      </c>
      <c r="AD25" s="167">
        <f t="shared" si="26"/>
        <v>46433</v>
      </c>
      <c r="AE25" s="167">
        <f t="shared" si="26"/>
        <v>46522</v>
      </c>
      <c r="AF25" s="167">
        <f t="shared" si="26"/>
        <v>46614</v>
      </c>
      <c r="AG25" s="167">
        <f t="shared" si="26"/>
        <v>46706</v>
      </c>
      <c r="AH25" s="167">
        <f t="shared" si="26"/>
        <v>46798</v>
      </c>
      <c r="AI25" s="167">
        <f t="shared" si="26"/>
        <v>46888</v>
      </c>
      <c r="AJ25" s="192">
        <f ca="1">AA25-TODAY()</f>
        <v>-142</v>
      </c>
      <c r="AK25" s="173">
        <f>3*D25</f>
        <v>19500000</v>
      </c>
      <c r="AL25" s="171" t="s">
        <v>941</v>
      </c>
    </row>
    <row r="26" spans="1:38" x14ac:dyDescent="0.2">
      <c r="A26" s="162">
        <v>23</v>
      </c>
      <c r="B26" s="162" t="s">
        <v>380</v>
      </c>
      <c r="C26" s="163" t="s">
        <v>156</v>
      </c>
      <c r="D26" s="164" t="s">
        <v>411</v>
      </c>
      <c r="E26" s="164"/>
      <c r="F26" s="166"/>
      <c r="G26" s="164" t="s">
        <v>349</v>
      </c>
      <c r="H26" s="164" t="s">
        <v>383</v>
      </c>
      <c r="I26" s="164" t="s">
        <v>349</v>
      </c>
      <c r="J26" s="164" t="s">
        <v>384</v>
      </c>
      <c r="K26" s="167" t="s">
        <v>79</v>
      </c>
      <c r="L26" s="167">
        <v>44835</v>
      </c>
      <c r="M26" s="182">
        <f t="shared" ref="M26:R26" si="27">EDATE(L26,6)</f>
        <v>45017</v>
      </c>
      <c r="N26" s="166">
        <f t="shared" si="27"/>
        <v>45200</v>
      </c>
      <c r="O26" s="167">
        <f t="shared" si="27"/>
        <v>45383</v>
      </c>
      <c r="P26" s="167">
        <f t="shared" si="27"/>
        <v>45566</v>
      </c>
      <c r="Q26" s="167">
        <f t="shared" si="27"/>
        <v>45748</v>
      </c>
      <c r="R26" s="167">
        <f t="shared" si="27"/>
        <v>45931</v>
      </c>
      <c r="S26" s="167">
        <f>EDATE(R26,6)</f>
        <v>46113</v>
      </c>
      <c r="T26" s="167">
        <f t="shared" ref="T26:AI26" si="28">EDATE(S26,6)</f>
        <v>46296</v>
      </c>
      <c r="U26" s="167">
        <f t="shared" si="28"/>
        <v>46478</v>
      </c>
      <c r="V26" s="167">
        <f t="shared" si="28"/>
        <v>46661</v>
      </c>
      <c r="W26" s="167">
        <f t="shared" si="28"/>
        <v>46844</v>
      </c>
      <c r="X26" s="167">
        <f t="shared" si="28"/>
        <v>47027</v>
      </c>
      <c r="Y26" s="167">
        <f t="shared" si="28"/>
        <v>47209</v>
      </c>
      <c r="Z26" s="167">
        <f t="shared" si="28"/>
        <v>47392</v>
      </c>
      <c r="AA26" s="167">
        <f t="shared" si="28"/>
        <v>47574</v>
      </c>
      <c r="AB26" s="167">
        <f t="shared" si="28"/>
        <v>47757</v>
      </c>
      <c r="AC26" s="167">
        <f t="shared" si="28"/>
        <v>47939</v>
      </c>
      <c r="AD26" s="167">
        <f t="shared" si="28"/>
        <v>48122</v>
      </c>
      <c r="AE26" s="167">
        <f t="shared" si="28"/>
        <v>48305</v>
      </c>
      <c r="AF26" s="167">
        <f t="shared" si="28"/>
        <v>48488</v>
      </c>
      <c r="AG26" s="167">
        <f t="shared" si="28"/>
        <v>48670</v>
      </c>
      <c r="AH26" s="167">
        <f t="shared" si="28"/>
        <v>48853</v>
      </c>
      <c r="AI26" s="167">
        <f t="shared" si="28"/>
        <v>49035</v>
      </c>
      <c r="AJ26" s="186">
        <f ca="1">S26-TODAY()</f>
        <v>-186</v>
      </c>
      <c r="AK26" s="164">
        <f>6*D26</f>
        <v>36000000</v>
      </c>
      <c r="AL26" s="162" t="s">
        <v>947</v>
      </c>
    </row>
    <row r="27" spans="1:38" x14ac:dyDescent="0.2">
      <c r="A27" s="171">
        <v>24</v>
      </c>
      <c r="B27" s="162" t="s">
        <v>381</v>
      </c>
      <c r="C27" s="163" t="s">
        <v>66</v>
      </c>
      <c r="D27" s="164">
        <v>5000000</v>
      </c>
      <c r="E27" s="164"/>
      <c r="F27" s="166"/>
      <c r="G27" s="195" t="s">
        <v>948</v>
      </c>
      <c r="H27" s="164" t="s">
        <v>387</v>
      </c>
      <c r="I27" s="164" t="s">
        <v>388</v>
      </c>
      <c r="J27" s="164" t="s">
        <v>385</v>
      </c>
      <c r="K27" s="177" t="s">
        <v>77</v>
      </c>
      <c r="L27" s="167">
        <v>44774</v>
      </c>
      <c r="M27" s="182">
        <f t="shared" ref="M27:X27" si="29">EDATE(L27,3)</f>
        <v>44866</v>
      </c>
      <c r="N27" s="182">
        <f t="shared" si="29"/>
        <v>44958</v>
      </c>
      <c r="O27" s="182">
        <f t="shared" si="29"/>
        <v>45047</v>
      </c>
      <c r="P27" s="167">
        <f t="shared" si="29"/>
        <v>45139</v>
      </c>
      <c r="Q27" s="167">
        <f t="shared" si="29"/>
        <v>45231</v>
      </c>
      <c r="R27" s="167">
        <f t="shared" si="29"/>
        <v>45323</v>
      </c>
      <c r="S27" s="167">
        <f t="shared" si="29"/>
        <v>45413</v>
      </c>
      <c r="T27" s="167">
        <f t="shared" si="29"/>
        <v>45505</v>
      </c>
      <c r="U27" s="167">
        <f t="shared" si="29"/>
        <v>45597</v>
      </c>
      <c r="V27" s="167">
        <f t="shared" si="29"/>
        <v>45689</v>
      </c>
      <c r="W27" s="167">
        <f t="shared" si="29"/>
        <v>45778</v>
      </c>
      <c r="X27" s="167">
        <f t="shared" si="29"/>
        <v>45870</v>
      </c>
      <c r="Y27" s="167">
        <f>EDATE(X27,3)</f>
        <v>45962</v>
      </c>
      <c r="Z27" s="167">
        <f>EDATE(Y27,3)</f>
        <v>46054</v>
      </c>
      <c r="AA27" s="168">
        <f>EDATE(Z27,3)</f>
        <v>46143</v>
      </c>
      <c r="AB27" s="167">
        <f t="shared" ref="AB27:AI27" si="30">EDATE(AA27,3)</f>
        <v>46235</v>
      </c>
      <c r="AC27" s="167">
        <f t="shared" si="30"/>
        <v>46327</v>
      </c>
      <c r="AD27" s="167">
        <f t="shared" si="30"/>
        <v>46419</v>
      </c>
      <c r="AE27" s="167">
        <f t="shared" si="30"/>
        <v>46508</v>
      </c>
      <c r="AF27" s="167">
        <f t="shared" si="30"/>
        <v>46600</v>
      </c>
      <c r="AG27" s="167">
        <f t="shared" si="30"/>
        <v>46692</v>
      </c>
      <c r="AH27" s="167">
        <f t="shared" si="30"/>
        <v>46784</v>
      </c>
      <c r="AI27" s="167">
        <f t="shared" si="30"/>
        <v>46874</v>
      </c>
      <c r="AJ27" s="186">
        <f ca="1">AA27-TODAY()</f>
        <v>-156</v>
      </c>
      <c r="AK27" s="164">
        <f>3*D27</f>
        <v>15000000</v>
      </c>
      <c r="AL27" s="162" t="s">
        <v>941</v>
      </c>
    </row>
    <row r="28" spans="1:38" x14ac:dyDescent="0.2">
      <c r="A28" s="162">
        <v>25</v>
      </c>
      <c r="B28" s="171" t="s">
        <v>400</v>
      </c>
      <c r="C28" s="163" t="s">
        <v>401</v>
      </c>
      <c r="D28" s="173">
        <v>5750000</v>
      </c>
      <c r="E28" s="164"/>
      <c r="F28" s="166"/>
      <c r="G28" s="173" t="s">
        <v>407</v>
      </c>
      <c r="H28" s="173" t="s">
        <v>406</v>
      </c>
      <c r="I28" s="173" t="s">
        <v>408</v>
      </c>
      <c r="J28" s="173" t="s">
        <v>403</v>
      </c>
      <c r="K28" s="191" t="s">
        <v>79</v>
      </c>
      <c r="L28" s="177">
        <v>44728</v>
      </c>
      <c r="M28" s="177">
        <f>EDATE(L28,6)</f>
        <v>44911</v>
      </c>
      <c r="N28" s="177">
        <f>EDATE(M28,6)</f>
        <v>45093</v>
      </c>
      <c r="O28" s="177">
        <f>EDATE(N28,6)</f>
        <v>45276</v>
      </c>
      <c r="P28" s="177">
        <f>EDATE(O28,6)</f>
        <v>45459</v>
      </c>
      <c r="Q28" s="177">
        <f>EDATE(P28,6)</f>
        <v>45642</v>
      </c>
      <c r="R28" s="177">
        <f t="shared" ref="R28:AI29" si="31">EDATE(Q28,6)</f>
        <v>45824</v>
      </c>
      <c r="S28" s="177">
        <f t="shared" si="31"/>
        <v>46007</v>
      </c>
      <c r="T28" s="178">
        <f t="shared" si="31"/>
        <v>46189</v>
      </c>
      <c r="U28" s="177">
        <f t="shared" si="31"/>
        <v>46372</v>
      </c>
      <c r="V28" s="177">
        <f t="shared" si="31"/>
        <v>46554</v>
      </c>
      <c r="W28" s="177">
        <f t="shared" si="31"/>
        <v>46737</v>
      </c>
      <c r="X28" s="177">
        <f t="shared" si="31"/>
        <v>46920</v>
      </c>
      <c r="Y28" s="177">
        <f t="shared" si="31"/>
        <v>47103</v>
      </c>
      <c r="Z28" s="177">
        <f t="shared" si="31"/>
        <v>47285</v>
      </c>
      <c r="AA28" s="177">
        <f t="shared" si="31"/>
        <v>47468</v>
      </c>
      <c r="AB28" s="177">
        <f t="shared" si="31"/>
        <v>47650</v>
      </c>
      <c r="AC28" s="177">
        <f t="shared" si="31"/>
        <v>47833</v>
      </c>
      <c r="AD28" s="177">
        <f t="shared" si="31"/>
        <v>48015</v>
      </c>
      <c r="AE28" s="177">
        <f t="shared" si="31"/>
        <v>48198</v>
      </c>
      <c r="AF28" s="177">
        <f t="shared" si="31"/>
        <v>48381</v>
      </c>
      <c r="AG28" s="177">
        <f t="shared" si="31"/>
        <v>48564</v>
      </c>
      <c r="AH28" s="177">
        <f t="shared" si="31"/>
        <v>48746</v>
      </c>
      <c r="AI28" s="177">
        <f t="shared" si="31"/>
        <v>48929</v>
      </c>
      <c r="AJ28" s="192">
        <f ca="1">T28-TODAY()</f>
        <v>-110</v>
      </c>
      <c r="AK28" s="173">
        <f>6*D28</f>
        <v>34500000</v>
      </c>
      <c r="AL28" s="171" t="s">
        <v>939</v>
      </c>
    </row>
    <row r="29" spans="1:38" x14ac:dyDescent="0.2">
      <c r="A29" s="171">
        <v>26</v>
      </c>
      <c r="B29" s="162" t="s">
        <v>420</v>
      </c>
      <c r="C29" s="163" t="s">
        <v>117</v>
      </c>
      <c r="D29" s="164">
        <v>7000000</v>
      </c>
      <c r="E29" s="164"/>
      <c r="F29" s="166"/>
      <c r="G29" s="164" t="s">
        <v>424</v>
      </c>
      <c r="H29" s="164" t="s">
        <v>422</v>
      </c>
      <c r="I29" s="164" t="s">
        <v>170</v>
      </c>
      <c r="J29" s="164" t="s">
        <v>425</v>
      </c>
      <c r="K29" s="198" t="s">
        <v>79</v>
      </c>
      <c r="L29" s="199">
        <v>44835</v>
      </c>
      <c r="M29" s="182">
        <f>EDATE(L29,6)</f>
        <v>45017</v>
      </c>
      <c r="N29" s="166">
        <f t="shared" ref="N29" si="32">EDATE(M29,6)</f>
        <v>45200</v>
      </c>
      <c r="O29" s="167">
        <f>EDATE(N29,6)</f>
        <v>45383</v>
      </c>
      <c r="P29" s="167">
        <f>EDATE(O29,6)</f>
        <v>45566</v>
      </c>
      <c r="Q29" s="167">
        <f t="shared" ref="Q29:W29" si="33">EDATE(P29,6)</f>
        <v>45748</v>
      </c>
      <c r="R29" s="167">
        <f>EDATE(Q29,6)</f>
        <v>45931</v>
      </c>
      <c r="S29" s="167" t="s">
        <v>1135</v>
      </c>
      <c r="T29" s="200">
        <v>46023</v>
      </c>
      <c r="U29" s="168">
        <f>EDATE(T29,6)</f>
        <v>46204</v>
      </c>
      <c r="V29" s="167">
        <f t="shared" si="33"/>
        <v>46388</v>
      </c>
      <c r="W29" s="167">
        <f t="shared" si="33"/>
        <v>46569</v>
      </c>
      <c r="X29" s="167">
        <f t="shared" si="31"/>
        <v>46753</v>
      </c>
      <c r="Y29" s="167">
        <f t="shared" si="31"/>
        <v>46935</v>
      </c>
      <c r="Z29" s="167">
        <f t="shared" si="31"/>
        <v>47119</v>
      </c>
      <c r="AA29" s="167">
        <f t="shared" si="31"/>
        <v>47300</v>
      </c>
      <c r="AB29" s="167">
        <f t="shared" si="31"/>
        <v>47484</v>
      </c>
      <c r="AC29" s="167">
        <f t="shared" si="31"/>
        <v>47665</v>
      </c>
      <c r="AD29" s="167">
        <f t="shared" si="31"/>
        <v>47849</v>
      </c>
      <c r="AE29" s="167">
        <f t="shared" si="31"/>
        <v>48030</v>
      </c>
      <c r="AF29" s="167">
        <f t="shared" si="31"/>
        <v>48214</v>
      </c>
      <c r="AG29" s="167">
        <f t="shared" si="31"/>
        <v>48396</v>
      </c>
      <c r="AH29" s="167">
        <f t="shared" si="31"/>
        <v>48580</v>
      </c>
      <c r="AI29" s="167">
        <f t="shared" si="31"/>
        <v>48761</v>
      </c>
      <c r="AJ29" s="186">
        <f ca="1">U29-TODAY()</f>
        <v>-95</v>
      </c>
      <c r="AK29" s="201">
        <f>D29*6</f>
        <v>42000000</v>
      </c>
      <c r="AL29" s="162" t="s">
        <v>949</v>
      </c>
    </row>
    <row r="30" spans="1:38" x14ac:dyDescent="0.2">
      <c r="A30" s="162">
        <v>27</v>
      </c>
      <c r="B30" s="162" t="s">
        <v>426</v>
      </c>
      <c r="C30" s="163" t="s">
        <v>15</v>
      </c>
      <c r="D30" s="201">
        <v>3000000</v>
      </c>
      <c r="E30" s="164"/>
      <c r="F30" s="166"/>
      <c r="G30" s="164" t="s">
        <v>436</v>
      </c>
      <c r="H30" s="164" t="s">
        <v>435</v>
      </c>
      <c r="I30" s="164" t="s">
        <v>433</v>
      </c>
      <c r="J30" s="164" t="s">
        <v>437</v>
      </c>
      <c r="K30" s="162" t="s">
        <v>77</v>
      </c>
      <c r="L30" s="199">
        <v>44870</v>
      </c>
      <c r="M30" s="182">
        <f t="shared" ref="M30:R30" si="34">EDATE(L30,3)</f>
        <v>44962</v>
      </c>
      <c r="N30" s="166">
        <f t="shared" si="34"/>
        <v>45051</v>
      </c>
      <c r="O30" s="167">
        <f t="shared" si="34"/>
        <v>45143</v>
      </c>
      <c r="P30" s="166">
        <f t="shared" si="34"/>
        <v>45235</v>
      </c>
      <c r="Q30" s="167">
        <f t="shared" si="34"/>
        <v>45327</v>
      </c>
      <c r="R30" s="166">
        <f t="shared" si="34"/>
        <v>45417</v>
      </c>
      <c r="S30" s="167">
        <f>EDATE(R30,3)</f>
        <v>45509</v>
      </c>
      <c r="T30" s="167">
        <f t="shared" ref="T30:V30" si="35">EDATE(S30,3)</f>
        <v>45601</v>
      </c>
      <c r="U30" s="167">
        <f t="shared" si="35"/>
        <v>45693</v>
      </c>
      <c r="V30" s="167">
        <f t="shared" si="35"/>
        <v>45782</v>
      </c>
      <c r="W30" s="167">
        <f>EDATE(V30,3)</f>
        <v>45874</v>
      </c>
      <c r="X30" s="167">
        <f t="shared" ref="X30" si="36">EDATE(W30,3)</f>
        <v>45966</v>
      </c>
      <c r="Y30" s="167">
        <f>EDATE(X30,3)</f>
        <v>46058</v>
      </c>
      <c r="Z30" s="168">
        <f t="shared" ref="Z30:AI30" si="37">EDATE(Y30,3)</f>
        <v>46147</v>
      </c>
      <c r="AA30" s="167">
        <f t="shared" si="37"/>
        <v>46239</v>
      </c>
      <c r="AB30" s="167">
        <f t="shared" si="37"/>
        <v>46331</v>
      </c>
      <c r="AC30" s="167">
        <f t="shared" si="37"/>
        <v>46423</v>
      </c>
      <c r="AD30" s="167">
        <f t="shared" si="37"/>
        <v>46512</v>
      </c>
      <c r="AE30" s="167">
        <f t="shared" si="37"/>
        <v>46604</v>
      </c>
      <c r="AF30" s="167">
        <f t="shared" si="37"/>
        <v>46696</v>
      </c>
      <c r="AG30" s="167">
        <f t="shared" si="37"/>
        <v>46788</v>
      </c>
      <c r="AH30" s="167">
        <f t="shared" si="37"/>
        <v>46878</v>
      </c>
      <c r="AI30" s="167">
        <f t="shared" si="37"/>
        <v>46970</v>
      </c>
      <c r="AJ30" s="186">
        <f ca="1">Z30-TODAY()</f>
        <v>-152</v>
      </c>
      <c r="AK30" s="201">
        <f>D30*3</f>
        <v>9000000</v>
      </c>
      <c r="AL30" s="162" t="s">
        <v>944</v>
      </c>
    </row>
    <row r="31" spans="1:38" x14ac:dyDescent="0.2">
      <c r="A31" s="171">
        <v>28</v>
      </c>
      <c r="B31" s="171" t="s">
        <v>428</v>
      </c>
      <c r="C31" s="163" t="s">
        <v>107</v>
      </c>
      <c r="D31" s="194">
        <v>8500000</v>
      </c>
      <c r="E31" s="164"/>
      <c r="F31" s="166"/>
      <c r="G31" s="173" t="s">
        <v>432</v>
      </c>
      <c r="H31" s="173" t="s">
        <v>430</v>
      </c>
      <c r="I31" s="173" t="s">
        <v>433</v>
      </c>
      <c r="J31" s="173" t="s">
        <v>434</v>
      </c>
      <c r="K31" s="202" t="s">
        <v>79</v>
      </c>
      <c r="L31" s="203">
        <v>44814</v>
      </c>
      <c r="M31" s="176">
        <f>EDATE(L31,6)</f>
        <v>44995</v>
      </c>
      <c r="N31" s="175">
        <f>EDATE(M31,6)</f>
        <v>45179</v>
      </c>
      <c r="O31" s="176">
        <f>EDATE(N31,6)</f>
        <v>45361</v>
      </c>
      <c r="P31" s="175">
        <f>EDATE(O31,6)</f>
        <v>45545</v>
      </c>
      <c r="Q31" s="175">
        <f t="shared" ref="Q31:AI31" si="38">EDATE(P31,6)</f>
        <v>45726</v>
      </c>
      <c r="R31" s="175">
        <f t="shared" si="38"/>
        <v>45910</v>
      </c>
      <c r="S31" s="204">
        <f t="shared" si="38"/>
        <v>46091</v>
      </c>
      <c r="T31" s="204">
        <f t="shared" si="38"/>
        <v>46275</v>
      </c>
      <c r="U31" s="175">
        <f t="shared" si="38"/>
        <v>46456</v>
      </c>
      <c r="V31" s="175">
        <f t="shared" si="38"/>
        <v>46640</v>
      </c>
      <c r="W31" s="175">
        <f t="shared" si="38"/>
        <v>46822</v>
      </c>
      <c r="X31" s="175">
        <f t="shared" si="38"/>
        <v>47006</v>
      </c>
      <c r="Y31" s="175">
        <f t="shared" si="38"/>
        <v>47187</v>
      </c>
      <c r="Z31" s="175">
        <f t="shared" si="38"/>
        <v>47371</v>
      </c>
      <c r="AA31" s="175">
        <f t="shared" si="38"/>
        <v>47552</v>
      </c>
      <c r="AB31" s="175">
        <f t="shared" si="38"/>
        <v>47736</v>
      </c>
      <c r="AC31" s="175">
        <f t="shared" si="38"/>
        <v>47917</v>
      </c>
      <c r="AD31" s="175">
        <f t="shared" si="38"/>
        <v>48101</v>
      </c>
      <c r="AE31" s="175">
        <f t="shared" si="38"/>
        <v>48283</v>
      </c>
      <c r="AF31" s="175">
        <f t="shared" si="38"/>
        <v>48467</v>
      </c>
      <c r="AG31" s="175">
        <f t="shared" si="38"/>
        <v>48648</v>
      </c>
      <c r="AH31" s="175">
        <f t="shared" si="38"/>
        <v>48832</v>
      </c>
      <c r="AI31" s="175">
        <f t="shared" si="38"/>
        <v>49013</v>
      </c>
      <c r="AJ31" s="192">
        <f ca="1">T31-TODAY()</f>
        <v>-24</v>
      </c>
      <c r="AK31" s="194">
        <f>D31*6</f>
        <v>51000000</v>
      </c>
      <c r="AL31" s="171" t="s">
        <v>939</v>
      </c>
    </row>
    <row r="32" spans="1:38" x14ac:dyDescent="0.2">
      <c r="A32" s="162">
        <v>29</v>
      </c>
      <c r="B32" s="193" t="s">
        <v>340</v>
      </c>
      <c r="C32" s="163" t="s">
        <v>15</v>
      </c>
      <c r="D32" s="201">
        <v>5000000</v>
      </c>
      <c r="E32" s="164"/>
      <c r="F32" s="166"/>
      <c r="G32" s="164" t="s">
        <v>485</v>
      </c>
      <c r="H32" s="164" t="s">
        <v>486</v>
      </c>
      <c r="I32" s="164" t="s">
        <v>408</v>
      </c>
      <c r="J32" s="164" t="s">
        <v>345</v>
      </c>
      <c r="K32" s="162" t="s">
        <v>77</v>
      </c>
      <c r="L32" s="199">
        <v>44905</v>
      </c>
      <c r="M32" s="182">
        <f>EDATE(L32,3)</f>
        <v>44995</v>
      </c>
      <c r="N32" s="166">
        <f t="shared" ref="N32:R36" si="39">EDATE(M32,3)</f>
        <v>45087</v>
      </c>
      <c r="O32" s="166">
        <f t="shared" si="39"/>
        <v>45179</v>
      </c>
      <c r="P32" s="166">
        <f t="shared" si="39"/>
        <v>45270</v>
      </c>
      <c r="Q32" s="166">
        <f>EDATE(P32,3)</f>
        <v>45361</v>
      </c>
      <c r="R32" s="166">
        <f t="shared" si="39"/>
        <v>45453</v>
      </c>
      <c r="S32" s="166">
        <f>EDATE(R32,3)</f>
        <v>45545</v>
      </c>
      <c r="T32" s="166">
        <f t="shared" ref="T32:AI36" si="40">EDATE(S32,3)</f>
        <v>45636</v>
      </c>
      <c r="U32" s="166">
        <f t="shared" si="40"/>
        <v>45726</v>
      </c>
      <c r="V32" s="166">
        <f t="shared" si="40"/>
        <v>45818</v>
      </c>
      <c r="W32" s="166">
        <f t="shared" si="40"/>
        <v>45910</v>
      </c>
      <c r="X32" s="166">
        <f t="shared" si="40"/>
        <v>46001</v>
      </c>
      <c r="Y32" s="185">
        <f t="shared" si="40"/>
        <v>46091</v>
      </c>
      <c r="Z32" s="166">
        <f t="shared" si="40"/>
        <v>46183</v>
      </c>
      <c r="AA32" s="166">
        <f t="shared" si="40"/>
        <v>46275</v>
      </c>
      <c r="AB32" s="166">
        <f t="shared" si="40"/>
        <v>46366</v>
      </c>
      <c r="AC32" s="166">
        <f t="shared" si="40"/>
        <v>46456</v>
      </c>
      <c r="AD32" s="166">
        <f t="shared" si="40"/>
        <v>46548</v>
      </c>
      <c r="AE32" s="166">
        <f t="shared" si="40"/>
        <v>46640</v>
      </c>
      <c r="AF32" s="166">
        <f t="shared" si="40"/>
        <v>46731</v>
      </c>
      <c r="AG32" s="166">
        <f t="shared" si="40"/>
        <v>46822</v>
      </c>
      <c r="AH32" s="166">
        <f t="shared" si="40"/>
        <v>46914</v>
      </c>
      <c r="AI32" s="166">
        <f t="shared" si="40"/>
        <v>47006</v>
      </c>
      <c r="AJ32" s="186">
        <f ca="1">Z32-TODAY()</f>
        <v>-116</v>
      </c>
      <c r="AK32" s="201">
        <f t="shared" ref="AK32:AK36" si="41">D32*3</f>
        <v>15000000</v>
      </c>
      <c r="AL32" s="162" t="s">
        <v>944</v>
      </c>
    </row>
    <row r="33" spans="1:38" x14ac:dyDescent="0.2">
      <c r="A33" s="171">
        <v>30</v>
      </c>
      <c r="B33" s="163" t="s">
        <v>449</v>
      </c>
      <c r="C33" s="163" t="s">
        <v>32</v>
      </c>
      <c r="D33" s="201">
        <v>7000000</v>
      </c>
      <c r="E33" s="164"/>
      <c r="F33" s="166"/>
      <c r="G33" s="164" t="s">
        <v>452</v>
      </c>
      <c r="H33" s="164" t="s">
        <v>451</v>
      </c>
      <c r="I33" s="164" t="s">
        <v>453</v>
      </c>
      <c r="J33" s="164" t="s">
        <v>454</v>
      </c>
      <c r="K33" s="162" t="s">
        <v>77</v>
      </c>
      <c r="L33" s="199">
        <v>44862</v>
      </c>
      <c r="M33" s="182">
        <f>EDATE(L33,3)</f>
        <v>44954</v>
      </c>
      <c r="N33" s="166">
        <f t="shared" si="39"/>
        <v>45044</v>
      </c>
      <c r="O33" s="166">
        <f t="shared" si="39"/>
        <v>45135</v>
      </c>
      <c r="P33" s="167">
        <f>EDATE(O33,3)</f>
        <v>45227</v>
      </c>
      <c r="Q33" s="167">
        <f>EDATE(P33,3)</f>
        <v>45319</v>
      </c>
      <c r="R33" s="167">
        <f>EDATE(Q33,3)</f>
        <v>45410</v>
      </c>
      <c r="S33" s="167">
        <f>EDATE(R33,3)</f>
        <v>45501</v>
      </c>
      <c r="T33" s="167">
        <f t="shared" si="40"/>
        <v>45593</v>
      </c>
      <c r="U33" s="167">
        <f>EDATE(T33,3)</f>
        <v>45685</v>
      </c>
      <c r="V33" s="167">
        <f>EDATE(U33,3)</f>
        <v>45775</v>
      </c>
      <c r="W33" s="167">
        <f>EDATE(V33,3)</f>
        <v>45866</v>
      </c>
      <c r="X33" s="167">
        <f t="shared" si="40"/>
        <v>45958</v>
      </c>
      <c r="Y33" s="167">
        <f t="shared" si="40"/>
        <v>46050</v>
      </c>
      <c r="Z33" s="168">
        <f t="shared" si="40"/>
        <v>46140</v>
      </c>
      <c r="AA33" s="167">
        <f t="shared" si="40"/>
        <v>46231</v>
      </c>
      <c r="AB33" s="167">
        <f t="shared" si="40"/>
        <v>46323</v>
      </c>
      <c r="AC33" s="167">
        <f t="shared" si="40"/>
        <v>46415</v>
      </c>
      <c r="AD33" s="167">
        <f t="shared" si="40"/>
        <v>46505</v>
      </c>
      <c r="AE33" s="167">
        <f t="shared" si="40"/>
        <v>46596</v>
      </c>
      <c r="AF33" s="167">
        <f t="shared" si="40"/>
        <v>46688</v>
      </c>
      <c r="AG33" s="167">
        <f t="shared" si="40"/>
        <v>46780</v>
      </c>
      <c r="AH33" s="167">
        <f t="shared" si="40"/>
        <v>46871</v>
      </c>
      <c r="AI33" s="167">
        <f t="shared" si="40"/>
        <v>46962</v>
      </c>
      <c r="AJ33" s="186">
        <f ca="1">Z33-TODAY()</f>
        <v>-159</v>
      </c>
      <c r="AK33" s="205">
        <f t="shared" si="41"/>
        <v>21000000</v>
      </c>
      <c r="AL33" s="162" t="s">
        <v>944</v>
      </c>
    </row>
    <row r="34" spans="1:38" x14ac:dyDescent="0.2">
      <c r="A34" s="162">
        <v>31</v>
      </c>
      <c r="B34" s="171" t="s">
        <v>455</v>
      </c>
      <c r="C34" s="163" t="s">
        <v>394</v>
      </c>
      <c r="D34" s="194">
        <v>5000000</v>
      </c>
      <c r="E34" s="164"/>
      <c r="F34" s="166"/>
      <c r="G34" s="206" t="s">
        <v>510</v>
      </c>
      <c r="H34" s="206" t="s">
        <v>511</v>
      </c>
      <c r="I34" s="206" t="s">
        <v>512</v>
      </c>
      <c r="J34" s="206" t="s">
        <v>513</v>
      </c>
      <c r="K34" s="171" t="s">
        <v>77</v>
      </c>
      <c r="L34" s="203">
        <v>44890</v>
      </c>
      <c r="M34" s="176">
        <f>EDATE(L34,3)</f>
        <v>44982</v>
      </c>
      <c r="N34" s="175">
        <f t="shared" si="39"/>
        <v>45071</v>
      </c>
      <c r="O34" s="176">
        <f t="shared" si="39"/>
        <v>45163</v>
      </c>
      <c r="P34" s="175">
        <f>EDATE(O34,3)</f>
        <v>45255</v>
      </c>
      <c r="Q34" s="176">
        <f>EDATE(P34,3)</f>
        <v>45347</v>
      </c>
      <c r="R34" s="175">
        <f>EDATE(Q34,3)</f>
        <v>45437</v>
      </c>
      <c r="S34" s="176">
        <f>EDATE(R34,3)</f>
        <v>45529</v>
      </c>
      <c r="T34" s="176">
        <f t="shared" si="40"/>
        <v>45621</v>
      </c>
      <c r="U34" s="176">
        <f>EDATE(T34,3)</f>
        <v>45713</v>
      </c>
      <c r="V34" s="176">
        <f t="shared" si="40"/>
        <v>45802</v>
      </c>
      <c r="W34" s="176">
        <f t="shared" si="40"/>
        <v>45894</v>
      </c>
      <c r="X34" s="176">
        <f t="shared" si="40"/>
        <v>45986</v>
      </c>
      <c r="Y34" s="176">
        <f t="shared" si="40"/>
        <v>46078</v>
      </c>
      <c r="Z34" s="207">
        <f t="shared" si="40"/>
        <v>46167</v>
      </c>
      <c r="AA34" s="176">
        <f t="shared" si="40"/>
        <v>46259</v>
      </c>
      <c r="AB34" s="176">
        <f t="shared" si="40"/>
        <v>46351</v>
      </c>
      <c r="AC34" s="176">
        <f t="shared" si="40"/>
        <v>46443</v>
      </c>
      <c r="AD34" s="176">
        <f t="shared" si="40"/>
        <v>46532</v>
      </c>
      <c r="AE34" s="176">
        <f t="shared" si="40"/>
        <v>46624</v>
      </c>
      <c r="AF34" s="176">
        <f t="shared" si="40"/>
        <v>46716</v>
      </c>
      <c r="AG34" s="176">
        <f t="shared" si="40"/>
        <v>46808</v>
      </c>
      <c r="AH34" s="176">
        <f t="shared" si="40"/>
        <v>46898</v>
      </c>
      <c r="AI34" s="176">
        <f t="shared" si="40"/>
        <v>46990</v>
      </c>
      <c r="AJ34" s="192">
        <f ca="1">Z34-TODAY()</f>
        <v>-132</v>
      </c>
      <c r="AK34" s="194">
        <f t="shared" si="41"/>
        <v>15000000</v>
      </c>
      <c r="AL34" s="171" t="s">
        <v>944</v>
      </c>
    </row>
    <row r="35" spans="1:38" x14ac:dyDescent="0.2">
      <c r="A35" s="171">
        <v>32</v>
      </c>
      <c r="B35" s="184" t="s">
        <v>461</v>
      </c>
      <c r="C35" s="163" t="s">
        <v>288</v>
      </c>
      <c r="D35" s="201">
        <v>5000000</v>
      </c>
      <c r="E35" s="164"/>
      <c r="F35" s="166"/>
      <c r="G35" s="164" t="s">
        <v>463</v>
      </c>
      <c r="H35" s="164" t="s">
        <v>464</v>
      </c>
      <c r="I35" s="164" t="s">
        <v>465</v>
      </c>
      <c r="J35" s="164" t="s">
        <v>466</v>
      </c>
      <c r="K35" s="162" t="s">
        <v>77</v>
      </c>
      <c r="L35" s="199">
        <v>44896</v>
      </c>
      <c r="M35" s="182">
        <f>EDATE(L35,3)</f>
        <v>44986</v>
      </c>
      <c r="N35" s="166">
        <f t="shared" si="39"/>
        <v>45078</v>
      </c>
      <c r="O35" s="166">
        <f t="shared" si="39"/>
        <v>45170</v>
      </c>
      <c r="P35" s="166">
        <f>EDATE(O35,3)</f>
        <v>45261</v>
      </c>
      <c r="Q35" s="166">
        <f t="shared" si="39"/>
        <v>45352</v>
      </c>
      <c r="R35" s="166">
        <f>EDATE(Q35,3)</f>
        <v>45444</v>
      </c>
      <c r="S35" s="166">
        <f>EDATE(R35,3)</f>
        <v>45536</v>
      </c>
      <c r="T35" s="166">
        <f>EDATE(S35,3)</f>
        <v>45627</v>
      </c>
      <c r="U35" s="166">
        <f t="shared" ref="U35:W35" si="42">EDATE(T35,3)</f>
        <v>45717</v>
      </c>
      <c r="V35" s="166">
        <f>EDATE(U35,3)</f>
        <v>45809</v>
      </c>
      <c r="W35" s="166">
        <f t="shared" si="42"/>
        <v>45901</v>
      </c>
      <c r="X35" s="166">
        <f>EDATE(W35,3)</f>
        <v>45992</v>
      </c>
      <c r="Y35" s="185">
        <f>EDATE(X35,3)</f>
        <v>46082</v>
      </c>
      <c r="Z35" s="166">
        <f>EDATE(Y35,3)-1</f>
        <v>46173</v>
      </c>
      <c r="AA35" s="166">
        <f t="shared" si="40"/>
        <v>46265</v>
      </c>
      <c r="AB35" s="166">
        <f t="shared" si="40"/>
        <v>46356</v>
      </c>
      <c r="AC35" s="166">
        <f t="shared" si="40"/>
        <v>46446</v>
      </c>
      <c r="AD35" s="166">
        <f t="shared" si="40"/>
        <v>46535</v>
      </c>
      <c r="AE35" s="166">
        <f t="shared" si="40"/>
        <v>46627</v>
      </c>
      <c r="AF35" s="166">
        <f t="shared" si="40"/>
        <v>46719</v>
      </c>
      <c r="AG35" s="166">
        <f t="shared" si="40"/>
        <v>46811</v>
      </c>
      <c r="AH35" s="166">
        <f t="shared" si="40"/>
        <v>46901</v>
      </c>
      <c r="AI35" s="166">
        <f t="shared" si="40"/>
        <v>46993</v>
      </c>
      <c r="AJ35" s="186">
        <f ca="1">Z35-TODAY()</f>
        <v>-126</v>
      </c>
      <c r="AK35" s="201">
        <f t="shared" si="41"/>
        <v>15000000</v>
      </c>
      <c r="AL35" s="162" t="s">
        <v>944</v>
      </c>
    </row>
    <row r="36" spans="1:38" x14ac:dyDescent="0.2">
      <c r="A36" s="162">
        <v>33</v>
      </c>
      <c r="B36" s="184" t="s">
        <v>467</v>
      </c>
      <c r="C36" s="163" t="s">
        <v>468</v>
      </c>
      <c r="D36" s="201">
        <v>5500000</v>
      </c>
      <c r="E36" s="164"/>
      <c r="F36" s="166"/>
      <c r="G36" s="164" t="s">
        <v>470</v>
      </c>
      <c r="H36" s="164" t="s">
        <v>471</v>
      </c>
      <c r="I36" s="164" t="s">
        <v>114</v>
      </c>
      <c r="J36" s="164" t="s">
        <v>472</v>
      </c>
      <c r="K36" s="162" t="s">
        <v>77</v>
      </c>
      <c r="L36" s="199">
        <v>44896</v>
      </c>
      <c r="M36" s="182">
        <f>EDATE(L36,3)</f>
        <v>44986</v>
      </c>
      <c r="N36" s="166">
        <f t="shared" si="39"/>
        <v>45078</v>
      </c>
      <c r="O36" s="166">
        <f t="shared" si="39"/>
        <v>45170</v>
      </c>
      <c r="P36" s="166">
        <f>EDATE(O36,3)</f>
        <v>45261</v>
      </c>
      <c r="Q36" s="166">
        <f t="shared" si="39"/>
        <v>45352</v>
      </c>
      <c r="R36" s="166">
        <f>EDATE(Q36,3)</f>
        <v>45444</v>
      </c>
      <c r="S36" s="166">
        <f>EDATE(R36,3)</f>
        <v>45536</v>
      </c>
      <c r="T36" s="166">
        <f t="shared" ref="T36:W36" si="43">EDATE(S36,3)</f>
        <v>45627</v>
      </c>
      <c r="U36" s="166">
        <f t="shared" si="43"/>
        <v>45717</v>
      </c>
      <c r="V36" s="166">
        <f>EDATE(U36,3)</f>
        <v>45809</v>
      </c>
      <c r="W36" s="166">
        <f t="shared" si="43"/>
        <v>45901</v>
      </c>
      <c r="X36" s="166">
        <f>EDATE(W36,3)</f>
        <v>45992</v>
      </c>
      <c r="Y36" s="185">
        <f>EDATE(X36,3)</f>
        <v>46082</v>
      </c>
      <c r="Z36" s="166">
        <f>EDATE(Y36,3)-1</f>
        <v>46173</v>
      </c>
      <c r="AA36" s="166">
        <f t="shared" si="40"/>
        <v>46265</v>
      </c>
      <c r="AB36" s="166">
        <f t="shared" si="40"/>
        <v>46356</v>
      </c>
      <c r="AC36" s="166">
        <f t="shared" si="40"/>
        <v>46446</v>
      </c>
      <c r="AD36" s="166">
        <f t="shared" si="40"/>
        <v>46535</v>
      </c>
      <c r="AE36" s="166">
        <f t="shared" si="40"/>
        <v>46627</v>
      </c>
      <c r="AF36" s="166">
        <f t="shared" si="40"/>
        <v>46719</v>
      </c>
      <c r="AG36" s="166">
        <f t="shared" si="40"/>
        <v>46811</v>
      </c>
      <c r="AH36" s="166">
        <f t="shared" si="40"/>
        <v>46901</v>
      </c>
      <c r="AI36" s="166">
        <f t="shared" si="40"/>
        <v>46993</v>
      </c>
      <c r="AJ36" s="186">
        <f ca="1">Z36-TODAY()</f>
        <v>-126</v>
      </c>
      <c r="AK36" s="201">
        <f t="shared" si="41"/>
        <v>16500000</v>
      </c>
      <c r="AL36" s="162" t="s">
        <v>944</v>
      </c>
    </row>
    <row r="37" spans="1:38" x14ac:dyDescent="0.2">
      <c r="A37" s="171">
        <v>34</v>
      </c>
      <c r="B37" s="162" t="s">
        <v>141</v>
      </c>
      <c r="C37" s="163" t="s">
        <v>66</v>
      </c>
      <c r="D37" s="201">
        <v>7700000</v>
      </c>
      <c r="E37" s="164"/>
      <c r="F37" s="166"/>
      <c r="G37" s="187" t="s">
        <v>474</v>
      </c>
      <c r="H37" s="187" t="s">
        <v>475</v>
      </c>
      <c r="I37" s="187" t="s">
        <v>476</v>
      </c>
      <c r="J37" s="164" t="s">
        <v>477</v>
      </c>
      <c r="K37" s="208" t="s">
        <v>79</v>
      </c>
      <c r="L37" s="199">
        <v>44870</v>
      </c>
      <c r="M37" s="182">
        <f t="shared" ref="M37:N39" si="44">EDATE(L37,6)</f>
        <v>45051</v>
      </c>
      <c r="N37" s="166">
        <f t="shared" si="44"/>
        <v>45235</v>
      </c>
      <c r="O37" s="182">
        <v>45444</v>
      </c>
      <c r="P37" s="166">
        <f>EDATE(O37,6)</f>
        <v>45627</v>
      </c>
      <c r="Q37" s="166">
        <f>EDATE(P37,6)</f>
        <v>45809</v>
      </c>
      <c r="R37" s="166">
        <f t="shared" ref="R37:AI39" si="45">EDATE(Q37,6)</f>
        <v>45992</v>
      </c>
      <c r="S37" s="185">
        <f>EDATE(R37,6)</f>
        <v>46174</v>
      </c>
      <c r="T37" s="166">
        <f t="shared" si="45"/>
        <v>46357</v>
      </c>
      <c r="U37" s="166">
        <f t="shared" si="45"/>
        <v>46539</v>
      </c>
      <c r="V37" s="166">
        <f t="shared" si="45"/>
        <v>46722</v>
      </c>
      <c r="W37" s="166">
        <f t="shared" si="45"/>
        <v>46905</v>
      </c>
      <c r="X37" s="166">
        <f t="shared" si="45"/>
        <v>47088</v>
      </c>
      <c r="Y37" s="166">
        <f t="shared" si="45"/>
        <v>47270</v>
      </c>
      <c r="Z37" s="166">
        <f t="shared" si="45"/>
        <v>47453</v>
      </c>
      <c r="AA37" s="166">
        <f t="shared" si="45"/>
        <v>47635</v>
      </c>
      <c r="AB37" s="166">
        <f t="shared" si="45"/>
        <v>47818</v>
      </c>
      <c r="AC37" s="166">
        <f t="shared" si="45"/>
        <v>48000</v>
      </c>
      <c r="AD37" s="166">
        <f t="shared" si="45"/>
        <v>48183</v>
      </c>
      <c r="AE37" s="166">
        <f t="shared" si="45"/>
        <v>48366</v>
      </c>
      <c r="AF37" s="166">
        <f t="shared" si="45"/>
        <v>48549</v>
      </c>
      <c r="AG37" s="166">
        <f t="shared" si="45"/>
        <v>48731</v>
      </c>
      <c r="AH37" s="166">
        <f t="shared" si="45"/>
        <v>48914</v>
      </c>
      <c r="AI37" s="166">
        <f t="shared" si="45"/>
        <v>49096</v>
      </c>
      <c r="AJ37" s="186">
        <f ca="1">S37-TODAY()</f>
        <v>-125</v>
      </c>
      <c r="AK37" s="201">
        <f>D37*6</f>
        <v>46200000</v>
      </c>
      <c r="AL37" s="162" t="s">
        <v>947</v>
      </c>
    </row>
    <row r="38" spans="1:38" x14ac:dyDescent="0.2">
      <c r="A38" s="162">
        <v>35</v>
      </c>
      <c r="B38" s="162" t="s">
        <v>478</v>
      </c>
      <c r="C38" s="163" t="s">
        <v>229</v>
      </c>
      <c r="D38" s="201">
        <v>6000000</v>
      </c>
      <c r="E38" s="164"/>
      <c r="F38" s="166"/>
      <c r="G38" s="164" t="s">
        <v>480</v>
      </c>
      <c r="H38" s="164" t="s">
        <v>482</v>
      </c>
      <c r="I38" s="164" t="s">
        <v>481</v>
      </c>
      <c r="J38" s="164" t="s">
        <v>483</v>
      </c>
      <c r="K38" s="209" t="s">
        <v>79</v>
      </c>
      <c r="L38" s="167">
        <v>44896</v>
      </c>
      <c r="M38" s="182">
        <f t="shared" si="44"/>
        <v>45078</v>
      </c>
      <c r="N38" s="166">
        <f t="shared" si="44"/>
        <v>45261</v>
      </c>
      <c r="O38" s="182">
        <f>EDATE(N38,6)</f>
        <v>45444</v>
      </c>
      <c r="P38" s="166">
        <f>EDATE(O38,6)</f>
        <v>45627</v>
      </c>
      <c r="Q38" s="166">
        <f t="shared" ref="Q38:W39" si="46">EDATE(P38,6)</f>
        <v>45809</v>
      </c>
      <c r="R38" s="166">
        <f t="shared" si="46"/>
        <v>45992</v>
      </c>
      <c r="S38" s="185">
        <f>EDATE(R38,6)</f>
        <v>46174</v>
      </c>
      <c r="T38" s="166">
        <f t="shared" si="46"/>
        <v>46357</v>
      </c>
      <c r="U38" s="166">
        <f t="shared" si="46"/>
        <v>46539</v>
      </c>
      <c r="V38" s="166">
        <f t="shared" si="46"/>
        <v>46722</v>
      </c>
      <c r="W38" s="166">
        <f t="shared" si="46"/>
        <v>46905</v>
      </c>
      <c r="X38" s="166">
        <f t="shared" si="45"/>
        <v>47088</v>
      </c>
      <c r="Y38" s="166">
        <f t="shared" si="45"/>
        <v>47270</v>
      </c>
      <c r="Z38" s="166">
        <f t="shared" si="45"/>
        <v>47453</v>
      </c>
      <c r="AA38" s="166">
        <f t="shared" si="45"/>
        <v>47635</v>
      </c>
      <c r="AB38" s="166">
        <f t="shared" si="45"/>
        <v>47818</v>
      </c>
      <c r="AC38" s="166">
        <f t="shared" si="45"/>
        <v>48000</v>
      </c>
      <c r="AD38" s="166">
        <f t="shared" si="45"/>
        <v>48183</v>
      </c>
      <c r="AE38" s="166">
        <f t="shared" si="45"/>
        <v>48366</v>
      </c>
      <c r="AF38" s="166">
        <f t="shared" si="45"/>
        <v>48549</v>
      </c>
      <c r="AG38" s="166">
        <f t="shared" si="45"/>
        <v>48731</v>
      </c>
      <c r="AH38" s="166">
        <f t="shared" si="45"/>
        <v>48914</v>
      </c>
      <c r="AI38" s="166">
        <f t="shared" si="45"/>
        <v>49096</v>
      </c>
      <c r="AJ38" s="186">
        <f ca="1">S38-TODAY()</f>
        <v>-125</v>
      </c>
      <c r="AK38" s="201">
        <f>D38*6</f>
        <v>36000000</v>
      </c>
      <c r="AL38" s="162" t="s">
        <v>947</v>
      </c>
    </row>
    <row r="39" spans="1:38" x14ac:dyDescent="0.2">
      <c r="A39" s="171">
        <v>36</v>
      </c>
      <c r="B39" s="162" t="s">
        <v>493</v>
      </c>
      <c r="C39" s="163" t="s">
        <v>32</v>
      </c>
      <c r="D39" s="201">
        <v>7000000</v>
      </c>
      <c r="E39" s="164"/>
      <c r="F39" s="166"/>
      <c r="G39" s="164" t="s">
        <v>495</v>
      </c>
      <c r="H39" s="164" t="s">
        <v>497</v>
      </c>
      <c r="I39" s="164" t="s">
        <v>496</v>
      </c>
      <c r="J39" s="164" t="s">
        <v>498</v>
      </c>
      <c r="K39" s="210" t="s">
        <v>79</v>
      </c>
      <c r="L39" s="167">
        <v>44910</v>
      </c>
      <c r="M39" s="182">
        <f t="shared" si="44"/>
        <v>45092</v>
      </c>
      <c r="N39" s="166">
        <f>EDATE(M39,6)</f>
        <v>45275</v>
      </c>
      <c r="O39" s="166">
        <f>EDATE(N39,6)</f>
        <v>45458</v>
      </c>
      <c r="P39" s="166">
        <f>EDATE(O39,6)</f>
        <v>45641</v>
      </c>
      <c r="Q39" s="166">
        <f t="shared" si="46"/>
        <v>45823</v>
      </c>
      <c r="R39" s="166">
        <f t="shared" si="46"/>
        <v>46006</v>
      </c>
      <c r="S39" s="185">
        <f t="shared" si="46"/>
        <v>46188</v>
      </c>
      <c r="T39" s="166">
        <f t="shared" si="46"/>
        <v>46371</v>
      </c>
      <c r="U39" s="166">
        <f t="shared" si="46"/>
        <v>46553</v>
      </c>
      <c r="V39" s="166">
        <f t="shared" si="46"/>
        <v>46736</v>
      </c>
      <c r="W39" s="166">
        <f t="shared" si="46"/>
        <v>46919</v>
      </c>
      <c r="X39" s="166">
        <f t="shared" si="45"/>
        <v>47102</v>
      </c>
      <c r="Y39" s="166">
        <f t="shared" si="45"/>
        <v>47284</v>
      </c>
      <c r="Z39" s="166">
        <f t="shared" si="45"/>
        <v>47467</v>
      </c>
      <c r="AA39" s="166">
        <f t="shared" si="45"/>
        <v>47649</v>
      </c>
      <c r="AB39" s="166">
        <f t="shared" si="45"/>
        <v>47832</v>
      </c>
      <c r="AC39" s="166">
        <f t="shared" si="45"/>
        <v>48014</v>
      </c>
      <c r="AD39" s="166">
        <f t="shared" si="45"/>
        <v>48197</v>
      </c>
      <c r="AE39" s="166">
        <f t="shared" si="45"/>
        <v>48380</v>
      </c>
      <c r="AF39" s="166">
        <f t="shared" si="45"/>
        <v>48563</v>
      </c>
      <c r="AG39" s="166">
        <f t="shared" si="45"/>
        <v>48745</v>
      </c>
      <c r="AH39" s="166">
        <f t="shared" si="45"/>
        <v>48928</v>
      </c>
      <c r="AI39" s="166">
        <f t="shared" si="45"/>
        <v>49110</v>
      </c>
      <c r="AJ39" s="186">
        <f ca="1">S39-TODAY()</f>
        <v>-111</v>
      </c>
      <c r="AK39" s="201">
        <f>D39*6</f>
        <v>42000000</v>
      </c>
      <c r="AL39" s="162" t="s">
        <v>947</v>
      </c>
    </row>
    <row r="40" spans="1:38" x14ac:dyDescent="0.2">
      <c r="A40" s="162">
        <v>37</v>
      </c>
      <c r="B40" s="162" t="s">
        <v>492</v>
      </c>
      <c r="C40" s="163" t="s">
        <v>32</v>
      </c>
      <c r="D40" s="201">
        <v>8000000</v>
      </c>
      <c r="E40" s="164"/>
      <c r="F40" s="166"/>
      <c r="G40" s="164" t="s">
        <v>508</v>
      </c>
      <c r="H40" s="164" t="s">
        <v>500</v>
      </c>
      <c r="I40" s="164" t="s">
        <v>501</v>
      </c>
      <c r="J40" s="164" t="s">
        <v>502</v>
      </c>
      <c r="K40" s="162" t="s">
        <v>77</v>
      </c>
      <c r="L40" s="167">
        <v>44910</v>
      </c>
      <c r="M40" s="182">
        <f t="shared" ref="M40:S43" si="47">EDATE(L40,3)</f>
        <v>45000</v>
      </c>
      <c r="N40" s="166">
        <f t="shared" si="47"/>
        <v>45092</v>
      </c>
      <c r="O40" s="167">
        <f t="shared" si="47"/>
        <v>45184</v>
      </c>
      <c r="P40" s="166">
        <f>EDATE(O40,3)</f>
        <v>45275</v>
      </c>
      <c r="Q40" s="166">
        <f>EDATE(P40,3)</f>
        <v>45366</v>
      </c>
      <c r="R40" s="166">
        <f>EDATE(Q40,3)</f>
        <v>45458</v>
      </c>
      <c r="S40" s="166">
        <f>EDATE(R40,3)</f>
        <v>45550</v>
      </c>
      <c r="T40" s="166">
        <f t="shared" ref="T40:AI43" si="48">EDATE(S40,3)</f>
        <v>45641</v>
      </c>
      <c r="U40" s="166">
        <f t="shared" si="48"/>
        <v>45731</v>
      </c>
      <c r="V40" s="166">
        <f t="shared" si="48"/>
        <v>45823</v>
      </c>
      <c r="W40" s="166">
        <f t="shared" si="48"/>
        <v>45915</v>
      </c>
      <c r="X40" s="166">
        <f t="shared" si="48"/>
        <v>46006</v>
      </c>
      <c r="Y40" s="185">
        <f t="shared" si="48"/>
        <v>46096</v>
      </c>
      <c r="Z40" s="166">
        <f t="shared" si="48"/>
        <v>46188</v>
      </c>
      <c r="AA40" s="166">
        <f t="shared" si="48"/>
        <v>46280</v>
      </c>
      <c r="AB40" s="166">
        <f t="shared" si="48"/>
        <v>46371</v>
      </c>
      <c r="AC40" s="166">
        <f t="shared" si="48"/>
        <v>46461</v>
      </c>
      <c r="AD40" s="166">
        <f t="shared" si="48"/>
        <v>46553</v>
      </c>
      <c r="AE40" s="166">
        <f t="shared" si="48"/>
        <v>46645</v>
      </c>
      <c r="AF40" s="166">
        <f t="shared" si="48"/>
        <v>46736</v>
      </c>
      <c r="AG40" s="166">
        <f t="shared" si="48"/>
        <v>46827</v>
      </c>
      <c r="AH40" s="166">
        <f t="shared" si="48"/>
        <v>46919</v>
      </c>
      <c r="AI40" s="166">
        <f t="shared" si="48"/>
        <v>47011</v>
      </c>
      <c r="AJ40" s="186">
        <f ca="1">Z40-TODAY()</f>
        <v>-111</v>
      </c>
      <c r="AK40" s="201">
        <f>D40*3</f>
        <v>24000000</v>
      </c>
      <c r="AL40" s="162" t="s">
        <v>944</v>
      </c>
    </row>
    <row r="41" spans="1:38" x14ac:dyDescent="0.2">
      <c r="A41" s="171">
        <v>38</v>
      </c>
      <c r="B41" s="162" t="s">
        <v>484</v>
      </c>
      <c r="C41" s="163" t="s">
        <v>66</v>
      </c>
      <c r="D41" s="201">
        <v>7000000</v>
      </c>
      <c r="E41" s="164"/>
      <c r="F41" s="166"/>
      <c r="G41" s="164" t="s">
        <v>505</v>
      </c>
      <c r="H41" s="164" t="s">
        <v>504</v>
      </c>
      <c r="I41" s="164" t="s">
        <v>506</v>
      </c>
      <c r="J41" s="164" t="s">
        <v>507</v>
      </c>
      <c r="K41" s="162" t="s">
        <v>77</v>
      </c>
      <c r="L41" s="167">
        <v>44920</v>
      </c>
      <c r="M41" s="182">
        <f t="shared" si="47"/>
        <v>45010</v>
      </c>
      <c r="N41" s="166">
        <f t="shared" si="47"/>
        <v>45102</v>
      </c>
      <c r="O41" s="199">
        <f t="shared" si="47"/>
        <v>45194</v>
      </c>
      <c r="P41" s="166">
        <f>EDATE(O41,3)</f>
        <v>45285</v>
      </c>
      <c r="Q41" s="199">
        <f t="shared" si="47"/>
        <v>45376</v>
      </c>
      <c r="R41" s="166">
        <f>EDATE(Q41,3)</f>
        <v>45468</v>
      </c>
      <c r="S41" s="199">
        <f t="shared" si="47"/>
        <v>45560</v>
      </c>
      <c r="T41" s="199">
        <f t="shared" si="48"/>
        <v>45651</v>
      </c>
      <c r="U41" s="199">
        <f t="shared" si="48"/>
        <v>45741</v>
      </c>
      <c r="V41" s="199">
        <f t="shared" si="48"/>
        <v>45833</v>
      </c>
      <c r="W41" s="199">
        <f t="shared" si="48"/>
        <v>45925</v>
      </c>
      <c r="X41" s="199">
        <f t="shared" si="48"/>
        <v>46016</v>
      </c>
      <c r="Y41" s="211">
        <f t="shared" si="48"/>
        <v>46106</v>
      </c>
      <c r="Z41" s="199">
        <f t="shared" si="48"/>
        <v>46198</v>
      </c>
      <c r="AA41" s="199">
        <f t="shared" si="48"/>
        <v>46290</v>
      </c>
      <c r="AB41" s="199">
        <f t="shared" si="48"/>
        <v>46381</v>
      </c>
      <c r="AC41" s="199">
        <f t="shared" si="48"/>
        <v>46471</v>
      </c>
      <c r="AD41" s="199">
        <f t="shared" si="48"/>
        <v>46563</v>
      </c>
      <c r="AE41" s="199">
        <f t="shared" si="48"/>
        <v>46655</v>
      </c>
      <c r="AF41" s="199">
        <f t="shared" si="48"/>
        <v>46746</v>
      </c>
      <c r="AG41" s="199">
        <f t="shared" si="48"/>
        <v>46837</v>
      </c>
      <c r="AH41" s="199">
        <f t="shared" si="48"/>
        <v>46929</v>
      </c>
      <c r="AI41" s="199">
        <f t="shared" si="48"/>
        <v>47021</v>
      </c>
      <c r="AJ41" s="186">
        <f ca="1">Y41-TODAY()</f>
        <v>-193</v>
      </c>
      <c r="AK41" s="201">
        <f>D41*3</f>
        <v>21000000</v>
      </c>
      <c r="AL41" s="162" t="s">
        <v>950</v>
      </c>
    </row>
    <row r="42" spans="1:38" x14ac:dyDescent="0.2">
      <c r="A42" s="162">
        <v>39</v>
      </c>
      <c r="B42" s="162" t="s">
        <v>541</v>
      </c>
      <c r="C42" s="163" t="s">
        <v>376</v>
      </c>
      <c r="D42" s="201">
        <v>6500000</v>
      </c>
      <c r="E42" s="164"/>
      <c r="F42" s="166"/>
      <c r="G42" s="164" t="s">
        <v>543</v>
      </c>
      <c r="H42" s="164" t="s">
        <v>544</v>
      </c>
      <c r="I42" s="164" t="s">
        <v>194</v>
      </c>
      <c r="J42" s="164" t="s">
        <v>545</v>
      </c>
      <c r="K42" s="162" t="s">
        <v>77</v>
      </c>
      <c r="L42" s="167">
        <v>45047</v>
      </c>
      <c r="M42" s="182">
        <f t="shared" si="47"/>
        <v>45139</v>
      </c>
      <c r="N42" s="166">
        <f t="shared" si="47"/>
        <v>45231</v>
      </c>
      <c r="O42" s="182">
        <f t="shared" si="47"/>
        <v>45323</v>
      </c>
      <c r="P42" s="166">
        <f>EDATE(O42,3)</f>
        <v>45413</v>
      </c>
      <c r="Q42" s="182">
        <f>EDATE(P42,3)</f>
        <v>45505</v>
      </c>
      <c r="R42" s="182">
        <f t="shared" ref="R42:R43" si="49">EDATE(Q42,3)</f>
        <v>45597</v>
      </c>
      <c r="S42" s="182">
        <f>EDATE(R42,3)</f>
        <v>45689</v>
      </c>
      <c r="T42" s="182">
        <f t="shared" si="48"/>
        <v>45778</v>
      </c>
      <c r="U42" s="182">
        <f>EDATE(T42,3)</f>
        <v>45870</v>
      </c>
      <c r="V42" s="182">
        <f>EDATE(U42,3)</f>
        <v>45962</v>
      </c>
      <c r="W42" s="182">
        <f>EDATE(V42,3)</f>
        <v>46054</v>
      </c>
      <c r="X42" s="212">
        <f>EDATE(W42,3)</f>
        <v>46143</v>
      </c>
      <c r="Y42" s="182">
        <f t="shared" si="48"/>
        <v>46235</v>
      </c>
      <c r="Z42" s="182">
        <f t="shared" si="48"/>
        <v>46327</v>
      </c>
      <c r="AA42" s="182">
        <f t="shared" si="48"/>
        <v>46419</v>
      </c>
      <c r="AB42" s="182">
        <f t="shared" si="48"/>
        <v>46508</v>
      </c>
      <c r="AC42" s="182">
        <f t="shared" si="48"/>
        <v>46600</v>
      </c>
      <c r="AD42" s="182">
        <f t="shared" si="48"/>
        <v>46692</v>
      </c>
      <c r="AE42" s="182">
        <f t="shared" si="48"/>
        <v>46784</v>
      </c>
      <c r="AF42" s="182">
        <f t="shared" si="48"/>
        <v>46874</v>
      </c>
      <c r="AG42" s="182">
        <f t="shared" si="48"/>
        <v>46966</v>
      </c>
      <c r="AH42" s="182">
        <f t="shared" si="48"/>
        <v>47058</v>
      </c>
      <c r="AI42" s="182">
        <f t="shared" si="48"/>
        <v>47150</v>
      </c>
      <c r="AJ42" s="186">
        <f ca="1">X42-TODAY()</f>
        <v>-156</v>
      </c>
      <c r="AK42" s="201">
        <f t="shared" ref="AK42:AK43" si="50">D42*3</f>
        <v>19500000</v>
      </c>
      <c r="AL42" s="162" t="s">
        <v>951</v>
      </c>
    </row>
    <row r="43" spans="1:38" x14ac:dyDescent="0.2">
      <c r="A43" s="171">
        <v>40</v>
      </c>
      <c r="B43" s="171" t="s">
        <v>550</v>
      </c>
      <c r="C43" s="163" t="s">
        <v>229</v>
      </c>
      <c r="D43" s="194">
        <v>6000000</v>
      </c>
      <c r="E43" s="164"/>
      <c r="F43" s="166"/>
      <c r="G43" s="173" t="s">
        <v>552</v>
      </c>
      <c r="H43" s="173" t="s">
        <v>553</v>
      </c>
      <c r="I43" s="173" t="s">
        <v>170</v>
      </c>
      <c r="J43" s="173" t="s">
        <v>554</v>
      </c>
      <c r="K43" s="171" t="s">
        <v>77</v>
      </c>
      <c r="L43" s="177">
        <v>45061</v>
      </c>
      <c r="M43" s="176">
        <f>EDATE(L43,3)</f>
        <v>45153</v>
      </c>
      <c r="N43" s="177">
        <f>EDATE(M43,3)</f>
        <v>45245</v>
      </c>
      <c r="O43" s="176">
        <f>EDATE(N43,3)</f>
        <v>45337</v>
      </c>
      <c r="P43" s="177">
        <f>EDATE(O43,3)</f>
        <v>45427</v>
      </c>
      <c r="Q43" s="176">
        <f>EDATE(P43,3)</f>
        <v>45519</v>
      </c>
      <c r="R43" s="176">
        <f t="shared" si="49"/>
        <v>45611</v>
      </c>
      <c r="S43" s="176">
        <f t="shared" si="47"/>
        <v>45703</v>
      </c>
      <c r="T43" s="176">
        <f t="shared" si="48"/>
        <v>45792</v>
      </c>
      <c r="U43" s="176">
        <f t="shared" si="48"/>
        <v>45884</v>
      </c>
      <c r="V43" s="176">
        <f t="shared" si="48"/>
        <v>45976</v>
      </c>
      <c r="W43" s="176">
        <f t="shared" si="48"/>
        <v>46068</v>
      </c>
      <c r="X43" s="207">
        <f t="shared" si="48"/>
        <v>46157</v>
      </c>
      <c r="Y43" s="176">
        <f t="shared" si="48"/>
        <v>46249</v>
      </c>
      <c r="Z43" s="176">
        <f t="shared" si="48"/>
        <v>46341</v>
      </c>
      <c r="AA43" s="176">
        <f t="shared" si="48"/>
        <v>46433</v>
      </c>
      <c r="AB43" s="176">
        <f t="shared" si="48"/>
        <v>46522</v>
      </c>
      <c r="AC43" s="176">
        <f t="shared" si="48"/>
        <v>46614</v>
      </c>
      <c r="AD43" s="176">
        <f t="shared" si="48"/>
        <v>46706</v>
      </c>
      <c r="AE43" s="176">
        <f t="shared" si="48"/>
        <v>46798</v>
      </c>
      <c r="AF43" s="176">
        <f t="shared" si="48"/>
        <v>46888</v>
      </c>
      <c r="AG43" s="176">
        <f t="shared" si="48"/>
        <v>46980</v>
      </c>
      <c r="AH43" s="176">
        <f t="shared" si="48"/>
        <v>47072</v>
      </c>
      <c r="AI43" s="176">
        <f t="shared" si="48"/>
        <v>47164</v>
      </c>
      <c r="AJ43" s="192">
        <f ca="1">X43-TODAY()</f>
        <v>-142</v>
      </c>
      <c r="AK43" s="194">
        <f t="shared" si="50"/>
        <v>18000000</v>
      </c>
      <c r="AL43" s="171" t="s">
        <v>951</v>
      </c>
    </row>
    <row r="44" spans="1:38" x14ac:dyDescent="0.2">
      <c r="A44" s="162" t="s">
        <v>1137</v>
      </c>
      <c r="B44" s="162" t="s">
        <v>1136</v>
      </c>
      <c r="C44" s="163" t="s">
        <v>32</v>
      </c>
      <c r="D44" s="201">
        <v>6000000</v>
      </c>
      <c r="E44" s="164"/>
      <c r="F44" s="166"/>
      <c r="G44" s="164" t="s">
        <v>632</v>
      </c>
      <c r="H44" s="164" t="s">
        <v>633</v>
      </c>
      <c r="I44" s="164" t="s">
        <v>634</v>
      </c>
      <c r="J44" s="164" t="s">
        <v>639</v>
      </c>
      <c r="K44" s="162" t="s">
        <v>79</v>
      </c>
      <c r="L44" s="167" t="s">
        <v>952</v>
      </c>
      <c r="M44" s="167" t="s">
        <v>952</v>
      </c>
      <c r="N44" s="167" t="s">
        <v>952</v>
      </c>
      <c r="O44" s="199">
        <v>45047</v>
      </c>
      <c r="P44" s="199">
        <f t="shared" ref="P44:AG59" si="51">EDATE(O44,6)</f>
        <v>45231</v>
      </c>
      <c r="Q44" s="199">
        <f t="shared" si="51"/>
        <v>45413</v>
      </c>
      <c r="R44" s="199">
        <f t="shared" si="51"/>
        <v>45597</v>
      </c>
      <c r="S44" s="199">
        <f t="shared" si="51"/>
        <v>45778</v>
      </c>
      <c r="T44" s="199">
        <f t="shared" si="51"/>
        <v>45962</v>
      </c>
      <c r="U44" s="211">
        <f t="shared" si="51"/>
        <v>46143</v>
      </c>
      <c r="V44" s="199">
        <f t="shared" si="51"/>
        <v>46327</v>
      </c>
      <c r="W44" s="199">
        <f t="shared" si="51"/>
        <v>46508</v>
      </c>
      <c r="X44" s="199">
        <f t="shared" si="51"/>
        <v>46692</v>
      </c>
      <c r="Y44" s="199">
        <f t="shared" si="51"/>
        <v>46874</v>
      </c>
      <c r="Z44" s="199">
        <f t="shared" si="51"/>
        <v>47058</v>
      </c>
      <c r="AA44" s="199">
        <f t="shared" si="51"/>
        <v>47239</v>
      </c>
      <c r="AB44" s="199">
        <f t="shared" si="51"/>
        <v>47423</v>
      </c>
      <c r="AC44" s="199">
        <f t="shared" si="51"/>
        <v>47604</v>
      </c>
      <c r="AD44" s="199">
        <f t="shared" si="51"/>
        <v>47788</v>
      </c>
      <c r="AE44" s="199">
        <f t="shared" si="51"/>
        <v>47969</v>
      </c>
      <c r="AF44" s="199">
        <f t="shared" si="51"/>
        <v>48153</v>
      </c>
      <c r="AG44" s="199">
        <f t="shared" si="51"/>
        <v>48335</v>
      </c>
      <c r="AH44" s="199">
        <f t="shared" ref="AH44:AI78" si="52">EDATE(AG44,6)</f>
        <v>48519</v>
      </c>
      <c r="AI44" s="199">
        <f t="shared" si="52"/>
        <v>48700</v>
      </c>
      <c r="AJ44" s="186">
        <f ca="1">U44-TODAY()</f>
        <v>-156</v>
      </c>
      <c r="AK44" s="201">
        <f>D44*6</f>
        <v>36000000</v>
      </c>
      <c r="AL44" s="162" t="s">
        <v>953</v>
      </c>
    </row>
    <row r="45" spans="1:38" x14ac:dyDescent="0.2">
      <c r="A45" s="171">
        <v>42</v>
      </c>
      <c r="B45" s="213" t="s">
        <v>568</v>
      </c>
      <c r="C45" s="163" t="s">
        <v>468</v>
      </c>
      <c r="D45" s="194">
        <v>4300000</v>
      </c>
      <c r="E45" s="164"/>
      <c r="F45" s="166"/>
      <c r="G45" s="173" t="s">
        <v>594</v>
      </c>
      <c r="H45" s="173" t="s">
        <v>596</v>
      </c>
      <c r="I45" s="173" t="s">
        <v>595</v>
      </c>
      <c r="J45" s="173" t="s">
        <v>597</v>
      </c>
      <c r="K45" s="214" t="s">
        <v>79</v>
      </c>
      <c r="L45" s="203">
        <v>45179</v>
      </c>
      <c r="M45" s="176">
        <f t="shared" ref="M45:Q52" si="53">EDATE(L45,6)</f>
        <v>45361</v>
      </c>
      <c r="N45" s="176">
        <f t="shared" si="53"/>
        <v>45545</v>
      </c>
      <c r="O45" s="176">
        <f t="shared" si="53"/>
        <v>45726</v>
      </c>
      <c r="P45" s="176">
        <f t="shared" si="51"/>
        <v>45910</v>
      </c>
      <c r="Q45" s="176">
        <f t="shared" si="51"/>
        <v>46091</v>
      </c>
      <c r="R45" s="207">
        <f t="shared" si="51"/>
        <v>46275</v>
      </c>
      <c r="S45" s="176">
        <f t="shared" si="51"/>
        <v>46456</v>
      </c>
      <c r="T45" s="176">
        <f t="shared" si="51"/>
        <v>46640</v>
      </c>
      <c r="U45" s="176">
        <f t="shared" si="51"/>
        <v>46822</v>
      </c>
      <c r="V45" s="176">
        <f t="shared" si="51"/>
        <v>47006</v>
      </c>
      <c r="W45" s="176">
        <f t="shared" si="51"/>
        <v>47187</v>
      </c>
      <c r="X45" s="176">
        <f t="shared" si="51"/>
        <v>47371</v>
      </c>
      <c r="Y45" s="176">
        <f t="shared" si="51"/>
        <v>47552</v>
      </c>
      <c r="Z45" s="176">
        <f t="shared" si="51"/>
        <v>47736</v>
      </c>
      <c r="AA45" s="176">
        <f t="shared" si="51"/>
        <v>47917</v>
      </c>
      <c r="AB45" s="176">
        <f t="shared" si="51"/>
        <v>48101</v>
      </c>
      <c r="AC45" s="176">
        <f t="shared" si="51"/>
        <v>48283</v>
      </c>
      <c r="AD45" s="176">
        <f t="shared" si="51"/>
        <v>48467</v>
      </c>
      <c r="AE45" s="176">
        <f t="shared" si="51"/>
        <v>48648</v>
      </c>
      <c r="AF45" s="176">
        <f t="shared" si="51"/>
        <v>48832</v>
      </c>
      <c r="AG45" s="176">
        <f t="shared" si="51"/>
        <v>49013</v>
      </c>
      <c r="AH45" s="176">
        <f t="shared" si="52"/>
        <v>49197</v>
      </c>
      <c r="AI45" s="176">
        <f t="shared" si="52"/>
        <v>49378</v>
      </c>
      <c r="AJ45" s="192">
        <f ca="1">R45-TODAY()</f>
        <v>-24</v>
      </c>
      <c r="AK45" s="194">
        <f>D45*6</f>
        <v>25800000</v>
      </c>
      <c r="AL45" s="171" t="s">
        <v>954</v>
      </c>
    </row>
    <row r="46" spans="1:38" x14ac:dyDescent="0.2">
      <c r="A46" s="162">
        <v>43</v>
      </c>
      <c r="B46" s="162" t="s">
        <v>569</v>
      </c>
      <c r="C46" s="163" t="s">
        <v>573</v>
      </c>
      <c r="D46" s="201">
        <v>6000000</v>
      </c>
      <c r="E46" s="164"/>
      <c r="F46" s="166"/>
      <c r="G46" s="164" t="s">
        <v>575</v>
      </c>
      <c r="H46" s="164" t="s">
        <v>576</v>
      </c>
      <c r="I46" s="164" t="s">
        <v>398</v>
      </c>
      <c r="J46" s="164" t="s">
        <v>577</v>
      </c>
      <c r="K46" s="197" t="s">
        <v>1156</v>
      </c>
      <c r="L46" s="167">
        <v>45122</v>
      </c>
      <c r="M46" s="182">
        <f>EDATE(L46,6)</f>
        <v>45306</v>
      </c>
      <c r="N46" s="182">
        <f t="shared" si="53"/>
        <v>45488</v>
      </c>
      <c r="O46" s="182">
        <f>EDATE(N46,6)</f>
        <v>45672</v>
      </c>
      <c r="P46" s="182">
        <f>EDATE(O46,6)</f>
        <v>45853</v>
      </c>
      <c r="Q46" s="182">
        <f t="shared" ref="Q46:V46" si="54">EDATE(P46,1)</f>
        <v>45884</v>
      </c>
      <c r="R46" s="182">
        <f t="shared" si="54"/>
        <v>45915</v>
      </c>
      <c r="S46" s="182">
        <f t="shared" si="54"/>
        <v>45945</v>
      </c>
      <c r="T46" s="182">
        <f t="shared" si="54"/>
        <v>45976</v>
      </c>
      <c r="U46" s="182">
        <f t="shared" si="54"/>
        <v>46006</v>
      </c>
      <c r="V46" s="182">
        <f t="shared" si="54"/>
        <v>46037</v>
      </c>
      <c r="W46" s="182">
        <f>EDATE(V46,1)</f>
        <v>46068</v>
      </c>
      <c r="X46" s="212">
        <f>EDATE(W46,1)</f>
        <v>46096</v>
      </c>
      <c r="Y46" s="182">
        <f>EDATE(X46,1)</f>
        <v>46127</v>
      </c>
      <c r="Z46" s="182">
        <f>EDATE(Y46,1)</f>
        <v>46157</v>
      </c>
      <c r="AA46" s="182">
        <f t="shared" ref="AA46:AI46" si="55">EDATE(Z46,1)</f>
        <v>46188</v>
      </c>
      <c r="AB46" s="182">
        <f t="shared" si="55"/>
        <v>46218</v>
      </c>
      <c r="AC46" s="182">
        <f t="shared" si="55"/>
        <v>46249</v>
      </c>
      <c r="AD46" s="182">
        <f t="shared" si="55"/>
        <v>46280</v>
      </c>
      <c r="AE46" s="182">
        <f t="shared" si="55"/>
        <v>46310</v>
      </c>
      <c r="AF46" s="182">
        <f t="shared" si="55"/>
        <v>46341</v>
      </c>
      <c r="AG46" s="182">
        <f t="shared" si="55"/>
        <v>46371</v>
      </c>
      <c r="AH46" s="182">
        <f t="shared" si="55"/>
        <v>46402</v>
      </c>
      <c r="AI46" s="182">
        <f t="shared" si="55"/>
        <v>46433</v>
      </c>
      <c r="AJ46" s="186">
        <f ca="1">Y46-TODAY()</f>
        <v>-172</v>
      </c>
      <c r="AK46" s="201">
        <f>D46*1</f>
        <v>6000000</v>
      </c>
      <c r="AL46" s="162" t="s">
        <v>955</v>
      </c>
    </row>
    <row r="47" spans="1:38" x14ac:dyDescent="0.2">
      <c r="A47" s="171">
        <v>44</v>
      </c>
      <c r="B47" s="162" t="s">
        <v>570</v>
      </c>
      <c r="C47" s="163" t="s">
        <v>579</v>
      </c>
      <c r="D47" s="201">
        <v>4000000</v>
      </c>
      <c r="E47" s="164"/>
      <c r="F47" s="166"/>
      <c r="G47" s="164" t="s">
        <v>580</v>
      </c>
      <c r="H47" s="164" t="s">
        <v>581</v>
      </c>
      <c r="I47" s="164" t="s">
        <v>170</v>
      </c>
      <c r="J47" s="164" t="s">
        <v>582</v>
      </c>
      <c r="K47" s="162" t="s">
        <v>79</v>
      </c>
      <c r="L47" s="199">
        <v>45153</v>
      </c>
      <c r="M47" s="167">
        <f t="shared" si="53"/>
        <v>45337</v>
      </c>
      <c r="N47" s="182">
        <f t="shared" si="53"/>
        <v>45519</v>
      </c>
      <c r="O47" s="182">
        <f t="shared" si="53"/>
        <v>45703</v>
      </c>
      <c r="P47" s="182">
        <f t="shared" si="51"/>
        <v>45884</v>
      </c>
      <c r="Q47" s="182">
        <f t="shared" si="51"/>
        <v>46068</v>
      </c>
      <c r="R47" s="212">
        <f t="shared" si="51"/>
        <v>46249</v>
      </c>
      <c r="S47" s="182">
        <f t="shared" si="51"/>
        <v>46433</v>
      </c>
      <c r="T47" s="182">
        <f t="shared" si="51"/>
        <v>46614</v>
      </c>
      <c r="U47" s="182">
        <f t="shared" si="51"/>
        <v>46798</v>
      </c>
      <c r="V47" s="182">
        <f t="shared" si="51"/>
        <v>46980</v>
      </c>
      <c r="W47" s="182">
        <f t="shared" si="51"/>
        <v>47164</v>
      </c>
      <c r="X47" s="182">
        <f t="shared" si="51"/>
        <v>47345</v>
      </c>
      <c r="Y47" s="182">
        <f t="shared" si="51"/>
        <v>47529</v>
      </c>
      <c r="Z47" s="182">
        <f t="shared" si="51"/>
        <v>47710</v>
      </c>
      <c r="AA47" s="182">
        <f t="shared" si="51"/>
        <v>47894</v>
      </c>
      <c r="AB47" s="182">
        <f t="shared" si="51"/>
        <v>48075</v>
      </c>
      <c r="AC47" s="182">
        <f t="shared" si="51"/>
        <v>48259</v>
      </c>
      <c r="AD47" s="182">
        <f t="shared" si="51"/>
        <v>48441</v>
      </c>
      <c r="AE47" s="182">
        <f t="shared" si="51"/>
        <v>48625</v>
      </c>
      <c r="AF47" s="182">
        <f t="shared" si="51"/>
        <v>48806</v>
      </c>
      <c r="AG47" s="182">
        <f t="shared" si="51"/>
        <v>48990</v>
      </c>
      <c r="AH47" s="182">
        <f t="shared" si="52"/>
        <v>49171</v>
      </c>
      <c r="AI47" s="182">
        <f t="shared" si="52"/>
        <v>49355</v>
      </c>
      <c r="AJ47" s="186">
        <f ca="1">R47-TODAY()</f>
        <v>-50</v>
      </c>
      <c r="AK47" s="201">
        <v>24000000</v>
      </c>
      <c r="AL47" s="162" t="s">
        <v>954</v>
      </c>
    </row>
    <row r="48" spans="1:38" ht="13.8" x14ac:dyDescent="0.2">
      <c r="A48" s="162">
        <v>45</v>
      </c>
      <c r="B48" s="162" t="s">
        <v>571</v>
      </c>
      <c r="C48" s="163" t="s">
        <v>579</v>
      </c>
      <c r="D48" s="201">
        <v>4000000</v>
      </c>
      <c r="E48" s="98">
        <v>8000000</v>
      </c>
      <c r="F48" s="20">
        <v>46279</v>
      </c>
      <c r="G48" s="195" t="s">
        <v>1300</v>
      </c>
      <c r="H48" s="164" t="s">
        <v>584</v>
      </c>
      <c r="I48" s="164" t="s">
        <v>1301</v>
      </c>
      <c r="J48" s="164" t="s">
        <v>586</v>
      </c>
      <c r="K48" s="162" t="s">
        <v>79</v>
      </c>
      <c r="L48" s="199">
        <v>45153</v>
      </c>
      <c r="M48" s="167">
        <f t="shared" si="53"/>
        <v>45337</v>
      </c>
      <c r="N48" s="182">
        <f t="shared" si="53"/>
        <v>45519</v>
      </c>
      <c r="O48" s="182">
        <f t="shared" si="53"/>
        <v>45703</v>
      </c>
      <c r="P48" s="182">
        <f t="shared" si="51"/>
        <v>45884</v>
      </c>
      <c r="Q48" s="182">
        <f t="shared" si="51"/>
        <v>46068</v>
      </c>
      <c r="R48" s="212">
        <f t="shared" si="51"/>
        <v>46249</v>
      </c>
      <c r="S48" s="182">
        <f t="shared" si="51"/>
        <v>46433</v>
      </c>
      <c r="T48" s="182">
        <f t="shared" si="51"/>
        <v>46614</v>
      </c>
      <c r="U48" s="182">
        <f t="shared" si="51"/>
        <v>46798</v>
      </c>
      <c r="V48" s="182">
        <f t="shared" si="51"/>
        <v>46980</v>
      </c>
      <c r="W48" s="182">
        <f t="shared" si="51"/>
        <v>47164</v>
      </c>
      <c r="X48" s="182">
        <f t="shared" si="51"/>
        <v>47345</v>
      </c>
      <c r="Y48" s="182">
        <f t="shared" si="51"/>
        <v>47529</v>
      </c>
      <c r="Z48" s="182">
        <f t="shared" si="51"/>
        <v>47710</v>
      </c>
      <c r="AA48" s="182">
        <f t="shared" si="51"/>
        <v>47894</v>
      </c>
      <c r="AB48" s="182">
        <f t="shared" si="51"/>
        <v>48075</v>
      </c>
      <c r="AC48" s="182">
        <f t="shared" si="51"/>
        <v>48259</v>
      </c>
      <c r="AD48" s="182">
        <f t="shared" si="51"/>
        <v>48441</v>
      </c>
      <c r="AE48" s="182">
        <f t="shared" si="51"/>
        <v>48625</v>
      </c>
      <c r="AF48" s="182">
        <f t="shared" si="51"/>
        <v>48806</v>
      </c>
      <c r="AG48" s="182">
        <f t="shared" si="51"/>
        <v>48990</v>
      </c>
      <c r="AH48" s="182">
        <f t="shared" si="52"/>
        <v>49171</v>
      </c>
      <c r="AI48" s="182">
        <f t="shared" si="52"/>
        <v>49355</v>
      </c>
      <c r="AJ48" s="186">
        <f ca="1">R48-TODAY()</f>
        <v>-50</v>
      </c>
      <c r="AK48" s="201">
        <v>24000000</v>
      </c>
      <c r="AL48" s="162" t="s">
        <v>954</v>
      </c>
    </row>
    <row r="49" spans="1:38" x14ac:dyDescent="0.2">
      <c r="A49" s="171">
        <v>46</v>
      </c>
      <c r="B49" s="209" t="s">
        <v>572</v>
      </c>
      <c r="C49" s="163" t="s">
        <v>468</v>
      </c>
      <c r="D49" s="201">
        <v>6500000</v>
      </c>
      <c r="E49" s="164"/>
      <c r="F49" s="166"/>
      <c r="G49" s="164" t="s">
        <v>589</v>
      </c>
      <c r="H49" s="164" t="s">
        <v>588</v>
      </c>
      <c r="I49" s="164" t="s">
        <v>590</v>
      </c>
      <c r="J49" s="164" t="s">
        <v>591</v>
      </c>
      <c r="K49" s="162" t="s">
        <v>79</v>
      </c>
      <c r="L49" s="167">
        <v>45170</v>
      </c>
      <c r="M49" s="182">
        <f>EDATE(L49,6)</f>
        <v>45352</v>
      </c>
      <c r="N49" s="182">
        <f t="shared" si="53"/>
        <v>45536</v>
      </c>
      <c r="O49" s="182">
        <f t="shared" si="53"/>
        <v>45717</v>
      </c>
      <c r="P49" s="182">
        <f t="shared" si="53"/>
        <v>45901</v>
      </c>
      <c r="Q49" s="212">
        <f t="shared" si="53"/>
        <v>46082</v>
      </c>
      <c r="R49" s="182">
        <f>EDATE(Q49,6)-1</f>
        <v>46265</v>
      </c>
      <c r="S49" s="182">
        <f t="shared" si="51"/>
        <v>46446</v>
      </c>
      <c r="T49" s="182">
        <f t="shared" si="51"/>
        <v>46627</v>
      </c>
      <c r="U49" s="182">
        <f t="shared" si="51"/>
        <v>46811</v>
      </c>
      <c r="V49" s="182">
        <f t="shared" si="51"/>
        <v>46993</v>
      </c>
      <c r="W49" s="182">
        <f t="shared" si="51"/>
        <v>47177</v>
      </c>
      <c r="X49" s="182">
        <f t="shared" si="51"/>
        <v>47358</v>
      </c>
      <c r="Y49" s="182">
        <f t="shared" si="51"/>
        <v>47542</v>
      </c>
      <c r="Z49" s="182">
        <f t="shared" si="51"/>
        <v>47723</v>
      </c>
      <c r="AA49" s="182">
        <f t="shared" si="51"/>
        <v>47907</v>
      </c>
      <c r="AB49" s="182">
        <f t="shared" si="51"/>
        <v>48088</v>
      </c>
      <c r="AC49" s="182">
        <f t="shared" si="51"/>
        <v>48272</v>
      </c>
      <c r="AD49" s="182">
        <f t="shared" si="51"/>
        <v>48454</v>
      </c>
      <c r="AE49" s="182">
        <f t="shared" si="51"/>
        <v>48638</v>
      </c>
      <c r="AF49" s="182">
        <f t="shared" si="51"/>
        <v>48819</v>
      </c>
      <c r="AG49" s="182">
        <f t="shared" ref="AG49:AG78" si="56">EDATE(AF49,6)</f>
        <v>49003</v>
      </c>
      <c r="AH49" s="182">
        <f t="shared" si="52"/>
        <v>49184</v>
      </c>
      <c r="AI49" s="182">
        <f t="shared" si="52"/>
        <v>49368</v>
      </c>
      <c r="AJ49" s="186">
        <f ca="1">R49-TODAY()</f>
        <v>-34</v>
      </c>
      <c r="AK49" s="201">
        <f>D49*6</f>
        <v>39000000</v>
      </c>
      <c r="AL49" s="162" t="s">
        <v>954</v>
      </c>
    </row>
    <row r="50" spans="1:38" x14ac:dyDescent="0.2">
      <c r="A50" s="162">
        <v>47</v>
      </c>
      <c r="B50" s="162" t="s">
        <v>607</v>
      </c>
      <c r="C50" s="163" t="s">
        <v>573</v>
      </c>
      <c r="D50" s="201">
        <v>6000000</v>
      </c>
      <c r="E50" s="164"/>
      <c r="F50" s="166"/>
      <c r="G50" s="164" t="s">
        <v>625</v>
      </c>
      <c r="H50" s="164" t="s">
        <v>626</v>
      </c>
      <c r="I50" s="164" t="s">
        <v>627</v>
      </c>
      <c r="J50" s="164" t="s">
        <v>628</v>
      </c>
      <c r="K50" s="162" t="s">
        <v>79</v>
      </c>
      <c r="L50" s="167">
        <v>45231</v>
      </c>
      <c r="M50" s="182">
        <f t="shared" si="53"/>
        <v>45413</v>
      </c>
      <c r="N50" s="182">
        <f t="shared" si="53"/>
        <v>45597</v>
      </c>
      <c r="O50" s="182">
        <f t="shared" si="53"/>
        <v>45778</v>
      </c>
      <c r="P50" s="212">
        <f t="shared" si="53"/>
        <v>45962</v>
      </c>
      <c r="Q50" s="182">
        <f t="shared" si="53"/>
        <v>46143</v>
      </c>
      <c r="R50" s="182">
        <f t="shared" si="51"/>
        <v>46327</v>
      </c>
      <c r="S50" s="182">
        <f t="shared" si="51"/>
        <v>46508</v>
      </c>
      <c r="T50" s="182">
        <f t="shared" si="51"/>
        <v>46692</v>
      </c>
      <c r="U50" s="182">
        <f t="shared" si="51"/>
        <v>46874</v>
      </c>
      <c r="V50" s="182">
        <f t="shared" si="51"/>
        <v>47058</v>
      </c>
      <c r="W50" s="182">
        <f t="shared" si="51"/>
        <v>47239</v>
      </c>
      <c r="X50" s="182">
        <f t="shared" si="51"/>
        <v>47423</v>
      </c>
      <c r="Y50" s="182">
        <f t="shared" si="51"/>
        <v>47604</v>
      </c>
      <c r="Z50" s="182">
        <f t="shared" si="51"/>
        <v>47788</v>
      </c>
      <c r="AA50" s="182">
        <f t="shared" si="51"/>
        <v>47969</v>
      </c>
      <c r="AB50" s="182">
        <f t="shared" si="51"/>
        <v>48153</v>
      </c>
      <c r="AC50" s="182">
        <f t="shared" si="51"/>
        <v>48335</v>
      </c>
      <c r="AD50" s="182">
        <f t="shared" si="51"/>
        <v>48519</v>
      </c>
      <c r="AE50" s="182">
        <f t="shared" si="51"/>
        <v>48700</v>
      </c>
      <c r="AF50" s="182">
        <f t="shared" si="51"/>
        <v>48884</v>
      </c>
      <c r="AG50" s="182">
        <f t="shared" si="56"/>
        <v>49065</v>
      </c>
      <c r="AH50" s="182">
        <f t="shared" si="52"/>
        <v>49249</v>
      </c>
      <c r="AI50" s="182">
        <f t="shared" si="52"/>
        <v>49430</v>
      </c>
      <c r="AJ50" s="186">
        <f t="shared" ref="AJ50:AJ54" ca="1" si="57">Q50-TODAY()</f>
        <v>-156</v>
      </c>
      <c r="AK50" s="201">
        <f>D50*6</f>
        <v>36000000</v>
      </c>
      <c r="AL50" s="162" t="s">
        <v>956</v>
      </c>
    </row>
    <row r="51" spans="1:38" x14ac:dyDescent="0.2">
      <c r="A51" s="171">
        <v>48</v>
      </c>
      <c r="B51" s="215" t="s">
        <v>618</v>
      </c>
      <c r="C51" s="163" t="s">
        <v>573</v>
      </c>
      <c r="D51" s="194">
        <v>6000000</v>
      </c>
      <c r="E51" s="164"/>
      <c r="F51" s="166"/>
      <c r="G51" s="196" t="s">
        <v>957</v>
      </c>
      <c r="H51" s="173" t="s">
        <v>620</v>
      </c>
      <c r="I51" s="173" t="s">
        <v>958</v>
      </c>
      <c r="J51" s="173" t="s">
        <v>959</v>
      </c>
      <c r="K51" s="171" t="s">
        <v>79</v>
      </c>
      <c r="L51" s="177">
        <v>45313</v>
      </c>
      <c r="M51" s="176">
        <f>EDATE(L51,6)</f>
        <v>45495</v>
      </c>
      <c r="N51" s="176">
        <f t="shared" si="53"/>
        <v>45679</v>
      </c>
      <c r="O51" s="176">
        <f t="shared" si="53"/>
        <v>45860</v>
      </c>
      <c r="P51" s="176">
        <f t="shared" si="51"/>
        <v>46044</v>
      </c>
      <c r="Q51" s="207">
        <f t="shared" si="51"/>
        <v>46225</v>
      </c>
      <c r="R51" s="176">
        <f t="shared" si="51"/>
        <v>46409</v>
      </c>
      <c r="S51" s="176">
        <f t="shared" si="51"/>
        <v>46590</v>
      </c>
      <c r="T51" s="176">
        <f t="shared" si="51"/>
        <v>46774</v>
      </c>
      <c r="U51" s="176">
        <f t="shared" si="51"/>
        <v>46956</v>
      </c>
      <c r="V51" s="176">
        <f t="shared" si="51"/>
        <v>47140</v>
      </c>
      <c r="W51" s="176">
        <f t="shared" si="51"/>
        <v>47321</v>
      </c>
      <c r="X51" s="176">
        <f t="shared" si="51"/>
        <v>47505</v>
      </c>
      <c r="Y51" s="176">
        <f t="shared" si="51"/>
        <v>47686</v>
      </c>
      <c r="Z51" s="176">
        <f t="shared" si="51"/>
        <v>47870</v>
      </c>
      <c r="AA51" s="176">
        <f t="shared" si="51"/>
        <v>48051</v>
      </c>
      <c r="AB51" s="176">
        <f t="shared" si="51"/>
        <v>48235</v>
      </c>
      <c r="AC51" s="176">
        <f t="shared" si="51"/>
        <v>48417</v>
      </c>
      <c r="AD51" s="176">
        <f t="shared" si="51"/>
        <v>48601</v>
      </c>
      <c r="AE51" s="176">
        <f t="shared" si="51"/>
        <v>48782</v>
      </c>
      <c r="AF51" s="176">
        <f t="shared" si="51"/>
        <v>48966</v>
      </c>
      <c r="AG51" s="176">
        <f t="shared" si="56"/>
        <v>49147</v>
      </c>
      <c r="AH51" s="176">
        <f t="shared" si="52"/>
        <v>49331</v>
      </c>
      <c r="AI51" s="176">
        <f t="shared" si="52"/>
        <v>49512</v>
      </c>
      <c r="AJ51" s="186">
        <f t="shared" ca="1" si="57"/>
        <v>-74</v>
      </c>
      <c r="AK51" s="194">
        <f t="shared" ref="AK51:AK60" si="58">D51*6</f>
        <v>36000000</v>
      </c>
      <c r="AL51" s="171" t="s">
        <v>956</v>
      </c>
    </row>
    <row r="52" spans="1:38" x14ac:dyDescent="0.2">
      <c r="A52" s="162">
        <v>49</v>
      </c>
      <c r="B52" s="162" t="s">
        <v>613</v>
      </c>
      <c r="C52" s="163" t="s">
        <v>573</v>
      </c>
      <c r="D52" s="201">
        <v>6500000</v>
      </c>
      <c r="E52" s="164"/>
      <c r="F52" s="166"/>
      <c r="G52" s="195" t="s">
        <v>616</v>
      </c>
      <c r="H52" s="164" t="s">
        <v>615</v>
      </c>
      <c r="I52" s="164" t="s">
        <v>398</v>
      </c>
      <c r="J52" s="164" t="s">
        <v>960</v>
      </c>
      <c r="K52" s="208" t="s">
        <v>79</v>
      </c>
      <c r="L52" s="167">
        <v>45292</v>
      </c>
      <c r="M52" s="167">
        <f>EDATE(L52,6)</f>
        <v>45474</v>
      </c>
      <c r="N52" s="167">
        <f t="shared" si="53"/>
        <v>45658</v>
      </c>
      <c r="O52" s="167">
        <f>EDATE(N52,6)</f>
        <v>45839</v>
      </c>
      <c r="P52" s="167">
        <f>EDATE(O52,6)</f>
        <v>46023</v>
      </c>
      <c r="Q52" s="168">
        <f>EDATE(P52,6)</f>
        <v>46204</v>
      </c>
      <c r="R52" s="167">
        <f t="shared" si="51"/>
        <v>46388</v>
      </c>
      <c r="S52" s="167">
        <f t="shared" si="51"/>
        <v>46569</v>
      </c>
      <c r="T52" s="167">
        <f t="shared" si="51"/>
        <v>46753</v>
      </c>
      <c r="U52" s="167">
        <f t="shared" si="51"/>
        <v>46935</v>
      </c>
      <c r="V52" s="167">
        <f t="shared" si="51"/>
        <v>47119</v>
      </c>
      <c r="W52" s="167">
        <f t="shared" si="51"/>
        <v>47300</v>
      </c>
      <c r="X52" s="167">
        <f t="shared" si="51"/>
        <v>47484</v>
      </c>
      <c r="Y52" s="167">
        <f t="shared" si="51"/>
        <v>47665</v>
      </c>
      <c r="Z52" s="167">
        <f t="shared" si="51"/>
        <v>47849</v>
      </c>
      <c r="AA52" s="167">
        <f t="shared" si="51"/>
        <v>48030</v>
      </c>
      <c r="AB52" s="167">
        <f t="shared" si="51"/>
        <v>48214</v>
      </c>
      <c r="AC52" s="167">
        <f t="shared" si="51"/>
        <v>48396</v>
      </c>
      <c r="AD52" s="167">
        <f t="shared" si="51"/>
        <v>48580</v>
      </c>
      <c r="AE52" s="167">
        <f t="shared" si="51"/>
        <v>48761</v>
      </c>
      <c r="AF52" s="167">
        <f t="shared" si="51"/>
        <v>48945</v>
      </c>
      <c r="AG52" s="167">
        <f t="shared" si="56"/>
        <v>49126</v>
      </c>
      <c r="AH52" s="167">
        <f t="shared" si="52"/>
        <v>49310</v>
      </c>
      <c r="AI52" s="167">
        <f t="shared" si="52"/>
        <v>49491</v>
      </c>
      <c r="AJ52" s="186">
        <f t="shared" ca="1" si="57"/>
        <v>-95</v>
      </c>
      <c r="AK52" s="201">
        <f>D52*6</f>
        <v>39000000</v>
      </c>
      <c r="AL52" s="162" t="s">
        <v>956</v>
      </c>
    </row>
    <row r="53" spans="1:38" x14ac:dyDescent="0.2">
      <c r="A53" s="171">
        <v>50</v>
      </c>
      <c r="B53" s="162" t="s">
        <v>636</v>
      </c>
      <c r="C53" s="163" t="s">
        <v>961</v>
      </c>
      <c r="D53" s="201">
        <v>4500000</v>
      </c>
      <c r="E53" s="164"/>
      <c r="F53" s="166"/>
      <c r="G53" s="164" t="s">
        <v>652</v>
      </c>
      <c r="H53" s="164" t="s">
        <v>653</v>
      </c>
      <c r="I53" s="164" t="s">
        <v>585</v>
      </c>
      <c r="J53" s="164" t="s">
        <v>651</v>
      </c>
      <c r="K53" s="208" t="s">
        <v>79</v>
      </c>
      <c r="L53" s="167">
        <v>45287</v>
      </c>
      <c r="M53" s="182">
        <f t="shared" ref="M53:P68" si="59">EDATE(L53,6)</f>
        <v>45470</v>
      </c>
      <c r="N53" s="182">
        <f t="shared" si="59"/>
        <v>45653</v>
      </c>
      <c r="O53" s="182">
        <f t="shared" si="59"/>
        <v>45835</v>
      </c>
      <c r="P53" s="182">
        <f t="shared" si="51"/>
        <v>46018</v>
      </c>
      <c r="Q53" s="212">
        <f t="shared" si="51"/>
        <v>46200</v>
      </c>
      <c r="R53" s="182">
        <f t="shared" si="51"/>
        <v>46383</v>
      </c>
      <c r="S53" s="182">
        <f t="shared" si="51"/>
        <v>46565</v>
      </c>
      <c r="T53" s="182">
        <f t="shared" si="51"/>
        <v>46748</v>
      </c>
      <c r="U53" s="182">
        <f t="shared" si="51"/>
        <v>46931</v>
      </c>
      <c r="V53" s="182">
        <f t="shared" si="51"/>
        <v>47114</v>
      </c>
      <c r="W53" s="182">
        <f t="shared" si="51"/>
        <v>47296</v>
      </c>
      <c r="X53" s="182">
        <f t="shared" si="51"/>
        <v>47479</v>
      </c>
      <c r="Y53" s="182">
        <f t="shared" si="51"/>
        <v>47661</v>
      </c>
      <c r="Z53" s="167">
        <f t="shared" si="51"/>
        <v>47844</v>
      </c>
      <c r="AA53" s="167">
        <f t="shared" si="51"/>
        <v>48026</v>
      </c>
      <c r="AB53" s="167">
        <f t="shared" si="51"/>
        <v>48209</v>
      </c>
      <c r="AC53" s="167">
        <f t="shared" si="51"/>
        <v>48392</v>
      </c>
      <c r="AD53" s="167">
        <f t="shared" si="51"/>
        <v>48575</v>
      </c>
      <c r="AE53" s="167">
        <f t="shared" si="51"/>
        <v>48757</v>
      </c>
      <c r="AF53" s="167">
        <f t="shared" si="51"/>
        <v>48940</v>
      </c>
      <c r="AG53" s="167">
        <f t="shared" si="56"/>
        <v>49122</v>
      </c>
      <c r="AH53" s="167">
        <f t="shared" si="52"/>
        <v>49305</v>
      </c>
      <c r="AI53" s="167">
        <f t="shared" si="52"/>
        <v>49487</v>
      </c>
      <c r="AJ53" s="186">
        <f t="shared" ca="1" si="57"/>
        <v>-99</v>
      </c>
      <c r="AK53" s="201">
        <f t="shared" si="58"/>
        <v>27000000</v>
      </c>
      <c r="AL53" s="162" t="s">
        <v>956</v>
      </c>
    </row>
    <row r="54" spans="1:38" x14ac:dyDescent="0.2">
      <c r="A54" s="162">
        <v>51</v>
      </c>
      <c r="B54" s="162" t="s">
        <v>635</v>
      </c>
      <c r="C54" s="163" t="s">
        <v>556</v>
      </c>
      <c r="D54" s="201">
        <v>4000000</v>
      </c>
      <c r="E54" s="164"/>
      <c r="F54" s="166"/>
      <c r="G54" s="164" t="s">
        <v>649</v>
      </c>
      <c r="H54" s="164" t="s">
        <v>648</v>
      </c>
      <c r="I54" s="164" t="s">
        <v>153</v>
      </c>
      <c r="J54" s="164" t="s">
        <v>650</v>
      </c>
      <c r="K54" s="210" t="s">
        <v>79</v>
      </c>
      <c r="L54" s="167">
        <v>45286</v>
      </c>
      <c r="M54" s="182">
        <f t="shared" si="59"/>
        <v>45469</v>
      </c>
      <c r="N54" s="182">
        <f t="shared" si="59"/>
        <v>45652</v>
      </c>
      <c r="O54" s="182">
        <f t="shared" si="59"/>
        <v>45834</v>
      </c>
      <c r="P54" s="182">
        <f t="shared" si="51"/>
        <v>46017</v>
      </c>
      <c r="Q54" s="212">
        <f t="shared" si="51"/>
        <v>46199</v>
      </c>
      <c r="R54" s="182">
        <f t="shared" si="51"/>
        <v>46382</v>
      </c>
      <c r="S54" s="182">
        <f t="shared" si="51"/>
        <v>46564</v>
      </c>
      <c r="T54" s="182">
        <f t="shared" si="51"/>
        <v>46747</v>
      </c>
      <c r="U54" s="182">
        <f t="shared" si="51"/>
        <v>46930</v>
      </c>
      <c r="V54" s="182">
        <f t="shared" si="51"/>
        <v>47113</v>
      </c>
      <c r="W54" s="182">
        <f t="shared" si="51"/>
        <v>47295</v>
      </c>
      <c r="X54" s="182">
        <f t="shared" si="51"/>
        <v>47478</v>
      </c>
      <c r="Y54" s="182">
        <f t="shared" si="51"/>
        <v>47660</v>
      </c>
      <c r="Z54" s="167">
        <f t="shared" si="51"/>
        <v>47843</v>
      </c>
      <c r="AA54" s="167">
        <f t="shared" si="51"/>
        <v>48025</v>
      </c>
      <c r="AB54" s="167">
        <f t="shared" si="51"/>
        <v>48208</v>
      </c>
      <c r="AC54" s="167">
        <f t="shared" si="51"/>
        <v>48391</v>
      </c>
      <c r="AD54" s="167">
        <f t="shared" si="51"/>
        <v>48574</v>
      </c>
      <c r="AE54" s="167">
        <f t="shared" si="51"/>
        <v>48756</v>
      </c>
      <c r="AF54" s="167">
        <f t="shared" si="51"/>
        <v>48939</v>
      </c>
      <c r="AG54" s="167">
        <f t="shared" si="56"/>
        <v>49121</v>
      </c>
      <c r="AH54" s="167">
        <f t="shared" si="52"/>
        <v>49304</v>
      </c>
      <c r="AI54" s="167">
        <f t="shared" si="52"/>
        <v>49486</v>
      </c>
      <c r="AJ54" s="186">
        <f t="shared" ca="1" si="57"/>
        <v>-100</v>
      </c>
      <c r="AK54" s="201">
        <f t="shared" si="58"/>
        <v>24000000</v>
      </c>
      <c r="AL54" s="162" t="s">
        <v>956</v>
      </c>
    </row>
    <row r="55" spans="1:38" x14ac:dyDescent="0.2">
      <c r="A55" s="171">
        <v>52</v>
      </c>
      <c r="B55" s="162" t="s">
        <v>606</v>
      </c>
      <c r="C55" s="163" t="s">
        <v>761</v>
      </c>
      <c r="D55" s="201">
        <v>5500000</v>
      </c>
      <c r="E55" s="164"/>
      <c r="F55" s="166"/>
      <c r="G55" s="195" t="s">
        <v>663</v>
      </c>
      <c r="H55" s="164" t="s">
        <v>664</v>
      </c>
      <c r="I55" s="164" t="s">
        <v>665</v>
      </c>
      <c r="J55" s="164" t="s">
        <v>666</v>
      </c>
      <c r="K55" s="210" t="s">
        <v>79</v>
      </c>
      <c r="L55" s="167">
        <v>45139</v>
      </c>
      <c r="M55" s="182">
        <f t="shared" si="59"/>
        <v>45323</v>
      </c>
      <c r="N55" s="182">
        <f>EDATE(M55,6)</f>
        <v>45505</v>
      </c>
      <c r="O55" s="182">
        <f>EDATE(N55,6)</f>
        <v>45689</v>
      </c>
      <c r="P55" s="182">
        <f>EDATE(O55,6)</f>
        <v>45870</v>
      </c>
      <c r="Q55" s="182">
        <f>EDATE(P55,6)</f>
        <v>46054</v>
      </c>
      <c r="R55" s="212">
        <f>EDATE(Q55,6)</f>
        <v>46235</v>
      </c>
      <c r="S55" s="182">
        <f t="shared" si="51"/>
        <v>46419</v>
      </c>
      <c r="T55" s="182">
        <f t="shared" si="51"/>
        <v>46600</v>
      </c>
      <c r="U55" s="182">
        <f t="shared" si="51"/>
        <v>46784</v>
      </c>
      <c r="V55" s="182">
        <f t="shared" si="51"/>
        <v>46966</v>
      </c>
      <c r="W55" s="182">
        <f t="shared" si="51"/>
        <v>47150</v>
      </c>
      <c r="X55" s="182">
        <f t="shared" si="51"/>
        <v>47331</v>
      </c>
      <c r="Y55" s="182">
        <f t="shared" si="51"/>
        <v>47515</v>
      </c>
      <c r="Z55" s="182">
        <f t="shared" si="51"/>
        <v>47696</v>
      </c>
      <c r="AA55" s="182">
        <f t="shared" si="51"/>
        <v>47880</v>
      </c>
      <c r="AB55" s="182">
        <f t="shared" si="51"/>
        <v>48061</v>
      </c>
      <c r="AC55" s="182">
        <f t="shared" si="51"/>
        <v>48245</v>
      </c>
      <c r="AD55" s="182">
        <f t="shared" si="51"/>
        <v>48427</v>
      </c>
      <c r="AE55" s="182">
        <f t="shared" si="51"/>
        <v>48611</v>
      </c>
      <c r="AF55" s="182">
        <f t="shared" si="51"/>
        <v>48792</v>
      </c>
      <c r="AG55" s="182">
        <f t="shared" si="56"/>
        <v>48976</v>
      </c>
      <c r="AH55" s="182">
        <f t="shared" si="52"/>
        <v>49157</v>
      </c>
      <c r="AI55" s="182">
        <f t="shared" si="52"/>
        <v>49341</v>
      </c>
      <c r="AJ55" s="186">
        <f ca="1">R55-TODAY()</f>
        <v>-64</v>
      </c>
      <c r="AK55" s="201">
        <f t="shared" si="58"/>
        <v>33000000</v>
      </c>
      <c r="AL55" s="162" t="s">
        <v>954</v>
      </c>
    </row>
    <row r="56" spans="1:38" x14ac:dyDescent="0.2">
      <c r="A56" s="162">
        <v>53</v>
      </c>
      <c r="B56" s="162" t="s">
        <v>667</v>
      </c>
      <c r="C56" s="163" t="s">
        <v>66</v>
      </c>
      <c r="D56" s="201">
        <v>4000000</v>
      </c>
      <c r="E56" s="164"/>
      <c r="F56" s="166"/>
      <c r="G56" s="195" t="s">
        <v>677</v>
      </c>
      <c r="H56" s="164" t="s">
        <v>678</v>
      </c>
      <c r="I56" s="164" t="s">
        <v>398</v>
      </c>
      <c r="J56" s="164" t="s">
        <v>679</v>
      </c>
      <c r="K56" s="162" t="s">
        <v>79</v>
      </c>
      <c r="L56" s="167">
        <v>45379</v>
      </c>
      <c r="M56" s="182">
        <f t="shared" si="59"/>
        <v>45563</v>
      </c>
      <c r="N56" s="182">
        <f t="shared" si="59"/>
        <v>45744</v>
      </c>
      <c r="O56" s="182">
        <f t="shared" si="59"/>
        <v>45928</v>
      </c>
      <c r="P56" s="182">
        <f t="shared" si="51"/>
        <v>46109</v>
      </c>
      <c r="Q56" s="182">
        <f t="shared" si="51"/>
        <v>46293</v>
      </c>
      <c r="R56" s="182">
        <f t="shared" si="51"/>
        <v>46474</v>
      </c>
      <c r="S56" s="182">
        <f t="shared" si="51"/>
        <v>46658</v>
      </c>
      <c r="T56" s="182">
        <f t="shared" si="51"/>
        <v>46840</v>
      </c>
      <c r="U56" s="182">
        <f t="shared" si="51"/>
        <v>47024</v>
      </c>
      <c r="V56" s="182">
        <f t="shared" si="51"/>
        <v>47205</v>
      </c>
      <c r="W56" s="182">
        <f t="shared" si="51"/>
        <v>47389</v>
      </c>
      <c r="X56" s="182">
        <f t="shared" si="51"/>
        <v>47570</v>
      </c>
      <c r="Y56" s="182">
        <f t="shared" si="51"/>
        <v>47754</v>
      </c>
      <c r="Z56" s="182">
        <f t="shared" si="51"/>
        <v>47935</v>
      </c>
      <c r="AA56" s="182">
        <f t="shared" si="51"/>
        <v>48119</v>
      </c>
      <c r="AB56" s="182">
        <f t="shared" si="51"/>
        <v>48301</v>
      </c>
      <c r="AC56" s="182">
        <f t="shared" si="51"/>
        <v>48485</v>
      </c>
      <c r="AD56" s="182">
        <f t="shared" si="51"/>
        <v>48666</v>
      </c>
      <c r="AE56" s="182">
        <f t="shared" si="51"/>
        <v>48850</v>
      </c>
      <c r="AF56" s="182">
        <f t="shared" si="51"/>
        <v>49031</v>
      </c>
      <c r="AG56" s="182">
        <f t="shared" si="56"/>
        <v>49215</v>
      </c>
      <c r="AH56" s="182">
        <f t="shared" si="52"/>
        <v>49396</v>
      </c>
      <c r="AI56" s="182">
        <f t="shared" si="52"/>
        <v>49580</v>
      </c>
      <c r="AJ56" s="186">
        <f t="shared" ref="AJ56:AJ67" ca="1" si="60">P56-TODAY()</f>
        <v>-190</v>
      </c>
      <c r="AK56" s="201">
        <f t="shared" si="58"/>
        <v>24000000</v>
      </c>
      <c r="AL56" s="162" t="s">
        <v>962</v>
      </c>
    </row>
    <row r="57" spans="1:38" x14ac:dyDescent="0.2">
      <c r="A57" s="171">
        <v>54</v>
      </c>
      <c r="B57" s="162" t="s">
        <v>668</v>
      </c>
      <c r="C57" s="163" t="s">
        <v>32</v>
      </c>
      <c r="D57" s="201">
        <v>4000000</v>
      </c>
      <c r="E57" s="164"/>
      <c r="F57" s="166"/>
      <c r="G57" s="195" t="s">
        <v>681</v>
      </c>
      <c r="H57" s="164" t="s">
        <v>682</v>
      </c>
      <c r="I57" s="164" t="s">
        <v>408</v>
      </c>
      <c r="J57" s="164" t="s">
        <v>680</v>
      </c>
      <c r="K57" s="216" t="s">
        <v>79</v>
      </c>
      <c r="L57" s="167">
        <v>45392</v>
      </c>
      <c r="M57" s="182">
        <f t="shared" si="59"/>
        <v>45575</v>
      </c>
      <c r="N57" s="182">
        <f t="shared" si="59"/>
        <v>45757</v>
      </c>
      <c r="O57" s="182">
        <f t="shared" si="59"/>
        <v>45940</v>
      </c>
      <c r="P57" s="182">
        <f>EDATE(O57,6)</f>
        <v>46122</v>
      </c>
      <c r="Q57" s="182">
        <f t="shared" si="51"/>
        <v>46305</v>
      </c>
      <c r="R57" s="182">
        <f t="shared" si="51"/>
        <v>46487</v>
      </c>
      <c r="S57" s="182">
        <f t="shared" si="51"/>
        <v>46670</v>
      </c>
      <c r="T57" s="182">
        <f t="shared" si="51"/>
        <v>46853</v>
      </c>
      <c r="U57" s="182">
        <f t="shared" si="51"/>
        <v>47036</v>
      </c>
      <c r="V57" s="182">
        <f t="shared" si="51"/>
        <v>47218</v>
      </c>
      <c r="W57" s="182">
        <f t="shared" si="51"/>
        <v>47401</v>
      </c>
      <c r="X57" s="182">
        <f t="shared" si="51"/>
        <v>47583</v>
      </c>
      <c r="Y57" s="182">
        <f t="shared" si="51"/>
        <v>47766</v>
      </c>
      <c r="Z57" s="182">
        <f t="shared" si="51"/>
        <v>47948</v>
      </c>
      <c r="AA57" s="182">
        <f t="shared" si="51"/>
        <v>48131</v>
      </c>
      <c r="AB57" s="182">
        <f t="shared" si="51"/>
        <v>48314</v>
      </c>
      <c r="AC57" s="182">
        <f t="shared" si="51"/>
        <v>48497</v>
      </c>
      <c r="AD57" s="182">
        <f t="shared" si="51"/>
        <v>48679</v>
      </c>
      <c r="AE57" s="182">
        <f t="shared" si="51"/>
        <v>48862</v>
      </c>
      <c r="AF57" s="182">
        <f t="shared" si="51"/>
        <v>49044</v>
      </c>
      <c r="AG57" s="182">
        <f t="shared" si="56"/>
        <v>49227</v>
      </c>
      <c r="AH57" s="182">
        <f t="shared" si="52"/>
        <v>49409</v>
      </c>
      <c r="AI57" s="182">
        <f t="shared" si="52"/>
        <v>49592</v>
      </c>
      <c r="AJ57" s="186">
        <f t="shared" ca="1" si="60"/>
        <v>-177</v>
      </c>
      <c r="AK57" s="201">
        <f t="shared" si="58"/>
        <v>24000000</v>
      </c>
      <c r="AL57" s="162" t="s">
        <v>963</v>
      </c>
    </row>
    <row r="58" spans="1:38" x14ac:dyDescent="0.2">
      <c r="A58" s="162">
        <v>55</v>
      </c>
      <c r="B58" s="193" t="s">
        <v>669</v>
      </c>
      <c r="C58" s="163" t="s">
        <v>579</v>
      </c>
      <c r="D58" s="201">
        <v>4000000</v>
      </c>
      <c r="E58" s="164"/>
      <c r="F58" s="166"/>
      <c r="G58" s="195" t="s">
        <v>684</v>
      </c>
      <c r="H58" s="164" t="s">
        <v>685</v>
      </c>
      <c r="I58" s="164" t="s">
        <v>686</v>
      </c>
      <c r="J58" s="164" t="s">
        <v>683</v>
      </c>
      <c r="K58" s="162" t="s">
        <v>79</v>
      </c>
      <c r="L58" s="167">
        <v>45356</v>
      </c>
      <c r="M58" s="182">
        <f t="shared" si="59"/>
        <v>45540</v>
      </c>
      <c r="N58" s="182">
        <f>EDATE(M58,6)</f>
        <v>45721</v>
      </c>
      <c r="O58" s="182">
        <f t="shared" si="59"/>
        <v>45905</v>
      </c>
      <c r="P58" s="212">
        <f>EDATE(O58,6)</f>
        <v>46086</v>
      </c>
      <c r="Q58" s="182">
        <f t="shared" si="51"/>
        <v>46270</v>
      </c>
      <c r="R58" s="182">
        <f t="shared" si="51"/>
        <v>46451</v>
      </c>
      <c r="S58" s="182">
        <f t="shared" si="51"/>
        <v>46635</v>
      </c>
      <c r="T58" s="182">
        <f t="shared" si="51"/>
        <v>46817</v>
      </c>
      <c r="U58" s="182">
        <f t="shared" si="51"/>
        <v>47001</v>
      </c>
      <c r="V58" s="182">
        <f t="shared" si="51"/>
        <v>47182</v>
      </c>
      <c r="W58" s="182">
        <f t="shared" si="51"/>
        <v>47366</v>
      </c>
      <c r="X58" s="182">
        <f t="shared" si="51"/>
        <v>47547</v>
      </c>
      <c r="Y58" s="182">
        <f t="shared" si="51"/>
        <v>47731</v>
      </c>
      <c r="Z58" s="182">
        <f t="shared" si="51"/>
        <v>47912</v>
      </c>
      <c r="AA58" s="182">
        <f t="shared" si="51"/>
        <v>48096</v>
      </c>
      <c r="AB58" s="182">
        <f t="shared" si="51"/>
        <v>48278</v>
      </c>
      <c r="AC58" s="182">
        <f t="shared" si="51"/>
        <v>48462</v>
      </c>
      <c r="AD58" s="182">
        <f t="shared" si="51"/>
        <v>48643</v>
      </c>
      <c r="AE58" s="182">
        <f t="shared" si="51"/>
        <v>48827</v>
      </c>
      <c r="AF58" s="182">
        <f t="shared" si="51"/>
        <v>49008</v>
      </c>
      <c r="AG58" s="182">
        <f t="shared" si="56"/>
        <v>49192</v>
      </c>
      <c r="AH58" s="182">
        <f t="shared" si="52"/>
        <v>49373</v>
      </c>
      <c r="AI58" s="182">
        <f t="shared" si="52"/>
        <v>49557</v>
      </c>
      <c r="AJ58" s="186">
        <f ca="1">Q58-TODAY()</f>
        <v>-29</v>
      </c>
      <c r="AK58" s="201">
        <f t="shared" si="58"/>
        <v>24000000</v>
      </c>
      <c r="AL58" s="162" t="s">
        <v>956</v>
      </c>
    </row>
    <row r="59" spans="1:38" x14ac:dyDescent="0.2">
      <c r="A59" s="171">
        <v>56</v>
      </c>
      <c r="B59" s="162" t="s">
        <v>670</v>
      </c>
      <c r="C59" s="163" t="s">
        <v>156</v>
      </c>
      <c r="D59" s="201">
        <v>4000000</v>
      </c>
      <c r="E59" s="164"/>
      <c r="F59" s="166"/>
      <c r="G59" s="195" t="s">
        <v>693</v>
      </c>
      <c r="H59" s="164" t="s">
        <v>692</v>
      </c>
      <c r="I59" s="164" t="s">
        <v>408</v>
      </c>
      <c r="J59" s="164" t="s">
        <v>691</v>
      </c>
      <c r="K59" s="162" t="s">
        <v>79</v>
      </c>
      <c r="L59" s="167">
        <v>45413</v>
      </c>
      <c r="M59" s="182">
        <f t="shared" si="59"/>
        <v>45597</v>
      </c>
      <c r="N59" s="182">
        <f>EDATE(M59,6)</f>
        <v>45778</v>
      </c>
      <c r="O59" s="182">
        <f>EDATE(N59,6)</f>
        <v>45962</v>
      </c>
      <c r="P59" s="212">
        <f>EDATE(O59,6)</f>
        <v>46143</v>
      </c>
      <c r="Q59" s="182">
        <f t="shared" si="51"/>
        <v>46327</v>
      </c>
      <c r="R59" s="182">
        <f t="shared" si="51"/>
        <v>46508</v>
      </c>
      <c r="S59" s="182">
        <f t="shared" si="51"/>
        <v>46692</v>
      </c>
      <c r="T59" s="182">
        <f t="shared" si="51"/>
        <v>46874</v>
      </c>
      <c r="U59" s="182">
        <f t="shared" si="51"/>
        <v>47058</v>
      </c>
      <c r="V59" s="182">
        <f t="shared" si="51"/>
        <v>47239</v>
      </c>
      <c r="W59" s="182">
        <f t="shared" si="51"/>
        <v>47423</v>
      </c>
      <c r="X59" s="182">
        <f t="shared" si="51"/>
        <v>47604</v>
      </c>
      <c r="Y59" s="182">
        <f t="shared" si="51"/>
        <v>47788</v>
      </c>
      <c r="Z59" s="182">
        <f t="shared" si="51"/>
        <v>47969</v>
      </c>
      <c r="AA59" s="182">
        <f t="shared" si="51"/>
        <v>48153</v>
      </c>
      <c r="AB59" s="182">
        <f t="shared" si="51"/>
        <v>48335</v>
      </c>
      <c r="AC59" s="182">
        <f t="shared" si="51"/>
        <v>48519</v>
      </c>
      <c r="AD59" s="182">
        <f t="shared" si="51"/>
        <v>48700</v>
      </c>
      <c r="AE59" s="182">
        <f t="shared" si="51"/>
        <v>48884</v>
      </c>
      <c r="AF59" s="182">
        <f t="shared" si="51"/>
        <v>49065</v>
      </c>
      <c r="AG59" s="182">
        <f t="shared" si="56"/>
        <v>49249</v>
      </c>
      <c r="AH59" s="182">
        <f t="shared" si="52"/>
        <v>49430</v>
      </c>
      <c r="AI59" s="182">
        <f t="shared" si="52"/>
        <v>49614</v>
      </c>
      <c r="AJ59" s="186">
        <f t="shared" ca="1" si="60"/>
        <v>-156</v>
      </c>
      <c r="AK59" s="201">
        <f t="shared" si="58"/>
        <v>24000000</v>
      </c>
      <c r="AL59" s="162" t="s">
        <v>963</v>
      </c>
    </row>
    <row r="60" spans="1:38" x14ac:dyDescent="0.2">
      <c r="A60" s="162">
        <v>57</v>
      </c>
      <c r="B60" s="162" t="s">
        <v>671</v>
      </c>
      <c r="C60" s="163" t="s">
        <v>156</v>
      </c>
      <c r="D60" s="201">
        <v>4000000</v>
      </c>
      <c r="E60" s="164"/>
      <c r="F60" s="166"/>
      <c r="G60" s="195" t="s">
        <v>688</v>
      </c>
      <c r="H60" s="164" t="s">
        <v>689</v>
      </c>
      <c r="I60" s="164" t="s">
        <v>690</v>
      </c>
      <c r="J60" s="164" t="s">
        <v>687</v>
      </c>
      <c r="K60" s="162" t="s">
        <v>79</v>
      </c>
      <c r="L60" s="199">
        <v>45413</v>
      </c>
      <c r="M60" s="182">
        <f>EDATE(L60,6)</f>
        <v>45597</v>
      </c>
      <c r="N60" s="182">
        <f>EDATE(M60,6)</f>
        <v>45778</v>
      </c>
      <c r="O60" s="182">
        <f>EDATE(N60,6)</f>
        <v>45962</v>
      </c>
      <c r="P60" s="212">
        <f>EDATE(O60,6)</f>
        <v>46143</v>
      </c>
      <c r="Q60" s="182">
        <f t="shared" ref="Q60:AC79" si="61">EDATE(P60,6)</f>
        <v>46327</v>
      </c>
      <c r="R60" s="182">
        <f t="shared" si="61"/>
        <v>46508</v>
      </c>
      <c r="S60" s="182">
        <f t="shared" si="61"/>
        <v>46692</v>
      </c>
      <c r="T60" s="182">
        <f t="shared" si="61"/>
        <v>46874</v>
      </c>
      <c r="U60" s="182">
        <f t="shared" si="61"/>
        <v>47058</v>
      </c>
      <c r="V60" s="182">
        <f t="shared" si="61"/>
        <v>47239</v>
      </c>
      <c r="W60" s="182">
        <f t="shared" si="61"/>
        <v>47423</v>
      </c>
      <c r="X60" s="182">
        <f t="shared" si="61"/>
        <v>47604</v>
      </c>
      <c r="Y60" s="182">
        <f t="shared" si="61"/>
        <v>47788</v>
      </c>
      <c r="Z60" s="182">
        <f t="shared" si="61"/>
        <v>47969</v>
      </c>
      <c r="AA60" s="182">
        <f t="shared" si="61"/>
        <v>48153</v>
      </c>
      <c r="AB60" s="182">
        <f t="shared" si="61"/>
        <v>48335</v>
      </c>
      <c r="AC60" s="182">
        <f t="shared" si="61"/>
        <v>48519</v>
      </c>
      <c r="AD60" s="182">
        <f t="shared" ref="AD60:AF78" si="62">EDATE(AC60,6)</f>
        <v>48700</v>
      </c>
      <c r="AE60" s="182">
        <f t="shared" si="62"/>
        <v>48884</v>
      </c>
      <c r="AF60" s="182">
        <f t="shared" si="62"/>
        <v>49065</v>
      </c>
      <c r="AG60" s="182">
        <f t="shared" si="56"/>
        <v>49249</v>
      </c>
      <c r="AH60" s="182">
        <f t="shared" si="52"/>
        <v>49430</v>
      </c>
      <c r="AI60" s="182">
        <f t="shared" si="52"/>
        <v>49614</v>
      </c>
      <c r="AJ60" s="186">
        <f t="shared" ca="1" si="60"/>
        <v>-156</v>
      </c>
      <c r="AK60" s="201">
        <f t="shared" si="58"/>
        <v>24000000</v>
      </c>
      <c r="AL60" s="162" t="s">
        <v>963</v>
      </c>
    </row>
    <row r="61" spans="1:38" x14ac:dyDescent="0.2">
      <c r="A61" s="171">
        <v>58</v>
      </c>
      <c r="B61" s="162" t="s">
        <v>737</v>
      </c>
      <c r="C61" s="163" t="s">
        <v>32</v>
      </c>
      <c r="D61" s="164">
        <v>4000000</v>
      </c>
      <c r="E61" s="164"/>
      <c r="F61" s="166"/>
      <c r="G61" s="164" t="s">
        <v>694</v>
      </c>
      <c r="H61" s="164" t="s">
        <v>695</v>
      </c>
      <c r="I61" s="164" t="s">
        <v>696</v>
      </c>
      <c r="J61" s="164" t="s">
        <v>697</v>
      </c>
      <c r="K61" s="167" t="s">
        <v>79</v>
      </c>
      <c r="L61" s="167">
        <v>45404</v>
      </c>
      <c r="M61" s="182">
        <f>EDATE(L61,6)</f>
        <v>45587</v>
      </c>
      <c r="N61" s="217">
        <f t="shared" si="59"/>
        <v>45769</v>
      </c>
      <c r="O61" s="212">
        <f t="shared" si="59"/>
        <v>45952</v>
      </c>
      <c r="P61" s="182">
        <f t="shared" si="59"/>
        <v>46134</v>
      </c>
      <c r="Q61" s="182">
        <f t="shared" si="61"/>
        <v>46317</v>
      </c>
      <c r="R61" s="182">
        <f t="shared" si="61"/>
        <v>46499</v>
      </c>
      <c r="S61" s="182">
        <f t="shared" si="61"/>
        <v>46682</v>
      </c>
      <c r="T61" s="182">
        <f t="shared" si="61"/>
        <v>46865</v>
      </c>
      <c r="U61" s="182">
        <f t="shared" si="61"/>
        <v>47048</v>
      </c>
      <c r="V61" s="182">
        <f t="shared" si="61"/>
        <v>47230</v>
      </c>
      <c r="W61" s="182">
        <f t="shared" si="61"/>
        <v>47413</v>
      </c>
      <c r="X61" s="182">
        <f t="shared" si="61"/>
        <v>47595</v>
      </c>
      <c r="Y61" s="182">
        <f t="shared" si="61"/>
        <v>47778</v>
      </c>
      <c r="Z61" s="182">
        <f t="shared" si="61"/>
        <v>47960</v>
      </c>
      <c r="AA61" s="182">
        <f t="shared" si="61"/>
        <v>48143</v>
      </c>
      <c r="AB61" s="182">
        <f t="shared" si="61"/>
        <v>48326</v>
      </c>
      <c r="AC61" s="182">
        <f t="shared" si="61"/>
        <v>48509</v>
      </c>
      <c r="AD61" s="182">
        <f t="shared" si="62"/>
        <v>48691</v>
      </c>
      <c r="AE61" s="182">
        <f t="shared" si="62"/>
        <v>48874</v>
      </c>
      <c r="AF61" s="182">
        <f t="shared" si="62"/>
        <v>49056</v>
      </c>
      <c r="AG61" s="182">
        <f t="shared" si="56"/>
        <v>49239</v>
      </c>
      <c r="AH61" s="182">
        <f t="shared" si="52"/>
        <v>49421</v>
      </c>
      <c r="AI61" s="182">
        <f t="shared" si="52"/>
        <v>49604</v>
      </c>
      <c r="AJ61" s="186">
        <f t="shared" ca="1" si="60"/>
        <v>-165</v>
      </c>
      <c r="AK61" s="201">
        <f>D61*6</f>
        <v>24000000</v>
      </c>
      <c r="AL61" s="162" t="s">
        <v>963</v>
      </c>
    </row>
    <row r="62" spans="1:38" x14ac:dyDescent="0.2">
      <c r="A62" s="162">
        <v>59</v>
      </c>
      <c r="B62" s="162" t="s">
        <v>729</v>
      </c>
      <c r="C62" s="163" t="s">
        <v>288</v>
      </c>
      <c r="D62" s="164">
        <v>4000000</v>
      </c>
      <c r="E62" s="164"/>
      <c r="F62" s="166"/>
      <c r="G62" s="164" t="s">
        <v>732</v>
      </c>
      <c r="H62" s="164" t="s">
        <v>731</v>
      </c>
      <c r="I62" s="164" t="s">
        <v>964</v>
      </c>
      <c r="J62" s="164" t="s">
        <v>735</v>
      </c>
      <c r="K62" s="218" t="s">
        <v>79</v>
      </c>
      <c r="L62" s="167">
        <v>45449</v>
      </c>
      <c r="M62" s="182">
        <f>EDATE(L62,6)</f>
        <v>45632</v>
      </c>
      <c r="N62" s="182">
        <f t="shared" si="59"/>
        <v>45814</v>
      </c>
      <c r="O62" s="182">
        <f t="shared" si="59"/>
        <v>45997</v>
      </c>
      <c r="P62" s="212">
        <f t="shared" si="59"/>
        <v>46179</v>
      </c>
      <c r="Q62" s="182">
        <f t="shared" si="61"/>
        <v>46362</v>
      </c>
      <c r="R62" s="182">
        <f t="shared" si="61"/>
        <v>46544</v>
      </c>
      <c r="S62" s="182">
        <f t="shared" si="61"/>
        <v>46727</v>
      </c>
      <c r="T62" s="182">
        <f t="shared" si="61"/>
        <v>46910</v>
      </c>
      <c r="U62" s="182">
        <f t="shared" si="61"/>
        <v>47093</v>
      </c>
      <c r="V62" s="182">
        <f t="shared" si="61"/>
        <v>47275</v>
      </c>
      <c r="W62" s="182">
        <f t="shared" si="61"/>
        <v>47458</v>
      </c>
      <c r="X62" s="182">
        <f t="shared" si="61"/>
        <v>47640</v>
      </c>
      <c r="Y62" s="182">
        <f t="shared" si="61"/>
        <v>47823</v>
      </c>
      <c r="Z62" s="182">
        <f t="shared" si="61"/>
        <v>48005</v>
      </c>
      <c r="AA62" s="182">
        <f t="shared" si="61"/>
        <v>48188</v>
      </c>
      <c r="AB62" s="182">
        <f t="shared" si="61"/>
        <v>48371</v>
      </c>
      <c r="AC62" s="182">
        <f t="shared" si="61"/>
        <v>48554</v>
      </c>
      <c r="AD62" s="182">
        <f t="shared" si="62"/>
        <v>48736</v>
      </c>
      <c r="AE62" s="182">
        <f t="shared" si="62"/>
        <v>48919</v>
      </c>
      <c r="AF62" s="182">
        <f t="shared" si="62"/>
        <v>49101</v>
      </c>
      <c r="AG62" s="182">
        <f t="shared" si="56"/>
        <v>49284</v>
      </c>
      <c r="AH62" s="182">
        <f t="shared" si="52"/>
        <v>49466</v>
      </c>
      <c r="AI62" s="182">
        <f t="shared" si="52"/>
        <v>49649</v>
      </c>
      <c r="AJ62" s="186">
        <f t="shared" ca="1" si="60"/>
        <v>-120</v>
      </c>
      <c r="AK62" s="201">
        <f t="shared" ref="AK62:AK85" si="63">D62*6</f>
        <v>24000000</v>
      </c>
      <c r="AL62" s="162" t="s">
        <v>963</v>
      </c>
    </row>
    <row r="63" spans="1:38" x14ac:dyDescent="0.2">
      <c r="A63" s="171">
        <v>60</v>
      </c>
      <c r="B63" s="219" t="s">
        <v>722</v>
      </c>
      <c r="C63" s="163" t="s">
        <v>15</v>
      </c>
      <c r="D63" s="164">
        <v>5000000</v>
      </c>
      <c r="E63" s="164"/>
      <c r="F63" s="166"/>
      <c r="G63" s="164" t="s">
        <v>724</v>
      </c>
      <c r="H63" s="164" t="s">
        <v>725</v>
      </c>
      <c r="I63" s="164" t="s">
        <v>393</v>
      </c>
      <c r="J63" s="164" t="s">
        <v>726</v>
      </c>
      <c r="K63" s="200" t="s">
        <v>79</v>
      </c>
      <c r="L63" s="167">
        <v>45458</v>
      </c>
      <c r="M63" s="182">
        <f>EDATE(L63,6)</f>
        <v>45641</v>
      </c>
      <c r="N63" s="182">
        <f t="shared" si="59"/>
        <v>45823</v>
      </c>
      <c r="O63" s="182">
        <f t="shared" si="59"/>
        <v>46006</v>
      </c>
      <c r="P63" s="212">
        <f t="shared" si="59"/>
        <v>46188</v>
      </c>
      <c r="Q63" s="182">
        <f t="shared" si="61"/>
        <v>46371</v>
      </c>
      <c r="R63" s="182">
        <f t="shared" si="61"/>
        <v>46553</v>
      </c>
      <c r="S63" s="182">
        <f t="shared" si="61"/>
        <v>46736</v>
      </c>
      <c r="T63" s="182">
        <f t="shared" si="61"/>
        <v>46919</v>
      </c>
      <c r="U63" s="182">
        <f t="shared" si="61"/>
        <v>47102</v>
      </c>
      <c r="V63" s="182">
        <f t="shared" si="61"/>
        <v>47284</v>
      </c>
      <c r="W63" s="182">
        <f t="shared" si="61"/>
        <v>47467</v>
      </c>
      <c r="X63" s="182">
        <f t="shared" si="61"/>
        <v>47649</v>
      </c>
      <c r="Y63" s="182">
        <f t="shared" si="61"/>
        <v>47832</v>
      </c>
      <c r="Z63" s="182">
        <f t="shared" si="61"/>
        <v>48014</v>
      </c>
      <c r="AA63" s="182">
        <f t="shared" si="61"/>
        <v>48197</v>
      </c>
      <c r="AB63" s="182">
        <f t="shared" si="61"/>
        <v>48380</v>
      </c>
      <c r="AC63" s="182">
        <f t="shared" si="61"/>
        <v>48563</v>
      </c>
      <c r="AD63" s="182">
        <f t="shared" si="62"/>
        <v>48745</v>
      </c>
      <c r="AE63" s="182">
        <f t="shared" si="62"/>
        <v>48928</v>
      </c>
      <c r="AF63" s="182">
        <f t="shared" si="62"/>
        <v>49110</v>
      </c>
      <c r="AG63" s="182">
        <f t="shared" si="56"/>
        <v>49293</v>
      </c>
      <c r="AH63" s="182">
        <f t="shared" si="52"/>
        <v>49475</v>
      </c>
      <c r="AI63" s="182">
        <f t="shared" si="52"/>
        <v>49658</v>
      </c>
      <c r="AJ63" s="186">
        <f t="shared" ca="1" si="60"/>
        <v>-111</v>
      </c>
      <c r="AK63" s="201">
        <f t="shared" si="63"/>
        <v>30000000</v>
      </c>
      <c r="AL63" s="162" t="s">
        <v>963</v>
      </c>
    </row>
    <row r="64" spans="1:38" x14ac:dyDescent="0.2">
      <c r="A64" s="162">
        <v>61</v>
      </c>
      <c r="B64" s="162" t="s">
        <v>701</v>
      </c>
      <c r="C64" s="163" t="s">
        <v>288</v>
      </c>
      <c r="D64" s="164">
        <v>5500000</v>
      </c>
      <c r="E64" s="164"/>
      <c r="F64" s="166"/>
      <c r="G64" s="164" t="s">
        <v>720</v>
      </c>
      <c r="H64" s="164" t="s">
        <v>719</v>
      </c>
      <c r="I64" s="164" t="s">
        <v>153</v>
      </c>
      <c r="J64" s="164" t="s">
        <v>703</v>
      </c>
      <c r="K64" s="200" t="s">
        <v>79</v>
      </c>
      <c r="L64" s="167">
        <v>45453</v>
      </c>
      <c r="M64" s="182">
        <f t="shared" ref="M64:N79" si="64">EDATE(L64,6)</f>
        <v>45636</v>
      </c>
      <c r="N64" s="182">
        <f t="shared" si="59"/>
        <v>45818</v>
      </c>
      <c r="O64" s="182">
        <f t="shared" si="59"/>
        <v>46001</v>
      </c>
      <c r="P64" s="212">
        <f t="shared" si="59"/>
        <v>46183</v>
      </c>
      <c r="Q64" s="182">
        <f t="shared" si="61"/>
        <v>46366</v>
      </c>
      <c r="R64" s="182">
        <f t="shared" si="61"/>
        <v>46548</v>
      </c>
      <c r="S64" s="182">
        <f t="shared" si="61"/>
        <v>46731</v>
      </c>
      <c r="T64" s="182">
        <f t="shared" si="61"/>
        <v>46914</v>
      </c>
      <c r="U64" s="182">
        <f t="shared" si="61"/>
        <v>47097</v>
      </c>
      <c r="V64" s="182">
        <f t="shared" si="61"/>
        <v>47279</v>
      </c>
      <c r="W64" s="182">
        <f t="shared" si="61"/>
        <v>47462</v>
      </c>
      <c r="X64" s="182">
        <f t="shared" si="61"/>
        <v>47644</v>
      </c>
      <c r="Y64" s="182">
        <f t="shared" si="61"/>
        <v>47827</v>
      </c>
      <c r="Z64" s="182">
        <f t="shared" si="61"/>
        <v>48009</v>
      </c>
      <c r="AA64" s="182">
        <f t="shared" si="61"/>
        <v>48192</v>
      </c>
      <c r="AB64" s="182">
        <f t="shared" si="61"/>
        <v>48375</v>
      </c>
      <c r="AC64" s="182">
        <f t="shared" si="61"/>
        <v>48558</v>
      </c>
      <c r="AD64" s="182">
        <f t="shared" si="62"/>
        <v>48740</v>
      </c>
      <c r="AE64" s="182">
        <f t="shared" si="62"/>
        <v>48923</v>
      </c>
      <c r="AF64" s="182">
        <f t="shared" si="62"/>
        <v>49105</v>
      </c>
      <c r="AG64" s="182">
        <f t="shared" si="56"/>
        <v>49288</v>
      </c>
      <c r="AH64" s="182">
        <f t="shared" si="52"/>
        <v>49470</v>
      </c>
      <c r="AI64" s="182">
        <f t="shared" si="52"/>
        <v>49653</v>
      </c>
      <c r="AJ64" s="186">
        <f t="shared" ca="1" si="60"/>
        <v>-116</v>
      </c>
      <c r="AK64" s="201">
        <f>D64*6</f>
        <v>33000000</v>
      </c>
      <c r="AL64" s="162" t="s">
        <v>963</v>
      </c>
    </row>
    <row r="65" spans="1:38" x14ac:dyDescent="0.2">
      <c r="A65" s="171">
        <v>62</v>
      </c>
      <c r="B65" s="163" t="s">
        <v>704</v>
      </c>
      <c r="C65" s="163" t="s">
        <v>288</v>
      </c>
      <c r="D65" s="164">
        <v>7000000</v>
      </c>
      <c r="E65" s="164"/>
      <c r="F65" s="166"/>
      <c r="G65" s="164" t="s">
        <v>716</v>
      </c>
      <c r="H65" s="164" t="s">
        <v>715</v>
      </c>
      <c r="I65" s="164" t="s">
        <v>408</v>
      </c>
      <c r="J65" s="164" t="s">
        <v>706</v>
      </c>
      <c r="K65" s="191" t="s">
        <v>79</v>
      </c>
      <c r="L65" s="167">
        <v>45463</v>
      </c>
      <c r="M65" s="182">
        <f t="shared" si="64"/>
        <v>45646</v>
      </c>
      <c r="N65" s="182">
        <f t="shared" si="59"/>
        <v>45828</v>
      </c>
      <c r="O65" s="182">
        <f t="shared" si="59"/>
        <v>46011</v>
      </c>
      <c r="P65" s="212">
        <f t="shared" si="59"/>
        <v>46193</v>
      </c>
      <c r="Q65" s="182">
        <f t="shared" si="61"/>
        <v>46376</v>
      </c>
      <c r="R65" s="182">
        <f t="shared" si="61"/>
        <v>46558</v>
      </c>
      <c r="S65" s="182">
        <f t="shared" si="61"/>
        <v>46741</v>
      </c>
      <c r="T65" s="182">
        <f t="shared" si="61"/>
        <v>46924</v>
      </c>
      <c r="U65" s="182">
        <f t="shared" si="61"/>
        <v>47107</v>
      </c>
      <c r="V65" s="182">
        <f t="shared" si="61"/>
        <v>47289</v>
      </c>
      <c r="W65" s="182">
        <f t="shared" si="61"/>
        <v>47472</v>
      </c>
      <c r="X65" s="182">
        <f t="shared" si="61"/>
        <v>47654</v>
      </c>
      <c r="Y65" s="182">
        <f t="shared" si="61"/>
        <v>47837</v>
      </c>
      <c r="Z65" s="182">
        <f t="shared" si="61"/>
        <v>48019</v>
      </c>
      <c r="AA65" s="182">
        <f t="shared" si="61"/>
        <v>48202</v>
      </c>
      <c r="AB65" s="182">
        <f t="shared" si="61"/>
        <v>48385</v>
      </c>
      <c r="AC65" s="182">
        <f t="shared" si="61"/>
        <v>48568</v>
      </c>
      <c r="AD65" s="182">
        <f t="shared" si="62"/>
        <v>48750</v>
      </c>
      <c r="AE65" s="182">
        <f t="shared" si="62"/>
        <v>48933</v>
      </c>
      <c r="AF65" s="182">
        <f t="shared" si="62"/>
        <v>49115</v>
      </c>
      <c r="AG65" s="182">
        <f t="shared" si="56"/>
        <v>49298</v>
      </c>
      <c r="AH65" s="182">
        <f t="shared" si="52"/>
        <v>49480</v>
      </c>
      <c r="AI65" s="182">
        <f t="shared" si="52"/>
        <v>49663</v>
      </c>
      <c r="AJ65" s="186">
        <f t="shared" ca="1" si="60"/>
        <v>-106</v>
      </c>
      <c r="AK65" s="201">
        <f t="shared" si="63"/>
        <v>42000000</v>
      </c>
      <c r="AL65" s="162" t="s">
        <v>963</v>
      </c>
    </row>
    <row r="66" spans="1:38" x14ac:dyDescent="0.2">
      <c r="A66" s="162">
        <v>63</v>
      </c>
      <c r="B66" s="162" t="s">
        <v>707</v>
      </c>
      <c r="C66" s="163" t="s">
        <v>32</v>
      </c>
      <c r="D66" s="164">
        <v>7500000</v>
      </c>
      <c r="E66" s="164"/>
      <c r="F66" s="166"/>
      <c r="G66" s="164" t="s">
        <v>728</v>
      </c>
      <c r="H66" s="164" t="s">
        <v>727</v>
      </c>
      <c r="I66" s="164" t="s">
        <v>965</v>
      </c>
      <c r="J66" s="164" t="s">
        <v>709</v>
      </c>
      <c r="K66" s="200" t="s">
        <v>79</v>
      </c>
      <c r="L66" s="167">
        <v>45483</v>
      </c>
      <c r="M66" s="182">
        <f t="shared" si="64"/>
        <v>45667</v>
      </c>
      <c r="N66" s="182">
        <f>EDATE(M66,6)</f>
        <v>45848</v>
      </c>
      <c r="O66" s="182">
        <f>EDATE(N66,6)</f>
        <v>46032</v>
      </c>
      <c r="P66" s="212">
        <f>EDATE(O66,6)</f>
        <v>46213</v>
      </c>
      <c r="Q66" s="182">
        <f t="shared" si="61"/>
        <v>46397</v>
      </c>
      <c r="R66" s="182">
        <f t="shared" si="61"/>
        <v>46578</v>
      </c>
      <c r="S66" s="182">
        <f t="shared" si="61"/>
        <v>46762</v>
      </c>
      <c r="T66" s="182">
        <f t="shared" si="61"/>
        <v>46944</v>
      </c>
      <c r="U66" s="182">
        <f t="shared" si="61"/>
        <v>47128</v>
      </c>
      <c r="V66" s="182">
        <f t="shared" si="61"/>
        <v>47309</v>
      </c>
      <c r="W66" s="182">
        <f t="shared" si="61"/>
        <v>47493</v>
      </c>
      <c r="X66" s="182">
        <f t="shared" si="61"/>
        <v>47674</v>
      </c>
      <c r="Y66" s="182">
        <f t="shared" si="61"/>
        <v>47858</v>
      </c>
      <c r="Z66" s="182">
        <f t="shared" si="61"/>
        <v>48039</v>
      </c>
      <c r="AA66" s="182">
        <f t="shared" si="61"/>
        <v>48223</v>
      </c>
      <c r="AB66" s="182">
        <f t="shared" si="61"/>
        <v>48405</v>
      </c>
      <c r="AC66" s="182">
        <f t="shared" si="61"/>
        <v>48589</v>
      </c>
      <c r="AD66" s="182">
        <f t="shared" si="62"/>
        <v>48770</v>
      </c>
      <c r="AE66" s="182">
        <f t="shared" si="62"/>
        <v>48954</v>
      </c>
      <c r="AF66" s="182">
        <f t="shared" si="62"/>
        <v>49135</v>
      </c>
      <c r="AG66" s="182">
        <f t="shared" si="56"/>
        <v>49319</v>
      </c>
      <c r="AH66" s="182">
        <f t="shared" si="52"/>
        <v>49500</v>
      </c>
      <c r="AI66" s="182">
        <f t="shared" si="52"/>
        <v>49684</v>
      </c>
      <c r="AJ66" s="186">
        <f t="shared" ca="1" si="60"/>
        <v>-86</v>
      </c>
      <c r="AK66" s="201">
        <f>D66*6</f>
        <v>45000000</v>
      </c>
      <c r="AL66" s="171" t="s">
        <v>963</v>
      </c>
    </row>
    <row r="67" spans="1:38" x14ac:dyDescent="0.2">
      <c r="A67" s="171">
        <v>64</v>
      </c>
      <c r="B67" s="162" t="s">
        <v>710</v>
      </c>
      <c r="C67" s="163" t="s">
        <v>229</v>
      </c>
      <c r="D67" s="164">
        <v>5000000</v>
      </c>
      <c r="E67" s="164"/>
      <c r="F67" s="166"/>
      <c r="G67" s="164" t="s">
        <v>713</v>
      </c>
      <c r="H67" s="164" t="s">
        <v>714</v>
      </c>
      <c r="I67" s="164" t="s">
        <v>170</v>
      </c>
      <c r="J67" s="164" t="s">
        <v>712</v>
      </c>
      <c r="K67" s="167" t="s">
        <v>79</v>
      </c>
      <c r="L67" s="167">
        <v>45491</v>
      </c>
      <c r="M67" s="182">
        <f t="shared" si="64"/>
        <v>45675</v>
      </c>
      <c r="N67" s="182">
        <f>EDATE(M67,6)</f>
        <v>45856</v>
      </c>
      <c r="O67" s="212">
        <f t="shared" si="59"/>
        <v>46040</v>
      </c>
      <c r="P67" s="182">
        <f t="shared" si="59"/>
        <v>46221</v>
      </c>
      <c r="Q67" s="182">
        <f t="shared" si="61"/>
        <v>46405</v>
      </c>
      <c r="R67" s="182">
        <f t="shared" si="61"/>
        <v>46586</v>
      </c>
      <c r="S67" s="182">
        <f t="shared" si="61"/>
        <v>46770</v>
      </c>
      <c r="T67" s="182">
        <f t="shared" si="61"/>
        <v>46952</v>
      </c>
      <c r="U67" s="182">
        <f t="shared" si="61"/>
        <v>47136</v>
      </c>
      <c r="V67" s="182">
        <f t="shared" si="61"/>
        <v>47317</v>
      </c>
      <c r="W67" s="182">
        <f t="shared" si="61"/>
        <v>47501</v>
      </c>
      <c r="X67" s="182">
        <f t="shared" si="61"/>
        <v>47682</v>
      </c>
      <c r="Y67" s="182">
        <f t="shared" si="61"/>
        <v>47866</v>
      </c>
      <c r="Z67" s="182">
        <f t="shared" si="61"/>
        <v>48047</v>
      </c>
      <c r="AA67" s="182">
        <f t="shared" si="61"/>
        <v>48231</v>
      </c>
      <c r="AB67" s="182">
        <f t="shared" si="61"/>
        <v>48413</v>
      </c>
      <c r="AC67" s="182">
        <f t="shared" si="61"/>
        <v>48597</v>
      </c>
      <c r="AD67" s="182">
        <f t="shared" si="62"/>
        <v>48778</v>
      </c>
      <c r="AE67" s="182">
        <f t="shared" si="62"/>
        <v>48962</v>
      </c>
      <c r="AF67" s="182">
        <f t="shared" si="62"/>
        <v>49143</v>
      </c>
      <c r="AG67" s="182">
        <f t="shared" si="56"/>
        <v>49327</v>
      </c>
      <c r="AH67" s="182">
        <f t="shared" si="52"/>
        <v>49508</v>
      </c>
      <c r="AI67" s="182">
        <f t="shared" si="52"/>
        <v>49692</v>
      </c>
      <c r="AJ67" s="186">
        <f t="shared" ca="1" si="60"/>
        <v>-78</v>
      </c>
      <c r="AK67" s="201">
        <f t="shared" si="63"/>
        <v>30000000</v>
      </c>
      <c r="AL67" s="162" t="s">
        <v>963</v>
      </c>
    </row>
    <row r="68" spans="1:38" x14ac:dyDescent="0.2">
      <c r="A68" s="162">
        <v>65</v>
      </c>
      <c r="B68" s="219" t="s">
        <v>741</v>
      </c>
      <c r="C68" s="163" t="s">
        <v>15</v>
      </c>
      <c r="D68" s="164">
        <v>5500000</v>
      </c>
      <c r="E68" s="164"/>
      <c r="F68" s="166"/>
      <c r="G68" s="164" t="s">
        <v>756</v>
      </c>
      <c r="H68" s="164" t="s">
        <v>755</v>
      </c>
      <c r="I68" s="164" t="s">
        <v>757</v>
      </c>
      <c r="J68" s="164" t="s">
        <v>744</v>
      </c>
      <c r="K68" s="200" t="s">
        <v>79</v>
      </c>
      <c r="L68" s="167">
        <v>45545</v>
      </c>
      <c r="M68" s="182">
        <f t="shared" si="64"/>
        <v>45726</v>
      </c>
      <c r="N68" s="182">
        <f t="shared" si="64"/>
        <v>45910</v>
      </c>
      <c r="O68" s="182">
        <f t="shared" si="59"/>
        <v>46091</v>
      </c>
      <c r="P68" s="212">
        <f t="shared" si="59"/>
        <v>46275</v>
      </c>
      <c r="Q68" s="182">
        <f t="shared" si="61"/>
        <v>46456</v>
      </c>
      <c r="R68" s="182">
        <f t="shared" si="61"/>
        <v>46640</v>
      </c>
      <c r="S68" s="182">
        <f t="shared" si="61"/>
        <v>46822</v>
      </c>
      <c r="T68" s="182">
        <f t="shared" si="61"/>
        <v>47006</v>
      </c>
      <c r="U68" s="182">
        <f t="shared" si="61"/>
        <v>47187</v>
      </c>
      <c r="V68" s="182">
        <f t="shared" si="61"/>
        <v>47371</v>
      </c>
      <c r="W68" s="182">
        <f t="shared" si="61"/>
        <v>47552</v>
      </c>
      <c r="X68" s="182">
        <f t="shared" si="61"/>
        <v>47736</v>
      </c>
      <c r="Y68" s="182">
        <f t="shared" si="61"/>
        <v>47917</v>
      </c>
      <c r="Z68" s="182">
        <f t="shared" si="61"/>
        <v>48101</v>
      </c>
      <c r="AA68" s="182">
        <f t="shared" si="61"/>
        <v>48283</v>
      </c>
      <c r="AB68" s="182">
        <f t="shared" si="61"/>
        <v>48467</v>
      </c>
      <c r="AC68" s="182">
        <f t="shared" si="61"/>
        <v>48648</v>
      </c>
      <c r="AD68" s="182">
        <f t="shared" si="62"/>
        <v>48832</v>
      </c>
      <c r="AE68" s="182">
        <f t="shared" si="62"/>
        <v>49013</v>
      </c>
      <c r="AF68" s="182">
        <f t="shared" si="62"/>
        <v>49197</v>
      </c>
      <c r="AG68" s="182">
        <f t="shared" si="56"/>
        <v>49378</v>
      </c>
      <c r="AH68" s="182">
        <f t="shared" si="52"/>
        <v>49562</v>
      </c>
      <c r="AI68" s="182">
        <f t="shared" si="52"/>
        <v>49744</v>
      </c>
      <c r="AJ68" s="186">
        <f ca="1">P68-TODAY()</f>
        <v>-24</v>
      </c>
      <c r="AK68" s="201">
        <f t="shared" si="63"/>
        <v>33000000</v>
      </c>
      <c r="AL68" s="162" t="s">
        <v>963</v>
      </c>
    </row>
    <row r="69" spans="1:38" x14ac:dyDescent="0.2">
      <c r="A69" s="171">
        <v>66</v>
      </c>
      <c r="B69" s="269" t="s">
        <v>742</v>
      </c>
      <c r="C69" s="163" t="s">
        <v>229</v>
      </c>
      <c r="D69" s="164">
        <v>5000000</v>
      </c>
      <c r="E69" s="164">
        <v>6000000</v>
      </c>
      <c r="F69" s="166">
        <v>46259</v>
      </c>
      <c r="G69" s="164" t="s">
        <v>768</v>
      </c>
      <c r="H69" s="164" t="s">
        <v>769</v>
      </c>
      <c r="I69" s="164" t="s">
        <v>770</v>
      </c>
      <c r="J69" s="164" t="s">
        <v>746</v>
      </c>
      <c r="K69" s="200" t="s">
        <v>79</v>
      </c>
      <c r="L69" s="167">
        <v>45545</v>
      </c>
      <c r="M69" s="182">
        <f t="shared" si="64"/>
        <v>45726</v>
      </c>
      <c r="N69" s="182">
        <f>EDATE(M69,6)</f>
        <v>45910</v>
      </c>
      <c r="O69" s="182">
        <f t="shared" ref="O69:X84" si="65">EDATE(N69,6)</f>
        <v>46091</v>
      </c>
      <c r="P69" s="212">
        <v>46266</v>
      </c>
      <c r="Q69" s="182">
        <f>EDATE(P69,6)</f>
        <v>46447</v>
      </c>
      <c r="R69" s="182">
        <f t="shared" si="61"/>
        <v>46631</v>
      </c>
      <c r="S69" s="182">
        <f t="shared" si="61"/>
        <v>46813</v>
      </c>
      <c r="T69" s="182">
        <f t="shared" si="61"/>
        <v>46997</v>
      </c>
      <c r="U69" s="182">
        <f t="shared" si="61"/>
        <v>47178</v>
      </c>
      <c r="V69" s="182">
        <f t="shared" si="61"/>
        <v>47362</v>
      </c>
      <c r="W69" s="182">
        <f t="shared" si="61"/>
        <v>47543</v>
      </c>
      <c r="X69" s="182">
        <f t="shared" si="61"/>
        <v>47727</v>
      </c>
      <c r="Y69" s="182">
        <f t="shared" si="61"/>
        <v>47908</v>
      </c>
      <c r="Z69" s="182">
        <f t="shared" si="61"/>
        <v>48092</v>
      </c>
      <c r="AA69" s="182">
        <f t="shared" si="61"/>
        <v>48274</v>
      </c>
      <c r="AB69" s="182">
        <f t="shared" si="61"/>
        <v>48458</v>
      </c>
      <c r="AC69" s="182">
        <f t="shared" si="61"/>
        <v>48639</v>
      </c>
      <c r="AD69" s="182">
        <f t="shared" si="62"/>
        <v>48823</v>
      </c>
      <c r="AE69" s="182">
        <f t="shared" si="62"/>
        <v>49004</v>
      </c>
      <c r="AF69" s="182">
        <f t="shared" si="62"/>
        <v>49188</v>
      </c>
      <c r="AG69" s="182">
        <f t="shared" si="56"/>
        <v>49369</v>
      </c>
      <c r="AH69" s="182">
        <f t="shared" si="52"/>
        <v>49553</v>
      </c>
      <c r="AI69" s="182">
        <f t="shared" si="52"/>
        <v>49735</v>
      </c>
      <c r="AJ69" s="186">
        <f ca="1">P69-TODAY()</f>
        <v>-33</v>
      </c>
      <c r="AK69" s="201">
        <f t="shared" si="63"/>
        <v>30000000</v>
      </c>
      <c r="AL69" s="162" t="s">
        <v>963</v>
      </c>
    </row>
    <row r="70" spans="1:38" x14ac:dyDescent="0.2">
      <c r="A70" s="162">
        <v>67</v>
      </c>
      <c r="B70" s="162" t="s">
        <v>739</v>
      </c>
      <c r="C70" s="163" t="s">
        <v>15</v>
      </c>
      <c r="D70" s="164">
        <v>5000000</v>
      </c>
      <c r="E70" s="164"/>
      <c r="F70" s="166"/>
      <c r="G70" s="164" t="s">
        <v>753</v>
      </c>
      <c r="H70" s="164" t="s">
        <v>754</v>
      </c>
      <c r="I70" s="164" t="s">
        <v>700</v>
      </c>
      <c r="J70" s="164" t="s">
        <v>751</v>
      </c>
      <c r="K70" s="197" t="s">
        <v>79</v>
      </c>
      <c r="L70" s="167">
        <v>45583</v>
      </c>
      <c r="M70" s="182">
        <f t="shared" si="64"/>
        <v>45765</v>
      </c>
      <c r="N70" s="182">
        <f t="shared" si="64"/>
        <v>45948</v>
      </c>
      <c r="O70" s="182">
        <f t="shared" si="65"/>
        <v>46130</v>
      </c>
      <c r="P70" s="182">
        <f t="shared" si="65"/>
        <v>46313</v>
      </c>
      <c r="Q70" s="182">
        <f t="shared" si="61"/>
        <v>46495</v>
      </c>
      <c r="R70" s="182">
        <f t="shared" si="61"/>
        <v>46678</v>
      </c>
      <c r="S70" s="182">
        <f t="shared" si="61"/>
        <v>46861</v>
      </c>
      <c r="T70" s="182">
        <f t="shared" si="61"/>
        <v>47044</v>
      </c>
      <c r="U70" s="182">
        <f t="shared" si="61"/>
        <v>47226</v>
      </c>
      <c r="V70" s="182">
        <f t="shared" si="61"/>
        <v>47409</v>
      </c>
      <c r="W70" s="182">
        <f t="shared" si="61"/>
        <v>47591</v>
      </c>
      <c r="X70" s="182">
        <f t="shared" si="61"/>
        <v>47774</v>
      </c>
      <c r="Y70" s="182">
        <f t="shared" si="61"/>
        <v>47956</v>
      </c>
      <c r="Z70" s="182">
        <f t="shared" si="61"/>
        <v>48139</v>
      </c>
      <c r="AA70" s="182">
        <f t="shared" si="61"/>
        <v>48322</v>
      </c>
      <c r="AB70" s="182">
        <f t="shared" si="61"/>
        <v>48505</v>
      </c>
      <c r="AC70" s="182">
        <f t="shared" si="61"/>
        <v>48687</v>
      </c>
      <c r="AD70" s="182">
        <f t="shared" si="62"/>
        <v>48870</v>
      </c>
      <c r="AE70" s="182">
        <f t="shared" si="62"/>
        <v>49052</v>
      </c>
      <c r="AF70" s="182">
        <f t="shared" si="62"/>
        <v>49235</v>
      </c>
      <c r="AG70" s="182">
        <f t="shared" si="56"/>
        <v>49417</v>
      </c>
      <c r="AH70" s="182">
        <f t="shared" si="52"/>
        <v>49600</v>
      </c>
      <c r="AI70" s="182">
        <f t="shared" si="52"/>
        <v>49783</v>
      </c>
      <c r="AJ70" s="186">
        <f t="shared" ref="AJ70:AJ73" ca="1" si="66">O70-TODAY()</f>
        <v>-169</v>
      </c>
      <c r="AK70" s="201">
        <f t="shared" si="63"/>
        <v>30000000</v>
      </c>
      <c r="AL70" s="162" t="s">
        <v>962</v>
      </c>
    </row>
    <row r="71" spans="1:38" x14ac:dyDescent="0.2">
      <c r="A71" s="171">
        <v>68</v>
      </c>
      <c r="B71" s="162" t="s">
        <v>740</v>
      </c>
      <c r="C71" s="163" t="s">
        <v>117</v>
      </c>
      <c r="D71" s="164">
        <v>4500000</v>
      </c>
      <c r="E71" s="164"/>
      <c r="F71" s="166"/>
      <c r="G71" s="164" t="s">
        <v>749</v>
      </c>
      <c r="H71" s="164" t="s">
        <v>748</v>
      </c>
      <c r="I71" s="164" t="s">
        <v>700</v>
      </c>
      <c r="J71" s="164" t="s">
        <v>750</v>
      </c>
      <c r="K71" s="167" t="s">
        <v>79</v>
      </c>
      <c r="L71" s="167">
        <v>45530</v>
      </c>
      <c r="M71" s="182">
        <f t="shared" si="64"/>
        <v>45714</v>
      </c>
      <c r="N71" s="182">
        <f t="shared" si="64"/>
        <v>45895</v>
      </c>
      <c r="O71" s="182">
        <f t="shared" si="65"/>
        <v>46079</v>
      </c>
      <c r="P71" s="212">
        <f t="shared" si="65"/>
        <v>46260</v>
      </c>
      <c r="Q71" s="182">
        <f t="shared" si="61"/>
        <v>46444</v>
      </c>
      <c r="R71" s="182">
        <f t="shared" si="61"/>
        <v>46625</v>
      </c>
      <c r="S71" s="182">
        <f t="shared" si="61"/>
        <v>46809</v>
      </c>
      <c r="T71" s="182">
        <f t="shared" si="61"/>
        <v>46991</v>
      </c>
      <c r="U71" s="182">
        <f t="shared" si="61"/>
        <v>47175</v>
      </c>
      <c r="V71" s="182">
        <f t="shared" si="61"/>
        <v>47356</v>
      </c>
      <c r="W71" s="182">
        <f t="shared" si="61"/>
        <v>47540</v>
      </c>
      <c r="X71" s="182">
        <f t="shared" si="61"/>
        <v>47721</v>
      </c>
      <c r="Y71" s="182">
        <f t="shared" si="61"/>
        <v>47905</v>
      </c>
      <c r="Z71" s="182">
        <f t="shared" si="61"/>
        <v>48086</v>
      </c>
      <c r="AA71" s="182">
        <f t="shared" si="61"/>
        <v>48270</v>
      </c>
      <c r="AB71" s="182">
        <f t="shared" si="61"/>
        <v>48452</v>
      </c>
      <c r="AC71" s="182">
        <f t="shared" si="61"/>
        <v>48636</v>
      </c>
      <c r="AD71" s="182">
        <f t="shared" si="62"/>
        <v>48817</v>
      </c>
      <c r="AE71" s="182">
        <f t="shared" si="62"/>
        <v>49001</v>
      </c>
      <c r="AF71" s="182">
        <f t="shared" si="62"/>
        <v>49182</v>
      </c>
      <c r="AG71" s="182">
        <f t="shared" si="56"/>
        <v>49366</v>
      </c>
      <c r="AH71" s="182">
        <f t="shared" si="52"/>
        <v>49547</v>
      </c>
      <c r="AI71" s="182">
        <f t="shared" si="52"/>
        <v>49731</v>
      </c>
      <c r="AJ71" s="186">
        <f ca="1">P71-TODAY()</f>
        <v>-39</v>
      </c>
      <c r="AK71" s="201">
        <f t="shared" si="63"/>
        <v>27000000</v>
      </c>
      <c r="AL71" s="162" t="s">
        <v>963</v>
      </c>
    </row>
    <row r="72" spans="1:38" x14ac:dyDescent="0.2">
      <c r="A72" s="162">
        <v>69</v>
      </c>
      <c r="B72" s="162" t="s">
        <v>771</v>
      </c>
      <c r="C72" s="163" t="s">
        <v>32</v>
      </c>
      <c r="D72" s="164">
        <v>6000000</v>
      </c>
      <c r="E72" s="164"/>
      <c r="F72" s="166"/>
      <c r="G72" s="164" t="s">
        <v>774</v>
      </c>
      <c r="H72" s="164" t="s">
        <v>775</v>
      </c>
      <c r="I72" s="164" t="s">
        <v>770</v>
      </c>
      <c r="J72" s="164" t="s">
        <v>776</v>
      </c>
      <c r="K72" s="167" t="s">
        <v>79</v>
      </c>
      <c r="L72" s="167">
        <v>45622</v>
      </c>
      <c r="M72" s="182">
        <f t="shared" si="64"/>
        <v>45803</v>
      </c>
      <c r="N72" s="182">
        <f t="shared" si="64"/>
        <v>45987</v>
      </c>
      <c r="O72" s="212">
        <f t="shared" si="65"/>
        <v>46168</v>
      </c>
      <c r="P72" s="182">
        <f t="shared" si="65"/>
        <v>46352</v>
      </c>
      <c r="Q72" s="182">
        <f t="shared" si="61"/>
        <v>46533</v>
      </c>
      <c r="R72" s="182">
        <f t="shared" si="61"/>
        <v>46717</v>
      </c>
      <c r="S72" s="182">
        <f t="shared" si="61"/>
        <v>46899</v>
      </c>
      <c r="T72" s="182">
        <f t="shared" si="61"/>
        <v>47083</v>
      </c>
      <c r="U72" s="182">
        <f t="shared" si="61"/>
        <v>47264</v>
      </c>
      <c r="V72" s="182">
        <f t="shared" si="61"/>
        <v>47448</v>
      </c>
      <c r="W72" s="182">
        <f t="shared" si="61"/>
        <v>47629</v>
      </c>
      <c r="X72" s="182">
        <f t="shared" si="61"/>
        <v>47813</v>
      </c>
      <c r="Y72" s="182">
        <f t="shared" si="61"/>
        <v>47994</v>
      </c>
      <c r="Z72" s="182">
        <f t="shared" si="61"/>
        <v>48178</v>
      </c>
      <c r="AA72" s="182">
        <f t="shared" si="61"/>
        <v>48360</v>
      </c>
      <c r="AB72" s="182">
        <f t="shared" si="61"/>
        <v>48544</v>
      </c>
      <c r="AC72" s="182">
        <f t="shared" si="61"/>
        <v>48725</v>
      </c>
      <c r="AD72" s="182">
        <f t="shared" si="62"/>
        <v>48909</v>
      </c>
      <c r="AE72" s="182">
        <f t="shared" si="62"/>
        <v>49090</v>
      </c>
      <c r="AF72" s="182">
        <f t="shared" si="62"/>
        <v>49274</v>
      </c>
      <c r="AG72" s="182">
        <f t="shared" si="56"/>
        <v>49455</v>
      </c>
      <c r="AH72" s="182">
        <f t="shared" si="52"/>
        <v>49639</v>
      </c>
      <c r="AI72" s="182">
        <f t="shared" si="52"/>
        <v>49821</v>
      </c>
      <c r="AJ72" s="186">
        <f t="shared" ca="1" si="66"/>
        <v>-131</v>
      </c>
      <c r="AK72" s="201">
        <f t="shared" si="63"/>
        <v>36000000</v>
      </c>
      <c r="AL72" s="162" t="s">
        <v>966</v>
      </c>
    </row>
    <row r="73" spans="1:38" x14ac:dyDescent="0.2">
      <c r="A73" s="162">
        <v>70</v>
      </c>
      <c r="B73" s="219" t="s">
        <v>778</v>
      </c>
      <c r="C73" s="163" t="s">
        <v>156</v>
      </c>
      <c r="D73" s="164">
        <v>4000000</v>
      </c>
      <c r="E73" s="164"/>
      <c r="F73" s="166"/>
      <c r="G73" s="164" t="s">
        <v>780</v>
      </c>
      <c r="H73" s="164" t="s">
        <v>781</v>
      </c>
      <c r="I73" s="164" t="s">
        <v>782</v>
      </c>
      <c r="J73" s="164" t="s">
        <v>783</v>
      </c>
      <c r="K73" s="200" t="s">
        <v>79</v>
      </c>
      <c r="L73" s="167">
        <v>45639</v>
      </c>
      <c r="M73" s="182">
        <f t="shared" si="64"/>
        <v>45821</v>
      </c>
      <c r="N73" s="182">
        <f t="shared" si="64"/>
        <v>46004</v>
      </c>
      <c r="O73" s="212">
        <f t="shared" si="65"/>
        <v>46186</v>
      </c>
      <c r="P73" s="182">
        <f t="shared" si="65"/>
        <v>46369</v>
      </c>
      <c r="Q73" s="182">
        <f t="shared" si="61"/>
        <v>46551</v>
      </c>
      <c r="R73" s="182">
        <f t="shared" si="61"/>
        <v>46734</v>
      </c>
      <c r="S73" s="182">
        <f t="shared" si="61"/>
        <v>46917</v>
      </c>
      <c r="T73" s="182">
        <f t="shared" si="61"/>
        <v>47100</v>
      </c>
      <c r="U73" s="182">
        <f t="shared" si="61"/>
        <v>47282</v>
      </c>
      <c r="V73" s="182">
        <f t="shared" si="61"/>
        <v>47465</v>
      </c>
      <c r="W73" s="182">
        <f t="shared" si="61"/>
        <v>47647</v>
      </c>
      <c r="X73" s="182">
        <f t="shared" si="61"/>
        <v>47830</v>
      </c>
      <c r="Y73" s="182">
        <f t="shared" si="61"/>
        <v>48012</v>
      </c>
      <c r="Z73" s="182">
        <f t="shared" si="61"/>
        <v>48195</v>
      </c>
      <c r="AA73" s="182">
        <f t="shared" si="61"/>
        <v>48378</v>
      </c>
      <c r="AB73" s="182">
        <f t="shared" si="61"/>
        <v>48561</v>
      </c>
      <c r="AC73" s="182">
        <f t="shared" si="61"/>
        <v>48743</v>
      </c>
      <c r="AD73" s="182">
        <f t="shared" si="62"/>
        <v>48926</v>
      </c>
      <c r="AE73" s="182">
        <f t="shared" si="62"/>
        <v>49108</v>
      </c>
      <c r="AF73" s="182">
        <f t="shared" si="62"/>
        <v>49291</v>
      </c>
      <c r="AG73" s="182">
        <f t="shared" si="56"/>
        <v>49473</v>
      </c>
      <c r="AH73" s="182">
        <f t="shared" si="52"/>
        <v>49656</v>
      </c>
      <c r="AI73" s="182">
        <f t="shared" si="52"/>
        <v>49839</v>
      </c>
      <c r="AJ73" s="186">
        <f t="shared" ca="1" si="66"/>
        <v>-113</v>
      </c>
      <c r="AK73" s="201">
        <f t="shared" si="63"/>
        <v>24000000</v>
      </c>
      <c r="AL73" s="162" t="s">
        <v>966</v>
      </c>
    </row>
    <row r="74" spans="1:38" x14ac:dyDescent="0.2">
      <c r="A74" s="162">
        <v>71</v>
      </c>
      <c r="B74" s="163" t="s">
        <v>787</v>
      </c>
      <c r="C74" s="163" t="s">
        <v>573</v>
      </c>
      <c r="D74" s="164">
        <v>7000000</v>
      </c>
      <c r="E74" s="164"/>
      <c r="F74" s="166"/>
      <c r="G74" s="164" t="s">
        <v>789</v>
      </c>
      <c r="H74" s="164" t="s">
        <v>788</v>
      </c>
      <c r="I74" s="164" t="s">
        <v>790</v>
      </c>
      <c r="J74" s="164" t="s">
        <v>785</v>
      </c>
      <c r="K74" s="167" t="s">
        <v>79</v>
      </c>
      <c r="L74" s="167">
        <v>45677</v>
      </c>
      <c r="M74" s="182">
        <f t="shared" si="64"/>
        <v>45858</v>
      </c>
      <c r="N74" s="182">
        <f t="shared" si="64"/>
        <v>46042</v>
      </c>
      <c r="O74" s="212">
        <f t="shared" si="65"/>
        <v>46223</v>
      </c>
      <c r="P74" s="182">
        <f t="shared" si="65"/>
        <v>46407</v>
      </c>
      <c r="Q74" s="182">
        <f t="shared" si="61"/>
        <v>46588</v>
      </c>
      <c r="R74" s="182">
        <f t="shared" si="61"/>
        <v>46772</v>
      </c>
      <c r="S74" s="182">
        <f t="shared" si="61"/>
        <v>46954</v>
      </c>
      <c r="T74" s="182">
        <f t="shared" si="61"/>
        <v>47138</v>
      </c>
      <c r="U74" s="182">
        <f t="shared" si="61"/>
        <v>47319</v>
      </c>
      <c r="V74" s="182">
        <f t="shared" si="61"/>
        <v>47503</v>
      </c>
      <c r="W74" s="182">
        <f t="shared" si="61"/>
        <v>47684</v>
      </c>
      <c r="X74" s="182">
        <f t="shared" si="61"/>
        <v>47868</v>
      </c>
      <c r="Y74" s="182">
        <f t="shared" si="61"/>
        <v>48049</v>
      </c>
      <c r="Z74" s="182">
        <f t="shared" si="61"/>
        <v>48233</v>
      </c>
      <c r="AA74" s="182">
        <f t="shared" si="61"/>
        <v>48415</v>
      </c>
      <c r="AB74" s="182">
        <f t="shared" si="61"/>
        <v>48599</v>
      </c>
      <c r="AC74" s="182">
        <f t="shared" si="61"/>
        <v>48780</v>
      </c>
      <c r="AD74" s="182">
        <f t="shared" si="62"/>
        <v>48964</v>
      </c>
      <c r="AE74" s="182">
        <f t="shared" si="62"/>
        <v>49145</v>
      </c>
      <c r="AF74" s="182">
        <f t="shared" si="62"/>
        <v>49329</v>
      </c>
      <c r="AG74" s="182">
        <f t="shared" si="56"/>
        <v>49510</v>
      </c>
      <c r="AH74" s="182">
        <f t="shared" si="52"/>
        <v>49694</v>
      </c>
      <c r="AI74" s="182">
        <f t="shared" si="52"/>
        <v>49876</v>
      </c>
      <c r="AJ74" s="186">
        <f ca="1">O74-TODAY()</f>
        <v>-76</v>
      </c>
      <c r="AK74" s="201">
        <f t="shared" si="63"/>
        <v>42000000</v>
      </c>
      <c r="AL74" s="162" t="s">
        <v>962</v>
      </c>
    </row>
    <row r="75" spans="1:38" x14ac:dyDescent="0.2">
      <c r="A75" s="162">
        <v>73</v>
      </c>
      <c r="B75" s="163" t="s">
        <v>791</v>
      </c>
      <c r="C75" s="163" t="s">
        <v>32</v>
      </c>
      <c r="D75" s="164">
        <v>4000000</v>
      </c>
      <c r="E75" s="164"/>
      <c r="F75" s="166"/>
      <c r="G75" s="164" t="s">
        <v>798</v>
      </c>
      <c r="H75" s="164" t="s">
        <v>858</v>
      </c>
      <c r="I75" s="164" t="s">
        <v>696</v>
      </c>
      <c r="J75" s="164" t="s">
        <v>797</v>
      </c>
      <c r="K75" s="200" t="s">
        <v>79</v>
      </c>
      <c r="L75" s="167">
        <v>45683</v>
      </c>
      <c r="M75" s="182">
        <f t="shared" si="64"/>
        <v>45864</v>
      </c>
      <c r="N75" s="182">
        <f t="shared" si="64"/>
        <v>46048</v>
      </c>
      <c r="O75" s="212">
        <f t="shared" si="65"/>
        <v>46229</v>
      </c>
      <c r="P75" s="182">
        <f t="shared" si="65"/>
        <v>46413</v>
      </c>
      <c r="Q75" s="182">
        <f t="shared" si="61"/>
        <v>46594</v>
      </c>
      <c r="R75" s="182">
        <f t="shared" si="61"/>
        <v>46778</v>
      </c>
      <c r="S75" s="182">
        <f t="shared" si="61"/>
        <v>46960</v>
      </c>
      <c r="T75" s="182">
        <f t="shared" si="61"/>
        <v>47144</v>
      </c>
      <c r="U75" s="182">
        <f t="shared" si="61"/>
        <v>47325</v>
      </c>
      <c r="V75" s="182">
        <f t="shared" si="61"/>
        <v>47509</v>
      </c>
      <c r="W75" s="182">
        <f t="shared" si="61"/>
        <v>47690</v>
      </c>
      <c r="X75" s="182">
        <f t="shared" si="61"/>
        <v>47874</v>
      </c>
      <c r="Y75" s="182">
        <f t="shared" si="61"/>
        <v>48055</v>
      </c>
      <c r="Z75" s="182">
        <f t="shared" si="61"/>
        <v>48239</v>
      </c>
      <c r="AA75" s="182">
        <f t="shared" si="61"/>
        <v>48421</v>
      </c>
      <c r="AB75" s="182">
        <f t="shared" si="61"/>
        <v>48605</v>
      </c>
      <c r="AC75" s="182">
        <f t="shared" si="61"/>
        <v>48786</v>
      </c>
      <c r="AD75" s="182">
        <f t="shared" si="62"/>
        <v>48970</v>
      </c>
      <c r="AE75" s="182">
        <f t="shared" si="62"/>
        <v>49151</v>
      </c>
      <c r="AF75" s="182">
        <f t="shared" si="62"/>
        <v>49335</v>
      </c>
      <c r="AG75" s="182">
        <f t="shared" si="56"/>
        <v>49516</v>
      </c>
      <c r="AH75" s="182">
        <f t="shared" si="52"/>
        <v>49700</v>
      </c>
      <c r="AI75" s="182">
        <f t="shared" si="52"/>
        <v>49882</v>
      </c>
      <c r="AJ75" s="186">
        <f ca="1">O75-TODAY()</f>
        <v>-70</v>
      </c>
      <c r="AK75" s="201">
        <f t="shared" si="63"/>
        <v>24000000</v>
      </c>
      <c r="AL75" s="162" t="s">
        <v>962</v>
      </c>
    </row>
    <row r="76" spans="1:38" x14ac:dyDescent="0.2">
      <c r="A76" s="162">
        <v>74</v>
      </c>
      <c r="B76" s="163" t="s">
        <v>792</v>
      </c>
      <c r="C76" s="163" t="s">
        <v>156</v>
      </c>
      <c r="D76" s="164">
        <v>4000000</v>
      </c>
      <c r="E76" s="164"/>
      <c r="F76" s="166"/>
      <c r="G76" s="164" t="s">
        <v>794</v>
      </c>
      <c r="H76" s="164" t="s">
        <v>795</v>
      </c>
      <c r="I76" s="164" t="s">
        <v>170</v>
      </c>
      <c r="J76" s="164" t="s">
        <v>796</v>
      </c>
      <c r="K76" s="167" t="s">
        <v>79</v>
      </c>
      <c r="L76" s="167">
        <v>45675</v>
      </c>
      <c r="M76" s="182">
        <f t="shared" si="64"/>
        <v>45856</v>
      </c>
      <c r="N76" s="212">
        <f t="shared" si="64"/>
        <v>46040</v>
      </c>
      <c r="O76" s="182">
        <f t="shared" si="65"/>
        <v>46221</v>
      </c>
      <c r="P76" s="182">
        <f t="shared" si="65"/>
        <v>46405</v>
      </c>
      <c r="Q76" s="182">
        <f t="shared" si="61"/>
        <v>46586</v>
      </c>
      <c r="R76" s="182">
        <f t="shared" si="61"/>
        <v>46770</v>
      </c>
      <c r="S76" s="182">
        <f t="shared" si="61"/>
        <v>46952</v>
      </c>
      <c r="T76" s="182">
        <f t="shared" si="61"/>
        <v>47136</v>
      </c>
      <c r="U76" s="182">
        <f t="shared" si="61"/>
        <v>47317</v>
      </c>
      <c r="V76" s="182">
        <f t="shared" si="61"/>
        <v>47501</v>
      </c>
      <c r="W76" s="182">
        <f t="shared" si="61"/>
        <v>47682</v>
      </c>
      <c r="X76" s="182">
        <f t="shared" si="61"/>
        <v>47866</v>
      </c>
      <c r="Y76" s="182">
        <f t="shared" si="61"/>
        <v>48047</v>
      </c>
      <c r="Z76" s="182">
        <f t="shared" si="61"/>
        <v>48231</v>
      </c>
      <c r="AA76" s="182">
        <f t="shared" si="61"/>
        <v>48413</v>
      </c>
      <c r="AB76" s="182">
        <f t="shared" si="61"/>
        <v>48597</v>
      </c>
      <c r="AC76" s="182">
        <f t="shared" si="61"/>
        <v>48778</v>
      </c>
      <c r="AD76" s="182">
        <f t="shared" si="62"/>
        <v>48962</v>
      </c>
      <c r="AE76" s="182">
        <f t="shared" si="62"/>
        <v>49143</v>
      </c>
      <c r="AF76" s="182">
        <f t="shared" si="62"/>
        <v>49327</v>
      </c>
      <c r="AG76" s="182">
        <f t="shared" si="56"/>
        <v>49508</v>
      </c>
      <c r="AH76" s="182">
        <f t="shared" si="52"/>
        <v>49692</v>
      </c>
      <c r="AI76" s="182">
        <f t="shared" si="52"/>
        <v>49874</v>
      </c>
      <c r="AJ76" s="186">
        <f ca="1">O76-TODAY()</f>
        <v>-78</v>
      </c>
      <c r="AK76" s="201">
        <f t="shared" si="63"/>
        <v>24000000</v>
      </c>
      <c r="AL76" s="162" t="s">
        <v>962</v>
      </c>
    </row>
    <row r="77" spans="1:38" x14ac:dyDescent="0.2">
      <c r="A77" s="162">
        <v>75</v>
      </c>
      <c r="B77" s="162" t="s">
        <v>803</v>
      </c>
      <c r="C77" s="163" t="s">
        <v>117</v>
      </c>
      <c r="D77" s="164">
        <v>5000000</v>
      </c>
      <c r="E77" s="164"/>
      <c r="F77" s="166"/>
      <c r="G77" s="181" t="s">
        <v>805</v>
      </c>
      <c r="H77" s="163" t="s">
        <v>806</v>
      </c>
      <c r="I77" s="163" t="s">
        <v>153</v>
      </c>
      <c r="J77" s="162" t="s">
        <v>807</v>
      </c>
      <c r="K77" s="167" t="s">
        <v>79</v>
      </c>
      <c r="L77" s="167">
        <v>45705</v>
      </c>
      <c r="M77" s="182">
        <f t="shared" si="64"/>
        <v>45886</v>
      </c>
      <c r="N77" s="182">
        <f t="shared" si="64"/>
        <v>46070</v>
      </c>
      <c r="O77" s="212">
        <f t="shared" si="65"/>
        <v>46251</v>
      </c>
      <c r="P77" s="182">
        <f t="shared" si="65"/>
        <v>46435</v>
      </c>
      <c r="Q77" s="182">
        <f t="shared" si="61"/>
        <v>46616</v>
      </c>
      <c r="R77" s="182">
        <f t="shared" si="61"/>
        <v>46800</v>
      </c>
      <c r="S77" s="182">
        <f t="shared" si="61"/>
        <v>46982</v>
      </c>
      <c r="T77" s="182">
        <f t="shared" si="61"/>
        <v>47166</v>
      </c>
      <c r="U77" s="182">
        <f t="shared" si="61"/>
        <v>47347</v>
      </c>
      <c r="V77" s="182">
        <f t="shared" si="61"/>
        <v>47531</v>
      </c>
      <c r="W77" s="182">
        <f t="shared" si="61"/>
        <v>47712</v>
      </c>
      <c r="X77" s="182">
        <f t="shared" si="61"/>
        <v>47896</v>
      </c>
      <c r="Y77" s="182">
        <f t="shared" si="61"/>
        <v>48077</v>
      </c>
      <c r="Z77" s="182">
        <f t="shared" si="61"/>
        <v>48261</v>
      </c>
      <c r="AA77" s="182">
        <f t="shared" si="61"/>
        <v>48443</v>
      </c>
      <c r="AB77" s="182">
        <f t="shared" si="61"/>
        <v>48627</v>
      </c>
      <c r="AC77" s="182">
        <f t="shared" si="61"/>
        <v>48808</v>
      </c>
      <c r="AD77" s="182">
        <f t="shared" si="62"/>
        <v>48992</v>
      </c>
      <c r="AE77" s="182">
        <f t="shared" si="62"/>
        <v>49173</v>
      </c>
      <c r="AF77" s="182">
        <f t="shared" si="62"/>
        <v>49357</v>
      </c>
      <c r="AG77" s="182">
        <f t="shared" si="56"/>
        <v>49538</v>
      </c>
      <c r="AH77" s="182">
        <f t="shared" si="52"/>
        <v>49722</v>
      </c>
      <c r="AI77" s="182">
        <f t="shared" si="52"/>
        <v>49904</v>
      </c>
      <c r="AJ77" s="186">
        <f ca="1">O77-TODAY()</f>
        <v>-48</v>
      </c>
      <c r="AK77" s="201">
        <f t="shared" si="63"/>
        <v>30000000</v>
      </c>
      <c r="AL77" s="162" t="s">
        <v>962</v>
      </c>
    </row>
    <row r="78" spans="1:38" x14ac:dyDescent="0.2">
      <c r="A78" s="162">
        <v>76</v>
      </c>
      <c r="B78" s="269" t="s">
        <v>808</v>
      </c>
      <c r="C78" s="163" t="s">
        <v>117</v>
      </c>
      <c r="D78" s="164">
        <v>3000000</v>
      </c>
      <c r="E78" s="164">
        <v>4000000</v>
      </c>
      <c r="F78" s="166">
        <v>46348</v>
      </c>
      <c r="G78" s="181" t="s">
        <v>809</v>
      </c>
      <c r="H78" s="163" t="s">
        <v>810</v>
      </c>
      <c r="I78" s="163" t="s">
        <v>170</v>
      </c>
      <c r="J78" s="162" t="s">
        <v>967</v>
      </c>
      <c r="K78" s="190" t="s">
        <v>79</v>
      </c>
      <c r="L78" s="167">
        <v>45799</v>
      </c>
      <c r="M78" s="212">
        <f t="shared" si="64"/>
        <v>45983</v>
      </c>
      <c r="N78" s="182">
        <f t="shared" si="64"/>
        <v>46164</v>
      </c>
      <c r="O78" s="182">
        <f t="shared" si="65"/>
        <v>46348</v>
      </c>
      <c r="P78" s="182">
        <f t="shared" si="65"/>
        <v>46529</v>
      </c>
      <c r="Q78" s="182">
        <f t="shared" si="61"/>
        <v>46713</v>
      </c>
      <c r="R78" s="182">
        <f t="shared" si="61"/>
        <v>46895</v>
      </c>
      <c r="S78" s="182">
        <f t="shared" si="61"/>
        <v>47079</v>
      </c>
      <c r="T78" s="182">
        <f t="shared" si="61"/>
        <v>47260</v>
      </c>
      <c r="U78" s="182">
        <f t="shared" si="61"/>
        <v>47444</v>
      </c>
      <c r="V78" s="182">
        <f t="shared" si="61"/>
        <v>47625</v>
      </c>
      <c r="W78" s="182">
        <f t="shared" si="61"/>
        <v>47809</v>
      </c>
      <c r="X78" s="182">
        <f t="shared" si="61"/>
        <v>47990</v>
      </c>
      <c r="Y78" s="182">
        <f t="shared" si="61"/>
        <v>48174</v>
      </c>
      <c r="Z78" s="182">
        <f t="shared" si="61"/>
        <v>48356</v>
      </c>
      <c r="AA78" s="182">
        <f t="shared" si="61"/>
        <v>48540</v>
      </c>
      <c r="AB78" s="182">
        <f t="shared" si="61"/>
        <v>48721</v>
      </c>
      <c r="AC78" s="182">
        <f t="shared" si="61"/>
        <v>48905</v>
      </c>
      <c r="AD78" s="182">
        <f t="shared" si="62"/>
        <v>49086</v>
      </c>
      <c r="AE78" s="182">
        <f t="shared" si="62"/>
        <v>49270</v>
      </c>
      <c r="AF78" s="182">
        <f t="shared" si="62"/>
        <v>49451</v>
      </c>
      <c r="AG78" s="182">
        <f t="shared" si="56"/>
        <v>49635</v>
      </c>
      <c r="AH78" s="182">
        <f t="shared" si="52"/>
        <v>49817</v>
      </c>
      <c r="AI78" s="182">
        <f t="shared" si="52"/>
        <v>50001</v>
      </c>
      <c r="AJ78" s="186">
        <f t="shared" ref="AJ78:AJ79" ca="1" si="67">N78-TODAY()</f>
        <v>-135</v>
      </c>
      <c r="AK78" s="201">
        <f t="shared" si="63"/>
        <v>18000000</v>
      </c>
      <c r="AL78" s="162" t="s">
        <v>968</v>
      </c>
    </row>
    <row r="79" spans="1:38" x14ac:dyDescent="0.2">
      <c r="A79" s="162">
        <v>77</v>
      </c>
      <c r="B79" s="162" t="s">
        <v>972</v>
      </c>
      <c r="C79" s="163" t="s">
        <v>66</v>
      </c>
      <c r="D79" s="164">
        <v>4000000</v>
      </c>
      <c r="E79" s="164"/>
      <c r="F79" s="166"/>
      <c r="G79" s="181" t="s">
        <v>812</v>
      </c>
      <c r="H79" s="163" t="s">
        <v>811</v>
      </c>
      <c r="I79" s="163" t="s">
        <v>969</v>
      </c>
      <c r="J79" s="162" t="s">
        <v>813</v>
      </c>
      <c r="K79" s="200" t="s">
        <v>79</v>
      </c>
      <c r="L79" s="167">
        <v>45804</v>
      </c>
      <c r="M79" s="182">
        <f t="shared" si="64"/>
        <v>45988</v>
      </c>
      <c r="N79" s="212">
        <f t="shared" si="64"/>
        <v>46169</v>
      </c>
      <c r="O79" s="182">
        <f t="shared" si="65"/>
        <v>46353</v>
      </c>
      <c r="P79" s="182">
        <f t="shared" si="65"/>
        <v>46534</v>
      </c>
      <c r="Q79" s="182">
        <f t="shared" si="61"/>
        <v>46718</v>
      </c>
      <c r="R79" s="182">
        <f t="shared" si="61"/>
        <v>46900</v>
      </c>
      <c r="S79" s="182">
        <f t="shared" si="61"/>
        <v>47084</v>
      </c>
      <c r="T79" s="182">
        <f t="shared" si="61"/>
        <v>47265</v>
      </c>
      <c r="U79" s="182">
        <f t="shared" si="61"/>
        <v>47449</v>
      </c>
      <c r="V79" s="182">
        <f t="shared" si="61"/>
        <v>47630</v>
      </c>
      <c r="W79" s="182">
        <f t="shared" si="61"/>
        <v>47814</v>
      </c>
      <c r="X79" s="182">
        <f t="shared" si="61"/>
        <v>47995</v>
      </c>
      <c r="Y79" s="182">
        <f t="shared" ref="Y79:AI85" si="68">EDATE(X79,6)</f>
        <v>48179</v>
      </c>
      <c r="Z79" s="182">
        <f t="shared" si="68"/>
        <v>48361</v>
      </c>
      <c r="AA79" s="182">
        <f t="shared" si="68"/>
        <v>48545</v>
      </c>
      <c r="AB79" s="182">
        <f t="shared" si="68"/>
        <v>48726</v>
      </c>
      <c r="AC79" s="182">
        <f t="shared" si="68"/>
        <v>48910</v>
      </c>
      <c r="AD79" s="182">
        <f t="shared" si="68"/>
        <v>49091</v>
      </c>
      <c r="AE79" s="182">
        <f t="shared" si="68"/>
        <v>49275</v>
      </c>
      <c r="AF79" s="182">
        <f t="shared" si="68"/>
        <v>49456</v>
      </c>
      <c r="AG79" s="182">
        <f t="shared" si="68"/>
        <v>49640</v>
      </c>
      <c r="AH79" s="182">
        <f t="shared" si="68"/>
        <v>49822</v>
      </c>
      <c r="AI79" s="182">
        <f t="shared" si="68"/>
        <v>50006</v>
      </c>
      <c r="AJ79" s="186">
        <f t="shared" ca="1" si="67"/>
        <v>-130</v>
      </c>
      <c r="AK79" s="201">
        <f t="shared" si="63"/>
        <v>24000000</v>
      </c>
      <c r="AL79" s="162" t="s">
        <v>968</v>
      </c>
    </row>
    <row r="80" spans="1:38" x14ac:dyDescent="0.2">
      <c r="A80" s="162">
        <v>78</v>
      </c>
      <c r="B80" s="187" t="s">
        <v>831</v>
      </c>
      <c r="C80" s="163" t="s">
        <v>15</v>
      </c>
      <c r="D80" s="164">
        <v>5000000</v>
      </c>
      <c r="E80" s="164"/>
      <c r="F80" s="166"/>
      <c r="G80" s="163" t="s">
        <v>839</v>
      </c>
      <c r="H80" s="163" t="s">
        <v>838</v>
      </c>
      <c r="I80" s="162" t="s">
        <v>153</v>
      </c>
      <c r="J80" s="162" t="s">
        <v>840</v>
      </c>
      <c r="K80" s="200" t="s">
        <v>79</v>
      </c>
      <c r="L80" s="167">
        <v>45857</v>
      </c>
      <c r="M80" s="182">
        <f t="shared" ref="M80:X85" si="69">EDATE(L80,6)</f>
        <v>46041</v>
      </c>
      <c r="N80" s="212">
        <f t="shared" si="69"/>
        <v>46222</v>
      </c>
      <c r="O80" s="182">
        <f t="shared" si="65"/>
        <v>46406</v>
      </c>
      <c r="P80" s="182">
        <f t="shared" si="65"/>
        <v>46587</v>
      </c>
      <c r="Q80" s="182">
        <f t="shared" si="65"/>
        <v>46771</v>
      </c>
      <c r="R80" s="182">
        <f t="shared" si="65"/>
        <v>46953</v>
      </c>
      <c r="S80" s="182">
        <f t="shared" si="65"/>
        <v>47137</v>
      </c>
      <c r="T80" s="182">
        <f t="shared" si="65"/>
        <v>47318</v>
      </c>
      <c r="U80" s="182">
        <f t="shared" si="65"/>
        <v>47502</v>
      </c>
      <c r="V80" s="182">
        <f t="shared" si="65"/>
        <v>47683</v>
      </c>
      <c r="W80" s="182">
        <f t="shared" si="65"/>
        <v>47867</v>
      </c>
      <c r="X80" s="182">
        <f t="shared" si="65"/>
        <v>48048</v>
      </c>
      <c r="Y80" s="182">
        <f t="shared" si="68"/>
        <v>48232</v>
      </c>
      <c r="Z80" s="182">
        <f t="shared" si="68"/>
        <v>48414</v>
      </c>
      <c r="AA80" s="182">
        <f t="shared" si="68"/>
        <v>48598</v>
      </c>
      <c r="AB80" s="182">
        <f t="shared" si="68"/>
        <v>48779</v>
      </c>
      <c r="AC80" s="182">
        <f t="shared" si="68"/>
        <v>48963</v>
      </c>
      <c r="AD80" s="182">
        <f t="shared" si="68"/>
        <v>49144</v>
      </c>
      <c r="AE80" s="182">
        <f t="shared" si="68"/>
        <v>49328</v>
      </c>
      <c r="AF80" s="182">
        <f t="shared" si="68"/>
        <v>49509</v>
      </c>
      <c r="AG80" s="182">
        <f t="shared" si="68"/>
        <v>49693</v>
      </c>
      <c r="AH80" s="182">
        <f t="shared" si="68"/>
        <v>49875</v>
      </c>
      <c r="AI80" s="182">
        <f t="shared" si="68"/>
        <v>50059</v>
      </c>
      <c r="AJ80" s="186">
        <f ca="1">N80-TODAY()</f>
        <v>-77</v>
      </c>
      <c r="AK80" s="201">
        <f t="shared" si="63"/>
        <v>30000000</v>
      </c>
      <c r="AL80" s="220" t="s">
        <v>968</v>
      </c>
    </row>
    <row r="81" spans="1:38" x14ac:dyDescent="0.2">
      <c r="A81" s="162">
        <v>79</v>
      </c>
      <c r="B81" s="187" t="s">
        <v>833</v>
      </c>
      <c r="C81" s="163" t="s">
        <v>229</v>
      </c>
      <c r="D81" s="164">
        <v>5000000</v>
      </c>
      <c r="E81" s="164"/>
      <c r="F81" s="166"/>
      <c r="G81" s="163" t="s">
        <v>849</v>
      </c>
      <c r="H81" s="163" t="s">
        <v>848</v>
      </c>
      <c r="I81" s="162" t="s">
        <v>850</v>
      </c>
      <c r="J81" s="162" t="s">
        <v>846</v>
      </c>
      <c r="K81" s="200" t="s">
        <v>79</v>
      </c>
      <c r="L81" s="167">
        <v>45870</v>
      </c>
      <c r="M81" s="182">
        <f>EDATE(L81,6)</f>
        <v>46054</v>
      </c>
      <c r="N81" s="212">
        <f>EDATE(M81,6)</f>
        <v>46235</v>
      </c>
      <c r="O81" s="182">
        <f t="shared" si="65"/>
        <v>46419</v>
      </c>
      <c r="P81" s="182">
        <f t="shared" si="65"/>
        <v>46600</v>
      </c>
      <c r="Q81" s="182">
        <f t="shared" si="65"/>
        <v>46784</v>
      </c>
      <c r="R81" s="182">
        <f t="shared" si="65"/>
        <v>46966</v>
      </c>
      <c r="S81" s="182">
        <f t="shared" si="65"/>
        <v>47150</v>
      </c>
      <c r="T81" s="182">
        <f t="shared" si="65"/>
        <v>47331</v>
      </c>
      <c r="U81" s="182">
        <f t="shared" si="65"/>
        <v>47515</v>
      </c>
      <c r="V81" s="182">
        <f t="shared" si="65"/>
        <v>47696</v>
      </c>
      <c r="W81" s="182">
        <f t="shared" si="65"/>
        <v>47880</v>
      </c>
      <c r="X81" s="182">
        <f t="shared" si="65"/>
        <v>48061</v>
      </c>
      <c r="Y81" s="182">
        <f t="shared" si="68"/>
        <v>48245</v>
      </c>
      <c r="Z81" s="182">
        <f t="shared" si="68"/>
        <v>48427</v>
      </c>
      <c r="AA81" s="182">
        <f t="shared" si="68"/>
        <v>48611</v>
      </c>
      <c r="AB81" s="182">
        <f t="shared" si="68"/>
        <v>48792</v>
      </c>
      <c r="AC81" s="182">
        <f t="shared" si="68"/>
        <v>48976</v>
      </c>
      <c r="AD81" s="182">
        <f t="shared" si="68"/>
        <v>49157</v>
      </c>
      <c r="AE81" s="182">
        <f t="shared" si="68"/>
        <v>49341</v>
      </c>
      <c r="AF81" s="182">
        <f t="shared" si="68"/>
        <v>49522</v>
      </c>
      <c r="AG81" s="182">
        <f t="shared" si="68"/>
        <v>49706</v>
      </c>
      <c r="AH81" s="182">
        <f t="shared" si="68"/>
        <v>49888</v>
      </c>
      <c r="AI81" s="182">
        <f t="shared" si="68"/>
        <v>50072</v>
      </c>
      <c r="AJ81" s="186">
        <f ca="1">N81-TODAY()</f>
        <v>-64</v>
      </c>
      <c r="AK81" s="201">
        <f t="shared" si="63"/>
        <v>30000000</v>
      </c>
      <c r="AL81" s="162" t="s">
        <v>968</v>
      </c>
    </row>
    <row r="82" spans="1:38" x14ac:dyDescent="0.2">
      <c r="A82" s="162">
        <v>80</v>
      </c>
      <c r="B82" s="187" t="s">
        <v>835</v>
      </c>
      <c r="C82" s="163" t="s">
        <v>288</v>
      </c>
      <c r="D82" s="164">
        <v>4000000</v>
      </c>
      <c r="E82" s="164"/>
      <c r="F82" s="166"/>
      <c r="G82" s="163" t="s">
        <v>844</v>
      </c>
      <c r="H82" s="163" t="s">
        <v>843</v>
      </c>
      <c r="I82" s="162" t="s">
        <v>845</v>
      </c>
      <c r="J82" s="162" t="s">
        <v>841</v>
      </c>
      <c r="K82" s="200" t="s">
        <v>79</v>
      </c>
      <c r="L82" s="167">
        <v>45846</v>
      </c>
      <c r="M82" s="182">
        <f>EDATE(L82,6)</f>
        <v>46030</v>
      </c>
      <c r="N82" s="212">
        <f t="shared" si="69"/>
        <v>46211</v>
      </c>
      <c r="O82" s="182">
        <f t="shared" si="65"/>
        <v>46395</v>
      </c>
      <c r="P82" s="182">
        <f t="shared" si="65"/>
        <v>46576</v>
      </c>
      <c r="Q82" s="182">
        <f t="shared" si="65"/>
        <v>46760</v>
      </c>
      <c r="R82" s="182">
        <f t="shared" si="65"/>
        <v>46942</v>
      </c>
      <c r="S82" s="182">
        <f t="shared" si="65"/>
        <v>47126</v>
      </c>
      <c r="T82" s="182">
        <f t="shared" si="65"/>
        <v>47307</v>
      </c>
      <c r="U82" s="182">
        <f t="shared" si="65"/>
        <v>47491</v>
      </c>
      <c r="V82" s="182">
        <f t="shared" si="65"/>
        <v>47672</v>
      </c>
      <c r="W82" s="182">
        <f t="shared" si="65"/>
        <v>47856</v>
      </c>
      <c r="X82" s="182">
        <f t="shared" si="65"/>
        <v>48037</v>
      </c>
      <c r="Y82" s="182">
        <f t="shared" si="68"/>
        <v>48221</v>
      </c>
      <c r="Z82" s="182">
        <f t="shared" si="68"/>
        <v>48403</v>
      </c>
      <c r="AA82" s="182">
        <f t="shared" si="68"/>
        <v>48587</v>
      </c>
      <c r="AB82" s="182">
        <f t="shared" si="68"/>
        <v>48768</v>
      </c>
      <c r="AC82" s="182">
        <f t="shared" si="68"/>
        <v>48952</v>
      </c>
      <c r="AD82" s="182">
        <f t="shared" si="68"/>
        <v>49133</v>
      </c>
      <c r="AE82" s="182">
        <f t="shared" si="68"/>
        <v>49317</v>
      </c>
      <c r="AF82" s="182">
        <f t="shared" si="68"/>
        <v>49498</v>
      </c>
      <c r="AG82" s="182">
        <f t="shared" si="68"/>
        <v>49682</v>
      </c>
      <c r="AH82" s="182">
        <f t="shared" si="68"/>
        <v>49864</v>
      </c>
      <c r="AI82" s="182">
        <f t="shared" si="68"/>
        <v>50048</v>
      </c>
      <c r="AJ82" s="186">
        <f ca="1">N82-TODAY()</f>
        <v>-88</v>
      </c>
      <c r="AK82" s="201">
        <f t="shared" si="63"/>
        <v>24000000</v>
      </c>
      <c r="AL82" s="220" t="s">
        <v>968</v>
      </c>
    </row>
    <row r="83" spans="1:38" x14ac:dyDescent="0.2">
      <c r="A83" s="162">
        <v>81</v>
      </c>
      <c r="B83" s="187" t="s">
        <v>834</v>
      </c>
      <c r="C83" s="163" t="s">
        <v>579</v>
      </c>
      <c r="D83" s="164">
        <v>5000000</v>
      </c>
      <c r="E83" s="164"/>
      <c r="F83" s="166"/>
      <c r="G83" s="163" t="s">
        <v>856</v>
      </c>
      <c r="H83" s="163" t="s">
        <v>854</v>
      </c>
      <c r="I83" s="162" t="s">
        <v>855</v>
      </c>
      <c r="J83" s="162" t="s">
        <v>857</v>
      </c>
      <c r="K83" s="200" t="s">
        <v>79</v>
      </c>
      <c r="L83" s="167">
        <v>45847</v>
      </c>
      <c r="M83" s="182">
        <f>EDATE(L83,6)</f>
        <v>46031</v>
      </c>
      <c r="N83" s="212">
        <f t="shared" si="69"/>
        <v>46212</v>
      </c>
      <c r="O83" s="182">
        <f t="shared" si="65"/>
        <v>46396</v>
      </c>
      <c r="P83" s="182">
        <f t="shared" si="65"/>
        <v>46577</v>
      </c>
      <c r="Q83" s="182">
        <f t="shared" si="65"/>
        <v>46761</v>
      </c>
      <c r="R83" s="182">
        <f t="shared" si="65"/>
        <v>46943</v>
      </c>
      <c r="S83" s="182">
        <f t="shared" si="65"/>
        <v>47127</v>
      </c>
      <c r="T83" s="182">
        <f t="shared" si="65"/>
        <v>47308</v>
      </c>
      <c r="U83" s="182">
        <f t="shared" si="65"/>
        <v>47492</v>
      </c>
      <c r="V83" s="182">
        <f t="shared" si="65"/>
        <v>47673</v>
      </c>
      <c r="W83" s="182">
        <f t="shared" si="65"/>
        <v>47857</v>
      </c>
      <c r="X83" s="182">
        <f t="shared" si="65"/>
        <v>48038</v>
      </c>
      <c r="Y83" s="182">
        <f t="shared" si="68"/>
        <v>48222</v>
      </c>
      <c r="Z83" s="182">
        <f t="shared" si="68"/>
        <v>48404</v>
      </c>
      <c r="AA83" s="182">
        <f t="shared" si="68"/>
        <v>48588</v>
      </c>
      <c r="AB83" s="182">
        <f t="shared" si="68"/>
        <v>48769</v>
      </c>
      <c r="AC83" s="182">
        <f t="shared" si="68"/>
        <v>48953</v>
      </c>
      <c r="AD83" s="182">
        <f t="shared" si="68"/>
        <v>49134</v>
      </c>
      <c r="AE83" s="182">
        <f t="shared" si="68"/>
        <v>49318</v>
      </c>
      <c r="AF83" s="182">
        <f t="shared" si="68"/>
        <v>49499</v>
      </c>
      <c r="AG83" s="182">
        <f t="shared" si="68"/>
        <v>49683</v>
      </c>
      <c r="AH83" s="182">
        <f t="shared" si="68"/>
        <v>49865</v>
      </c>
      <c r="AI83" s="182">
        <f t="shared" si="68"/>
        <v>50049</v>
      </c>
      <c r="AJ83" s="186">
        <f ca="1">N83-TODAY()</f>
        <v>-87</v>
      </c>
      <c r="AK83" s="201">
        <f t="shared" si="63"/>
        <v>30000000</v>
      </c>
      <c r="AL83" s="162" t="s">
        <v>968</v>
      </c>
    </row>
    <row r="84" spans="1:38" x14ac:dyDescent="0.2">
      <c r="A84" s="162">
        <v>82</v>
      </c>
      <c r="B84" s="221" t="s">
        <v>882</v>
      </c>
      <c r="C84" s="163" t="s">
        <v>66</v>
      </c>
      <c r="D84" s="164">
        <v>4000000</v>
      </c>
      <c r="E84" s="164"/>
      <c r="F84" s="166"/>
      <c r="G84" s="181" t="s">
        <v>884</v>
      </c>
      <c r="H84" s="163" t="s">
        <v>883</v>
      </c>
      <c r="I84" s="162" t="s">
        <v>690</v>
      </c>
      <c r="J84" s="162" t="s">
        <v>885</v>
      </c>
      <c r="K84" s="200" t="s">
        <v>79</v>
      </c>
      <c r="L84" s="167">
        <v>45905</v>
      </c>
      <c r="M84" s="182">
        <f>EDATE(L84,6)</f>
        <v>46086</v>
      </c>
      <c r="N84" s="212">
        <f t="shared" si="69"/>
        <v>46270</v>
      </c>
      <c r="O84" s="182">
        <f t="shared" si="65"/>
        <v>46451</v>
      </c>
      <c r="P84" s="182">
        <f t="shared" si="65"/>
        <v>46635</v>
      </c>
      <c r="Q84" s="182">
        <f t="shared" si="65"/>
        <v>46817</v>
      </c>
      <c r="R84" s="182">
        <f t="shared" si="65"/>
        <v>47001</v>
      </c>
      <c r="S84" s="182">
        <f t="shared" si="65"/>
        <v>47182</v>
      </c>
      <c r="T84" s="182">
        <f t="shared" si="65"/>
        <v>47366</v>
      </c>
      <c r="U84" s="182">
        <f t="shared" si="65"/>
        <v>47547</v>
      </c>
      <c r="V84" s="182">
        <f t="shared" si="65"/>
        <v>47731</v>
      </c>
      <c r="W84" s="182">
        <f t="shared" si="65"/>
        <v>47912</v>
      </c>
      <c r="X84" s="182">
        <f t="shared" si="65"/>
        <v>48096</v>
      </c>
      <c r="Y84" s="182">
        <f t="shared" si="68"/>
        <v>48278</v>
      </c>
      <c r="Z84" s="182">
        <f t="shared" si="68"/>
        <v>48462</v>
      </c>
      <c r="AA84" s="182">
        <f t="shared" si="68"/>
        <v>48643</v>
      </c>
      <c r="AB84" s="182">
        <f t="shared" si="68"/>
        <v>48827</v>
      </c>
      <c r="AC84" s="182">
        <f t="shared" si="68"/>
        <v>49008</v>
      </c>
      <c r="AD84" s="182">
        <f t="shared" si="68"/>
        <v>49192</v>
      </c>
      <c r="AE84" s="182">
        <f t="shared" si="68"/>
        <v>49373</v>
      </c>
      <c r="AF84" s="182">
        <f t="shared" si="68"/>
        <v>49557</v>
      </c>
      <c r="AG84" s="182">
        <f t="shared" si="68"/>
        <v>49739</v>
      </c>
      <c r="AH84" s="182">
        <f t="shared" si="68"/>
        <v>49923</v>
      </c>
      <c r="AI84" s="182">
        <f t="shared" si="68"/>
        <v>50104</v>
      </c>
      <c r="AJ84" s="186">
        <f ca="1">N84-TODAY()</f>
        <v>-29</v>
      </c>
      <c r="AK84" s="201">
        <f t="shared" si="63"/>
        <v>24000000</v>
      </c>
      <c r="AL84" s="162" t="s">
        <v>968</v>
      </c>
    </row>
    <row r="85" spans="1:38" x14ac:dyDescent="0.2">
      <c r="A85" s="162">
        <v>83</v>
      </c>
      <c r="B85" s="187" t="s">
        <v>889</v>
      </c>
      <c r="C85" s="163" t="s">
        <v>66</v>
      </c>
      <c r="D85" s="164">
        <v>6000000</v>
      </c>
      <c r="E85" s="164"/>
      <c r="F85" s="166"/>
      <c r="G85" s="181" t="s">
        <v>890</v>
      </c>
      <c r="H85" s="163" t="s">
        <v>888</v>
      </c>
      <c r="I85" s="162" t="s">
        <v>102</v>
      </c>
      <c r="J85" s="162" t="s">
        <v>891</v>
      </c>
      <c r="K85" s="200" t="s">
        <v>79</v>
      </c>
      <c r="L85" s="167">
        <v>45931</v>
      </c>
      <c r="M85" s="182">
        <f>EDATE(L85,6)</f>
        <v>46113</v>
      </c>
      <c r="N85" s="182">
        <f t="shared" si="69"/>
        <v>46296</v>
      </c>
      <c r="O85" s="182">
        <f t="shared" si="69"/>
        <v>46478</v>
      </c>
      <c r="P85" s="182">
        <f t="shared" si="69"/>
        <v>46661</v>
      </c>
      <c r="Q85" s="182">
        <f t="shared" si="69"/>
        <v>46844</v>
      </c>
      <c r="R85" s="182">
        <f t="shared" si="69"/>
        <v>47027</v>
      </c>
      <c r="S85" s="182">
        <f t="shared" si="69"/>
        <v>47209</v>
      </c>
      <c r="T85" s="182">
        <f t="shared" si="69"/>
        <v>47392</v>
      </c>
      <c r="U85" s="182">
        <f t="shared" si="69"/>
        <v>47574</v>
      </c>
      <c r="V85" s="182">
        <f t="shared" si="69"/>
        <v>47757</v>
      </c>
      <c r="W85" s="182">
        <f t="shared" si="69"/>
        <v>47939</v>
      </c>
      <c r="X85" s="182">
        <f t="shared" si="69"/>
        <v>48122</v>
      </c>
      <c r="Y85" s="182">
        <f t="shared" si="68"/>
        <v>48305</v>
      </c>
      <c r="Z85" s="182">
        <f t="shared" si="68"/>
        <v>48488</v>
      </c>
      <c r="AA85" s="182">
        <f t="shared" si="68"/>
        <v>48670</v>
      </c>
      <c r="AB85" s="182">
        <f t="shared" si="68"/>
        <v>48853</v>
      </c>
      <c r="AC85" s="182">
        <f t="shared" si="68"/>
        <v>49035</v>
      </c>
      <c r="AD85" s="182">
        <f t="shared" si="68"/>
        <v>49218</v>
      </c>
      <c r="AE85" s="182">
        <f t="shared" si="68"/>
        <v>49400</v>
      </c>
      <c r="AF85" s="182">
        <f t="shared" si="68"/>
        <v>49583</v>
      </c>
      <c r="AG85" s="182">
        <f t="shared" si="68"/>
        <v>49766</v>
      </c>
      <c r="AH85" s="182">
        <f t="shared" si="68"/>
        <v>49949</v>
      </c>
      <c r="AI85" s="182">
        <f t="shared" si="68"/>
        <v>50131</v>
      </c>
      <c r="AJ85" s="186">
        <f ca="1">M85-TODAY()</f>
        <v>-186</v>
      </c>
      <c r="AK85" s="201">
        <f t="shared" si="63"/>
        <v>36000000</v>
      </c>
      <c r="AL85" s="162" t="s">
        <v>970</v>
      </c>
    </row>
  </sheetData>
  <conditionalFormatting sqref="AK1">
    <cfRule type="cellIs" dxfId="100" priority="99" operator="lessThan">
      <formula>7</formula>
    </cfRule>
  </conditionalFormatting>
  <conditionalFormatting sqref="AJ3:AJ27 AJ29:AJ37 AJ74:AJ76">
    <cfRule type="cellIs" dxfId="99" priority="98" operator="lessThan">
      <formula>15</formula>
    </cfRule>
  </conditionalFormatting>
  <conditionalFormatting sqref="AJ14:AJ16">
    <cfRule type="cellIs" dxfId="98" priority="97" operator="lessThan">
      <formula>15</formula>
    </cfRule>
  </conditionalFormatting>
  <conditionalFormatting sqref="AJ7">
    <cfRule type="cellIs" dxfId="97" priority="96" operator="lessThan">
      <formula>15</formula>
    </cfRule>
  </conditionalFormatting>
  <conditionalFormatting sqref="AJ10">
    <cfRule type="cellIs" dxfId="96" priority="95" operator="lessThan">
      <formula>15</formula>
    </cfRule>
  </conditionalFormatting>
  <conditionalFormatting sqref="AJ11">
    <cfRule type="cellIs" dxfId="95" priority="94" operator="lessThan">
      <formula>15</formula>
    </cfRule>
  </conditionalFormatting>
  <conditionalFormatting sqref="AJ13">
    <cfRule type="cellIs" dxfId="94" priority="93" operator="lessThan">
      <formula>15</formula>
    </cfRule>
  </conditionalFormatting>
  <conditionalFormatting sqref="AJ18:AJ21">
    <cfRule type="cellIs" dxfId="93" priority="92" operator="lessThan">
      <formula>15</formula>
    </cfRule>
  </conditionalFormatting>
  <conditionalFormatting sqref="AJ17">
    <cfRule type="cellIs" dxfId="92" priority="91" operator="lessThan">
      <formula>15</formula>
    </cfRule>
  </conditionalFormatting>
  <conditionalFormatting sqref="AJ4:AJ27 AJ29:AJ37 AJ74:AJ76">
    <cfRule type="cellIs" dxfId="91" priority="89" operator="lessThan">
      <formula>16</formula>
    </cfRule>
    <cfRule type="cellIs" dxfId="90" priority="90" operator="lessThan">
      <formula>15</formula>
    </cfRule>
  </conditionalFormatting>
  <conditionalFormatting sqref="G1:J1">
    <cfRule type="duplicateValues" dxfId="89" priority="100"/>
  </conditionalFormatting>
  <conditionalFormatting sqref="AJ18">
    <cfRule type="cellIs" dxfId="88" priority="88" operator="lessThan">
      <formula>15</formula>
    </cfRule>
  </conditionalFormatting>
  <conditionalFormatting sqref="AJ21">
    <cfRule type="cellIs" dxfId="87" priority="87" operator="lessThan">
      <formula>15</formula>
    </cfRule>
  </conditionalFormatting>
  <conditionalFormatting sqref="AJ27">
    <cfRule type="cellIs" dxfId="86" priority="86" operator="lessThan">
      <formula>15</formula>
    </cfRule>
  </conditionalFormatting>
  <conditionalFormatting sqref="AJ27">
    <cfRule type="cellIs" dxfId="85" priority="85" operator="lessThan">
      <formula>15</formula>
    </cfRule>
  </conditionalFormatting>
  <conditionalFormatting sqref="AJ23">
    <cfRule type="cellIs" dxfId="84" priority="84" operator="lessThan">
      <formula>15</formula>
    </cfRule>
  </conditionalFormatting>
  <conditionalFormatting sqref="AJ23">
    <cfRule type="cellIs" dxfId="83" priority="83" operator="lessThan">
      <formula>15</formula>
    </cfRule>
  </conditionalFormatting>
  <conditionalFormatting sqref="AJ25">
    <cfRule type="cellIs" dxfId="82" priority="82" operator="lessThan">
      <formula>15</formula>
    </cfRule>
  </conditionalFormatting>
  <conditionalFormatting sqref="AJ19">
    <cfRule type="cellIs" dxfId="81" priority="81" operator="lessThan">
      <formula>15</formula>
    </cfRule>
  </conditionalFormatting>
  <conditionalFormatting sqref="AJ22">
    <cfRule type="cellIs" dxfId="80" priority="80" operator="lessThan">
      <formula>15</formula>
    </cfRule>
  </conditionalFormatting>
  <conditionalFormatting sqref="AJ22">
    <cfRule type="cellIs" dxfId="79" priority="79" operator="lessThan">
      <formula>15</formula>
    </cfRule>
  </conditionalFormatting>
  <conditionalFormatting sqref="AJ19:AJ20">
    <cfRule type="cellIs" dxfId="78" priority="78" operator="lessThan">
      <formula>15</formula>
    </cfRule>
  </conditionalFormatting>
  <conditionalFormatting sqref="AJ22">
    <cfRule type="cellIs" dxfId="77" priority="77" operator="lessThan">
      <formula>15</formula>
    </cfRule>
  </conditionalFormatting>
  <conditionalFormatting sqref="AJ23">
    <cfRule type="cellIs" dxfId="76" priority="76" operator="lessThan">
      <formula>15</formula>
    </cfRule>
  </conditionalFormatting>
  <conditionalFormatting sqref="AJ25">
    <cfRule type="cellIs" dxfId="75" priority="75" operator="lessThan">
      <formula>15</formula>
    </cfRule>
  </conditionalFormatting>
  <conditionalFormatting sqref="AJ20">
    <cfRule type="cellIs" dxfId="74" priority="74" operator="lessThan">
      <formula>15</formula>
    </cfRule>
  </conditionalFormatting>
  <conditionalFormatting sqref="AJ20">
    <cfRule type="cellIs" dxfId="73" priority="73" operator="lessThan">
      <formula>15</formula>
    </cfRule>
  </conditionalFormatting>
  <conditionalFormatting sqref="AJ38">
    <cfRule type="cellIs" dxfId="72" priority="72" operator="lessThan">
      <formula>15</formula>
    </cfRule>
  </conditionalFormatting>
  <conditionalFormatting sqref="AJ38">
    <cfRule type="cellIs" dxfId="71" priority="71" operator="lessThan">
      <formula>15</formula>
    </cfRule>
  </conditionalFormatting>
  <conditionalFormatting sqref="AJ38">
    <cfRule type="cellIs" dxfId="70" priority="69" operator="lessThan">
      <formula>16</formula>
    </cfRule>
    <cfRule type="cellIs" dxfId="69" priority="70" operator="lessThan">
      <formula>15</formula>
    </cfRule>
  </conditionalFormatting>
  <conditionalFormatting sqref="AJ28">
    <cfRule type="cellIs" dxfId="68" priority="68" operator="lessThan">
      <formula>15</formula>
    </cfRule>
  </conditionalFormatting>
  <conditionalFormatting sqref="AJ28">
    <cfRule type="cellIs" dxfId="67" priority="67" operator="lessThan">
      <formula>15</formula>
    </cfRule>
  </conditionalFormatting>
  <conditionalFormatting sqref="AJ28">
    <cfRule type="cellIs" dxfId="66" priority="65" operator="lessThan">
      <formula>16</formula>
    </cfRule>
    <cfRule type="cellIs" dxfId="65" priority="66" operator="lessThan">
      <formula>15</formula>
    </cfRule>
  </conditionalFormatting>
  <conditionalFormatting sqref="AJ28">
    <cfRule type="cellIs" dxfId="64" priority="64" operator="lessThan">
      <formula>15</formula>
    </cfRule>
  </conditionalFormatting>
  <conditionalFormatting sqref="AJ39:AJ40">
    <cfRule type="cellIs" dxfId="63" priority="63" operator="lessThan">
      <formula>15</formula>
    </cfRule>
  </conditionalFormatting>
  <conditionalFormatting sqref="AJ39:AJ40">
    <cfRule type="cellIs" dxfId="62" priority="62" operator="lessThan">
      <formula>15</formula>
    </cfRule>
  </conditionalFormatting>
  <conditionalFormatting sqref="AJ39:AJ40">
    <cfRule type="cellIs" dxfId="61" priority="60" operator="lessThan">
      <formula>16</formula>
    </cfRule>
    <cfRule type="cellIs" dxfId="60" priority="61" operator="lessThan">
      <formula>15</formula>
    </cfRule>
  </conditionalFormatting>
  <conditionalFormatting sqref="AJ41">
    <cfRule type="cellIs" dxfId="59" priority="59" operator="lessThan">
      <formula>15</formula>
    </cfRule>
  </conditionalFormatting>
  <conditionalFormatting sqref="AJ41">
    <cfRule type="cellIs" dxfId="58" priority="58" operator="lessThan">
      <formula>15</formula>
    </cfRule>
  </conditionalFormatting>
  <conditionalFormatting sqref="AJ41">
    <cfRule type="cellIs" dxfId="57" priority="56" operator="lessThan">
      <formula>16</formula>
    </cfRule>
    <cfRule type="cellIs" dxfId="56" priority="57" operator="lessThan">
      <formula>15</formula>
    </cfRule>
  </conditionalFormatting>
  <conditionalFormatting sqref="AJ42:AJ44 AJ46:AJ49">
    <cfRule type="cellIs" dxfId="55" priority="55" operator="lessThan">
      <formula>15</formula>
    </cfRule>
  </conditionalFormatting>
  <conditionalFormatting sqref="AJ42:AJ44 AJ46:AJ49">
    <cfRule type="cellIs" dxfId="54" priority="54" operator="lessThan">
      <formula>15</formula>
    </cfRule>
  </conditionalFormatting>
  <conditionalFormatting sqref="AJ42:AJ44 AJ46:AJ49">
    <cfRule type="cellIs" dxfId="53" priority="52" operator="lessThan">
      <formula>16</formula>
    </cfRule>
    <cfRule type="cellIs" dxfId="52" priority="53" operator="lessThan">
      <formula>15</formula>
    </cfRule>
  </conditionalFormatting>
  <conditionalFormatting sqref="AJ45">
    <cfRule type="cellIs" dxfId="51" priority="51" operator="lessThan">
      <formula>15</formula>
    </cfRule>
  </conditionalFormatting>
  <conditionalFormatting sqref="AJ45">
    <cfRule type="cellIs" dxfId="50" priority="49" operator="lessThan">
      <formula>16</formula>
    </cfRule>
    <cfRule type="cellIs" dxfId="49" priority="50" operator="lessThan">
      <formula>15</formula>
    </cfRule>
  </conditionalFormatting>
  <conditionalFormatting sqref="AJ50">
    <cfRule type="cellIs" dxfId="48" priority="48" operator="lessThan">
      <formula>15</formula>
    </cfRule>
  </conditionalFormatting>
  <conditionalFormatting sqref="AJ50">
    <cfRule type="cellIs" dxfId="47" priority="47" operator="lessThan">
      <formula>15</formula>
    </cfRule>
  </conditionalFormatting>
  <conditionalFormatting sqref="AJ50">
    <cfRule type="cellIs" dxfId="46" priority="45" operator="lessThan">
      <formula>16</formula>
    </cfRule>
    <cfRule type="cellIs" dxfId="45" priority="46" operator="lessThan">
      <formula>15</formula>
    </cfRule>
  </conditionalFormatting>
  <conditionalFormatting sqref="AJ51:AJ61">
    <cfRule type="cellIs" dxfId="44" priority="44" operator="lessThan">
      <formula>15</formula>
    </cfRule>
  </conditionalFormatting>
  <conditionalFormatting sqref="AJ51:AJ61">
    <cfRule type="cellIs" dxfId="43" priority="43" operator="lessThan">
      <formula>15</formula>
    </cfRule>
  </conditionalFormatting>
  <conditionalFormatting sqref="AJ51:AJ61">
    <cfRule type="cellIs" dxfId="42" priority="41" operator="lessThan">
      <formula>16</formula>
    </cfRule>
    <cfRule type="cellIs" dxfId="41" priority="42" operator="lessThan">
      <formula>15</formula>
    </cfRule>
  </conditionalFormatting>
  <conditionalFormatting sqref="AJ62:AJ63">
    <cfRule type="cellIs" dxfId="40" priority="40" operator="lessThan">
      <formula>15</formula>
    </cfRule>
  </conditionalFormatting>
  <conditionalFormatting sqref="AJ62:AJ63">
    <cfRule type="cellIs" dxfId="39" priority="39" operator="lessThan">
      <formula>15</formula>
    </cfRule>
  </conditionalFormatting>
  <conditionalFormatting sqref="AJ62:AJ63">
    <cfRule type="cellIs" dxfId="38" priority="37" operator="lessThan">
      <formula>16</formula>
    </cfRule>
    <cfRule type="cellIs" dxfId="37" priority="38" operator="lessThan">
      <formula>15</formula>
    </cfRule>
  </conditionalFormatting>
  <conditionalFormatting sqref="AJ64:AJ65">
    <cfRule type="cellIs" dxfId="36" priority="36" operator="lessThan">
      <formula>15</formula>
    </cfRule>
  </conditionalFormatting>
  <conditionalFormatting sqref="AJ64:AJ65">
    <cfRule type="cellIs" dxfId="35" priority="35" operator="lessThan">
      <formula>15</formula>
    </cfRule>
  </conditionalFormatting>
  <conditionalFormatting sqref="AJ64:AJ65">
    <cfRule type="cellIs" dxfId="34" priority="33" operator="lessThan">
      <formula>16</formula>
    </cfRule>
    <cfRule type="cellIs" dxfId="33" priority="34" operator="lessThan">
      <formula>15</formula>
    </cfRule>
  </conditionalFormatting>
  <conditionalFormatting sqref="AJ66">
    <cfRule type="cellIs" dxfId="32" priority="32" operator="lessThan">
      <formula>15</formula>
    </cfRule>
  </conditionalFormatting>
  <conditionalFormatting sqref="AJ66">
    <cfRule type="cellIs" dxfId="31" priority="31" operator="lessThan">
      <formula>15</formula>
    </cfRule>
  </conditionalFormatting>
  <conditionalFormatting sqref="AJ66">
    <cfRule type="cellIs" dxfId="30" priority="29" operator="lessThan">
      <formula>16</formula>
    </cfRule>
    <cfRule type="cellIs" dxfId="29" priority="30" operator="lessThan">
      <formula>15</formula>
    </cfRule>
  </conditionalFormatting>
  <conditionalFormatting sqref="AJ67:AJ69">
    <cfRule type="cellIs" dxfId="28" priority="28" operator="lessThan">
      <formula>15</formula>
    </cfRule>
  </conditionalFormatting>
  <conditionalFormatting sqref="AJ67:AJ69">
    <cfRule type="cellIs" dxfId="27" priority="27" operator="lessThan">
      <formula>15</formula>
    </cfRule>
  </conditionalFormatting>
  <conditionalFormatting sqref="AJ67:AJ69">
    <cfRule type="cellIs" dxfId="26" priority="25" operator="lessThan">
      <formula>16</formula>
    </cfRule>
    <cfRule type="cellIs" dxfId="25" priority="26" operator="lessThan">
      <formula>15</formula>
    </cfRule>
  </conditionalFormatting>
  <conditionalFormatting sqref="AJ70:AJ71">
    <cfRule type="cellIs" dxfId="24" priority="24" operator="lessThan">
      <formula>15</formula>
    </cfRule>
  </conditionalFormatting>
  <conditionalFormatting sqref="AJ70:AJ71">
    <cfRule type="cellIs" dxfId="23" priority="23" operator="lessThan">
      <formula>15</formula>
    </cfRule>
  </conditionalFormatting>
  <conditionalFormatting sqref="AJ70:AJ71">
    <cfRule type="cellIs" dxfId="22" priority="21" operator="lessThan">
      <formula>16</formula>
    </cfRule>
    <cfRule type="cellIs" dxfId="21" priority="22" operator="lessThan">
      <formula>15</formula>
    </cfRule>
  </conditionalFormatting>
  <conditionalFormatting sqref="AJ73">
    <cfRule type="cellIs" dxfId="20" priority="20" operator="lessThan">
      <formula>15</formula>
    </cfRule>
  </conditionalFormatting>
  <conditionalFormatting sqref="AJ73">
    <cfRule type="cellIs" dxfId="19" priority="19" operator="lessThan">
      <formula>15</formula>
    </cfRule>
  </conditionalFormatting>
  <conditionalFormatting sqref="AJ73">
    <cfRule type="cellIs" dxfId="18" priority="17" operator="lessThan">
      <formula>16</formula>
    </cfRule>
    <cfRule type="cellIs" dxfId="17" priority="18" operator="lessThan">
      <formula>15</formula>
    </cfRule>
  </conditionalFormatting>
  <conditionalFormatting sqref="AJ72">
    <cfRule type="cellIs" dxfId="16" priority="16" operator="lessThan">
      <formula>15</formula>
    </cfRule>
  </conditionalFormatting>
  <conditionalFormatting sqref="AJ72">
    <cfRule type="cellIs" dxfId="15" priority="15" operator="lessThan">
      <formula>15</formula>
    </cfRule>
  </conditionalFormatting>
  <conditionalFormatting sqref="AJ72">
    <cfRule type="cellIs" dxfId="14" priority="13" operator="lessThan">
      <formula>16</formula>
    </cfRule>
    <cfRule type="cellIs" dxfId="13" priority="14" operator="lessThan">
      <formula>15</formula>
    </cfRule>
  </conditionalFormatting>
  <conditionalFormatting sqref="AL1">
    <cfRule type="cellIs" dxfId="12" priority="12" operator="lessThan">
      <formula>7</formula>
    </cfRule>
  </conditionalFormatting>
  <conditionalFormatting sqref="AJ77">
    <cfRule type="cellIs" dxfId="11" priority="11" operator="lessThan">
      <formula>15</formula>
    </cfRule>
  </conditionalFormatting>
  <conditionalFormatting sqref="AJ77">
    <cfRule type="cellIs" dxfId="10" priority="10" operator="lessThan">
      <formula>15</formula>
    </cfRule>
  </conditionalFormatting>
  <conditionalFormatting sqref="AJ77">
    <cfRule type="cellIs" dxfId="9" priority="8" operator="lessThan">
      <formula>16</formula>
    </cfRule>
    <cfRule type="cellIs" dxfId="8" priority="9" operator="lessThan">
      <formula>15</formula>
    </cfRule>
  </conditionalFormatting>
  <conditionalFormatting sqref="AJ78:AJ85">
    <cfRule type="cellIs" dxfId="7" priority="7" operator="lessThan">
      <formula>15</formula>
    </cfRule>
  </conditionalFormatting>
  <conditionalFormatting sqref="AJ78:AJ85">
    <cfRule type="cellIs" dxfId="6" priority="6" operator="lessThan">
      <formula>15</formula>
    </cfRule>
  </conditionalFormatting>
  <conditionalFormatting sqref="AJ78:AJ85">
    <cfRule type="cellIs" dxfId="5" priority="4" operator="lessThan">
      <formula>16</formula>
    </cfRule>
    <cfRule type="cellIs" dxfId="4" priority="5" operator="lessThan">
      <formula>15</formula>
    </cfRule>
  </conditionalFormatting>
  <conditionalFormatting sqref="J80:J85 A80:A85">
    <cfRule type="duplicateValues" dxfId="3" priority="3"/>
  </conditionalFormatting>
  <conditionalFormatting sqref="A80:A85">
    <cfRule type="duplicateValues" dxfId="2" priority="2"/>
  </conditionalFormatting>
  <conditionalFormatting sqref="A80:A85">
    <cfRule type="duplicateValues" dxfId="1" priority="1"/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417DA-3293-46E1-95FC-88928D349F6B}">
  <dimension ref="A1:Z91"/>
  <sheetViews>
    <sheetView topLeftCell="A67" zoomScale="85" zoomScaleNormal="85" workbookViewId="0">
      <selection activeCell="G97" sqref="G97"/>
    </sheetView>
  </sheetViews>
  <sheetFormatPr defaultRowHeight="14.4" x14ac:dyDescent="0.3"/>
  <cols>
    <col min="1" max="1" width="9" bestFit="1" customWidth="1"/>
    <col min="2" max="2" width="26" bestFit="1" customWidth="1"/>
    <col min="3" max="3" width="11.6640625" bestFit="1" customWidth="1"/>
    <col min="4" max="4" width="9" bestFit="1" customWidth="1"/>
    <col min="5" max="5" width="14.109375" bestFit="1" customWidth="1"/>
    <col min="6" max="17" width="9" bestFit="1" customWidth="1"/>
    <col min="18" max="25" width="9" customWidth="1"/>
    <col min="26" max="26" width="13.21875" bestFit="1" customWidth="1"/>
    <col min="27" max="27" width="14.109375" customWidth="1"/>
  </cols>
  <sheetData>
    <row r="1" spans="1:26" ht="61.2" customHeight="1" x14ac:dyDescent="0.3">
      <c r="A1" s="228" t="s">
        <v>24</v>
      </c>
      <c r="B1" s="228" t="s">
        <v>363</v>
      </c>
      <c r="C1" s="155" t="s">
        <v>1046</v>
      </c>
      <c r="D1" s="155" t="s">
        <v>979</v>
      </c>
      <c r="E1" s="155" t="s">
        <v>980</v>
      </c>
      <c r="F1" s="155" t="s">
        <v>1047</v>
      </c>
      <c r="G1" s="228" t="s">
        <v>981</v>
      </c>
      <c r="H1" s="228" t="s">
        <v>982</v>
      </c>
      <c r="I1" s="228" t="s">
        <v>983</v>
      </c>
      <c r="J1" s="228" t="s">
        <v>984</v>
      </c>
      <c r="K1" s="228" t="s">
        <v>985</v>
      </c>
      <c r="L1" s="228" t="s">
        <v>986</v>
      </c>
      <c r="M1" s="228" t="s">
        <v>987</v>
      </c>
      <c r="N1" s="228" t="s">
        <v>988</v>
      </c>
      <c r="O1" s="228" t="s">
        <v>988</v>
      </c>
      <c r="P1" s="228" t="s">
        <v>989</v>
      </c>
      <c r="Q1" s="228" t="s">
        <v>989</v>
      </c>
      <c r="R1" s="228" t="s">
        <v>1038</v>
      </c>
      <c r="S1" s="228" t="s">
        <v>1039</v>
      </c>
      <c r="T1" s="228" t="s">
        <v>1040</v>
      </c>
      <c r="U1" s="228" t="s">
        <v>1041</v>
      </c>
      <c r="V1" s="228" t="s">
        <v>1042</v>
      </c>
      <c r="W1" s="228" t="s">
        <v>1043</v>
      </c>
      <c r="X1" s="228" t="s">
        <v>1044</v>
      </c>
      <c r="Y1" s="228" t="s">
        <v>1045</v>
      </c>
      <c r="Z1" s="229" t="s">
        <v>990</v>
      </c>
    </row>
    <row r="2" spans="1:26" x14ac:dyDescent="0.3">
      <c r="A2" s="162">
        <f t="shared" ref="A2:Q2" si="0">SUBTOTAL(3,A4:A199)</f>
        <v>88</v>
      </c>
      <c r="B2" s="162">
        <f t="shared" si="0"/>
        <v>88</v>
      </c>
      <c r="C2" s="162">
        <f t="shared" si="0"/>
        <v>88</v>
      </c>
      <c r="D2" s="162">
        <f t="shared" si="0"/>
        <v>14</v>
      </c>
      <c r="E2" s="162">
        <f t="shared" si="0"/>
        <v>80</v>
      </c>
      <c r="F2" s="162">
        <f t="shared" si="0"/>
        <v>88</v>
      </c>
      <c r="G2" s="162">
        <f t="shared" si="0"/>
        <v>88</v>
      </c>
      <c r="H2" s="162">
        <f t="shared" si="0"/>
        <v>88</v>
      </c>
      <c r="I2" s="162">
        <f t="shared" si="0"/>
        <v>88</v>
      </c>
      <c r="J2" s="162">
        <f t="shared" si="0"/>
        <v>88</v>
      </c>
      <c r="K2" s="162">
        <f t="shared" si="0"/>
        <v>88</v>
      </c>
      <c r="L2" s="162">
        <f t="shared" si="0"/>
        <v>88</v>
      </c>
      <c r="M2" s="162">
        <f t="shared" si="0"/>
        <v>88</v>
      </c>
      <c r="N2" s="162">
        <f t="shared" si="0"/>
        <v>88</v>
      </c>
      <c r="O2" s="162">
        <f t="shared" si="0"/>
        <v>88</v>
      </c>
      <c r="P2" s="162">
        <f t="shared" si="0"/>
        <v>88</v>
      </c>
      <c r="Q2" s="162">
        <f t="shared" si="0"/>
        <v>88</v>
      </c>
      <c r="R2" s="162">
        <f t="shared" ref="R2:Y2" si="1">SUBTOTAL(3,R4:R199)</f>
        <v>88</v>
      </c>
      <c r="S2" s="162">
        <f t="shared" si="1"/>
        <v>88</v>
      </c>
      <c r="T2" s="162">
        <f t="shared" si="1"/>
        <v>88</v>
      </c>
      <c r="U2" s="162">
        <f t="shared" si="1"/>
        <v>88</v>
      </c>
      <c r="V2" s="162">
        <f t="shared" si="1"/>
        <v>88</v>
      </c>
      <c r="W2" s="162">
        <f t="shared" si="1"/>
        <v>88</v>
      </c>
      <c r="X2" s="162">
        <f t="shared" si="1"/>
        <v>88</v>
      </c>
      <c r="Y2" s="162">
        <f t="shared" si="1"/>
        <v>88</v>
      </c>
      <c r="Z2" s="230">
        <f>SUBTOTAL(9,Z4:Z199)</f>
        <v>4815900000</v>
      </c>
    </row>
    <row r="3" spans="1:26" x14ac:dyDescent="0.3">
      <c r="A3" s="162" t="s">
        <v>0</v>
      </c>
      <c r="B3" s="162" t="s">
        <v>0</v>
      </c>
      <c r="C3" s="162" t="s">
        <v>0</v>
      </c>
      <c r="D3" s="162" t="s">
        <v>0</v>
      </c>
      <c r="E3" s="162" t="s">
        <v>0</v>
      </c>
      <c r="F3" s="162" t="s">
        <v>0</v>
      </c>
      <c r="G3" s="162" t="s">
        <v>0</v>
      </c>
      <c r="H3" s="162" t="s">
        <v>0</v>
      </c>
      <c r="I3" s="162" t="s">
        <v>0</v>
      </c>
      <c r="J3" s="162" t="s">
        <v>0</v>
      </c>
      <c r="K3" s="162" t="s">
        <v>0</v>
      </c>
      <c r="L3" s="162" t="s">
        <v>0</v>
      </c>
      <c r="M3" s="162" t="s">
        <v>0</v>
      </c>
      <c r="N3" s="162" t="s">
        <v>0</v>
      </c>
      <c r="O3" s="162" t="s">
        <v>0</v>
      </c>
      <c r="P3" s="162" t="s">
        <v>0</v>
      </c>
      <c r="Q3" s="162" t="s">
        <v>0</v>
      </c>
      <c r="R3" s="162" t="s">
        <v>0</v>
      </c>
      <c r="S3" s="162" t="s">
        <v>0</v>
      </c>
      <c r="T3" s="162" t="s">
        <v>0</v>
      </c>
      <c r="U3" s="162" t="s">
        <v>0</v>
      </c>
      <c r="V3" s="162" t="s">
        <v>0</v>
      </c>
      <c r="W3" s="162" t="s">
        <v>0</v>
      </c>
      <c r="X3" s="162" t="s">
        <v>0</v>
      </c>
      <c r="Y3" s="162" t="s">
        <v>0</v>
      </c>
      <c r="Z3" s="162" t="s">
        <v>0</v>
      </c>
    </row>
    <row r="4" spans="1:26" x14ac:dyDescent="0.3">
      <c r="A4" s="162">
        <v>1</v>
      </c>
      <c r="B4" s="163" t="s">
        <v>14</v>
      </c>
      <c r="C4" s="225">
        <v>5810000</v>
      </c>
      <c r="D4" s="187"/>
      <c r="E4" s="162" t="s">
        <v>991</v>
      </c>
      <c r="F4" s="231">
        <v>44594</v>
      </c>
      <c r="G4" s="231">
        <f>EDATE(F4,3)</f>
        <v>44683</v>
      </c>
      <c r="H4" s="231">
        <f>EDATE(G4,9)</f>
        <v>44959</v>
      </c>
      <c r="I4" s="231">
        <f t="shared" ref="I4:Q24" si="2">EDATE(H4,6)</f>
        <v>45140</v>
      </c>
      <c r="J4" s="231">
        <f t="shared" si="2"/>
        <v>45324</v>
      </c>
      <c r="K4" s="231">
        <f t="shared" si="2"/>
        <v>45506</v>
      </c>
      <c r="L4" s="231">
        <f t="shared" si="2"/>
        <v>45690</v>
      </c>
      <c r="M4" s="231">
        <f t="shared" si="2"/>
        <v>45871</v>
      </c>
      <c r="N4" s="231">
        <f t="shared" si="2"/>
        <v>46055</v>
      </c>
      <c r="O4" s="231">
        <f t="shared" si="2"/>
        <v>46236</v>
      </c>
      <c r="P4" s="231">
        <f t="shared" si="2"/>
        <v>46420</v>
      </c>
      <c r="Q4" s="231">
        <f t="shared" si="2"/>
        <v>46601</v>
      </c>
      <c r="R4" s="231">
        <f t="shared" ref="R4:R67" si="3">EDATE(Q4,6)</f>
        <v>46785</v>
      </c>
      <c r="S4" s="231">
        <f t="shared" ref="S4:S67" si="4">EDATE(R4,6)</f>
        <v>46967</v>
      </c>
      <c r="T4" s="231">
        <f t="shared" ref="T4:T67" si="5">EDATE(S4,6)</f>
        <v>47151</v>
      </c>
      <c r="U4" s="231">
        <f t="shared" ref="U4:U67" si="6">EDATE(T4,6)</f>
        <v>47332</v>
      </c>
      <c r="V4" s="231">
        <f t="shared" ref="V4:V67" si="7">EDATE(U4,6)</f>
        <v>47516</v>
      </c>
      <c r="W4" s="231">
        <f t="shared" ref="W4:W67" si="8">EDATE(V4,6)</f>
        <v>47697</v>
      </c>
      <c r="X4" s="231">
        <f t="shared" ref="X4:X67" si="9">EDATE(W4,6)</f>
        <v>47881</v>
      </c>
      <c r="Y4" s="231">
        <f t="shared" ref="Y4:Y67" si="10">EDATE(X4,6)</f>
        <v>48062</v>
      </c>
      <c r="Z4" s="201">
        <f t="shared" ref="Z4:Z17" si="11">C4*6</f>
        <v>34860000</v>
      </c>
    </row>
    <row r="5" spans="1:26" x14ac:dyDescent="0.3">
      <c r="A5" s="162">
        <v>2</v>
      </c>
      <c r="B5" s="163" t="s">
        <v>19</v>
      </c>
      <c r="C5" s="187">
        <v>8900000</v>
      </c>
      <c r="D5" s="187"/>
      <c r="E5" s="162" t="s">
        <v>991</v>
      </c>
      <c r="F5" s="231">
        <v>44594</v>
      </c>
      <c r="G5" s="231">
        <f>EDATE(F5,3)</f>
        <v>44683</v>
      </c>
      <c r="H5" s="231">
        <f>EDATE(G5,9)</f>
        <v>44959</v>
      </c>
      <c r="I5" s="231">
        <f t="shared" si="2"/>
        <v>45140</v>
      </c>
      <c r="J5" s="231">
        <f t="shared" si="2"/>
        <v>45324</v>
      </c>
      <c r="K5" s="231">
        <f t="shared" si="2"/>
        <v>45506</v>
      </c>
      <c r="L5" s="231">
        <f t="shared" si="2"/>
        <v>45690</v>
      </c>
      <c r="M5" s="231">
        <f t="shared" si="2"/>
        <v>45871</v>
      </c>
      <c r="N5" s="231">
        <f t="shared" si="2"/>
        <v>46055</v>
      </c>
      <c r="O5" s="231">
        <f t="shared" si="2"/>
        <v>46236</v>
      </c>
      <c r="P5" s="231">
        <f t="shared" si="2"/>
        <v>46420</v>
      </c>
      <c r="Q5" s="231">
        <f t="shared" si="2"/>
        <v>46601</v>
      </c>
      <c r="R5" s="231">
        <f t="shared" si="3"/>
        <v>46785</v>
      </c>
      <c r="S5" s="231">
        <f t="shared" si="4"/>
        <v>46967</v>
      </c>
      <c r="T5" s="231">
        <f t="shared" si="5"/>
        <v>47151</v>
      </c>
      <c r="U5" s="231">
        <f t="shared" si="6"/>
        <v>47332</v>
      </c>
      <c r="V5" s="231">
        <f t="shared" si="7"/>
        <v>47516</v>
      </c>
      <c r="W5" s="231">
        <f t="shared" si="8"/>
        <v>47697</v>
      </c>
      <c r="X5" s="231">
        <f t="shared" si="9"/>
        <v>47881</v>
      </c>
      <c r="Y5" s="231">
        <f t="shared" si="10"/>
        <v>48062</v>
      </c>
      <c r="Z5" s="201">
        <f t="shared" si="11"/>
        <v>53400000</v>
      </c>
    </row>
    <row r="6" spans="1:26" x14ac:dyDescent="0.3">
      <c r="A6" s="162">
        <v>3</v>
      </c>
      <c r="B6" s="215" t="s">
        <v>29</v>
      </c>
      <c r="C6" s="206">
        <v>8300000</v>
      </c>
      <c r="D6" s="206"/>
      <c r="E6" s="171" t="s">
        <v>991</v>
      </c>
      <c r="F6" s="232">
        <v>44678</v>
      </c>
      <c r="G6" s="232">
        <f>EDATE(F6,3)</f>
        <v>44769</v>
      </c>
      <c r="H6" s="232">
        <f>EDATE(G6,9)</f>
        <v>45043</v>
      </c>
      <c r="I6" s="232">
        <f t="shared" si="2"/>
        <v>45226</v>
      </c>
      <c r="J6" s="232">
        <f t="shared" si="2"/>
        <v>45409</v>
      </c>
      <c r="K6" s="232">
        <f t="shared" si="2"/>
        <v>45592</v>
      </c>
      <c r="L6" s="232">
        <f t="shared" si="2"/>
        <v>45774</v>
      </c>
      <c r="M6" s="232">
        <f t="shared" si="2"/>
        <v>45957</v>
      </c>
      <c r="N6" s="232">
        <f t="shared" si="2"/>
        <v>46139</v>
      </c>
      <c r="O6" s="231">
        <f t="shared" si="2"/>
        <v>46322</v>
      </c>
      <c r="P6" s="231">
        <f t="shared" si="2"/>
        <v>46504</v>
      </c>
      <c r="Q6" s="231">
        <f t="shared" si="2"/>
        <v>46687</v>
      </c>
      <c r="R6" s="231">
        <f t="shared" si="3"/>
        <v>46870</v>
      </c>
      <c r="S6" s="231">
        <f t="shared" si="4"/>
        <v>47053</v>
      </c>
      <c r="T6" s="231">
        <f t="shared" si="5"/>
        <v>47235</v>
      </c>
      <c r="U6" s="231">
        <f t="shared" si="6"/>
        <v>47418</v>
      </c>
      <c r="V6" s="231">
        <f t="shared" si="7"/>
        <v>47600</v>
      </c>
      <c r="W6" s="231">
        <f t="shared" si="8"/>
        <v>47783</v>
      </c>
      <c r="X6" s="231">
        <f t="shared" si="9"/>
        <v>47965</v>
      </c>
      <c r="Y6" s="231">
        <f t="shared" si="10"/>
        <v>48148</v>
      </c>
      <c r="Z6" s="194">
        <f t="shared" si="11"/>
        <v>49800000</v>
      </c>
    </row>
    <row r="7" spans="1:26" x14ac:dyDescent="0.3">
      <c r="A7" s="162">
        <v>4</v>
      </c>
      <c r="B7" s="233" t="s">
        <v>971</v>
      </c>
      <c r="C7" s="187">
        <v>6300000</v>
      </c>
      <c r="D7" s="187"/>
      <c r="E7" s="162" t="s">
        <v>991</v>
      </c>
      <c r="F7" s="231">
        <v>44630</v>
      </c>
      <c r="G7" s="231">
        <f>EDATE(F7,3)</f>
        <v>44722</v>
      </c>
      <c r="H7" s="231">
        <f>EDATE(G7,9)</f>
        <v>44995</v>
      </c>
      <c r="I7" s="231">
        <f t="shared" si="2"/>
        <v>45179</v>
      </c>
      <c r="J7" s="231">
        <f t="shared" si="2"/>
        <v>45361</v>
      </c>
      <c r="K7" s="231">
        <f t="shared" si="2"/>
        <v>45545</v>
      </c>
      <c r="L7" s="231">
        <f>EDATE(K7,6)</f>
        <v>45726</v>
      </c>
      <c r="M7" s="231">
        <f t="shared" si="2"/>
        <v>45910</v>
      </c>
      <c r="N7" s="231">
        <f t="shared" si="2"/>
        <v>46091</v>
      </c>
      <c r="O7" s="231">
        <f t="shared" si="2"/>
        <v>46275</v>
      </c>
      <c r="P7" s="231">
        <f t="shared" si="2"/>
        <v>46456</v>
      </c>
      <c r="Q7" s="231">
        <f t="shared" si="2"/>
        <v>46640</v>
      </c>
      <c r="R7" s="231">
        <f t="shared" si="3"/>
        <v>46822</v>
      </c>
      <c r="S7" s="231">
        <f t="shared" si="4"/>
        <v>47006</v>
      </c>
      <c r="T7" s="231">
        <f t="shared" si="5"/>
        <v>47187</v>
      </c>
      <c r="U7" s="231">
        <f t="shared" si="6"/>
        <v>47371</v>
      </c>
      <c r="V7" s="231">
        <f t="shared" si="7"/>
        <v>47552</v>
      </c>
      <c r="W7" s="231">
        <f t="shared" si="8"/>
        <v>47736</v>
      </c>
      <c r="X7" s="231">
        <f t="shared" si="9"/>
        <v>47917</v>
      </c>
      <c r="Y7" s="231">
        <f t="shared" si="10"/>
        <v>48101</v>
      </c>
      <c r="Z7" s="201">
        <f t="shared" si="11"/>
        <v>37800000</v>
      </c>
    </row>
    <row r="8" spans="1:26" x14ac:dyDescent="0.3">
      <c r="A8" s="162" t="s">
        <v>1137</v>
      </c>
      <c r="B8" s="163" t="s">
        <v>95</v>
      </c>
      <c r="C8" s="187">
        <v>7680000</v>
      </c>
      <c r="D8" s="187"/>
      <c r="E8" s="162" t="s">
        <v>992</v>
      </c>
      <c r="F8" s="231">
        <v>44655</v>
      </c>
      <c r="G8" s="231">
        <f>EDATE(F8,6)</f>
        <v>44838</v>
      </c>
      <c r="H8" s="231">
        <f>EDATE(G8,6)</f>
        <v>45020</v>
      </c>
      <c r="I8" s="231">
        <f t="shared" si="2"/>
        <v>45203</v>
      </c>
      <c r="J8" s="231">
        <f t="shared" si="2"/>
        <v>45386</v>
      </c>
      <c r="K8" s="231">
        <f t="shared" si="2"/>
        <v>45569</v>
      </c>
      <c r="L8" s="231">
        <f t="shared" si="2"/>
        <v>45751</v>
      </c>
      <c r="M8" s="231">
        <f t="shared" si="2"/>
        <v>45934</v>
      </c>
      <c r="N8" s="236">
        <f t="shared" si="2"/>
        <v>46116</v>
      </c>
      <c r="O8" s="231">
        <f t="shared" si="2"/>
        <v>46299</v>
      </c>
      <c r="P8" s="231">
        <f t="shared" si="2"/>
        <v>46481</v>
      </c>
      <c r="Q8" s="231">
        <f t="shared" si="2"/>
        <v>46664</v>
      </c>
      <c r="R8" s="231">
        <f t="shared" si="3"/>
        <v>46847</v>
      </c>
      <c r="S8" s="231">
        <f t="shared" si="4"/>
        <v>47030</v>
      </c>
      <c r="T8" s="231">
        <f t="shared" si="5"/>
        <v>47212</v>
      </c>
      <c r="U8" s="231">
        <f t="shared" si="6"/>
        <v>47395</v>
      </c>
      <c r="V8" s="231">
        <f t="shared" si="7"/>
        <v>47577</v>
      </c>
      <c r="W8" s="231">
        <f t="shared" si="8"/>
        <v>47760</v>
      </c>
      <c r="X8" s="231">
        <f t="shared" si="9"/>
        <v>47942</v>
      </c>
      <c r="Y8" s="231">
        <f t="shared" si="10"/>
        <v>48125</v>
      </c>
      <c r="Z8" s="201">
        <f t="shared" si="11"/>
        <v>46080000</v>
      </c>
    </row>
    <row r="9" spans="1:26" x14ac:dyDescent="0.3">
      <c r="A9" s="162">
        <v>6</v>
      </c>
      <c r="B9" s="163" t="s">
        <v>97</v>
      </c>
      <c r="C9" s="187">
        <v>9600000</v>
      </c>
      <c r="D9" s="187"/>
      <c r="E9" s="162" t="s">
        <v>991</v>
      </c>
      <c r="F9" s="231">
        <v>44752</v>
      </c>
      <c r="G9" s="231">
        <f>EDATE(F9,3)</f>
        <v>44844</v>
      </c>
      <c r="H9" s="231">
        <f>EDATE(G9,9)</f>
        <v>45117</v>
      </c>
      <c r="I9" s="231">
        <f t="shared" si="2"/>
        <v>45301</v>
      </c>
      <c r="J9" s="231">
        <f t="shared" si="2"/>
        <v>45483</v>
      </c>
      <c r="K9" s="231">
        <f t="shared" si="2"/>
        <v>45667</v>
      </c>
      <c r="L9" s="231">
        <f t="shared" si="2"/>
        <v>45848</v>
      </c>
      <c r="M9" s="231">
        <f t="shared" si="2"/>
        <v>46032</v>
      </c>
      <c r="N9" s="231">
        <f t="shared" si="2"/>
        <v>46213</v>
      </c>
      <c r="O9" s="231">
        <f t="shared" si="2"/>
        <v>46397</v>
      </c>
      <c r="P9" s="231">
        <f t="shared" si="2"/>
        <v>46578</v>
      </c>
      <c r="Q9" s="231">
        <f t="shared" si="2"/>
        <v>46762</v>
      </c>
      <c r="R9" s="231">
        <f t="shared" si="3"/>
        <v>46944</v>
      </c>
      <c r="S9" s="231">
        <f t="shared" si="4"/>
        <v>47128</v>
      </c>
      <c r="T9" s="231">
        <f t="shared" si="5"/>
        <v>47309</v>
      </c>
      <c r="U9" s="231">
        <f t="shared" si="6"/>
        <v>47493</v>
      </c>
      <c r="V9" s="231">
        <f t="shared" si="7"/>
        <v>47674</v>
      </c>
      <c r="W9" s="231">
        <f t="shared" si="8"/>
        <v>47858</v>
      </c>
      <c r="X9" s="231">
        <f t="shared" si="9"/>
        <v>48039</v>
      </c>
      <c r="Y9" s="231">
        <f t="shared" si="10"/>
        <v>48223</v>
      </c>
      <c r="Z9" s="201">
        <f t="shared" si="11"/>
        <v>57600000</v>
      </c>
    </row>
    <row r="10" spans="1:26" x14ac:dyDescent="0.3">
      <c r="A10" s="162">
        <v>7</v>
      </c>
      <c r="B10" s="215" t="s">
        <v>251</v>
      </c>
      <c r="C10" s="206">
        <v>11900000</v>
      </c>
      <c r="D10" s="206"/>
      <c r="E10" s="171" t="s">
        <v>991</v>
      </c>
      <c r="F10" s="232">
        <v>44678</v>
      </c>
      <c r="G10" s="232">
        <f>EDATE(F10,3)</f>
        <v>44769</v>
      </c>
      <c r="H10" s="232">
        <f>EDATE(G10,9)</f>
        <v>45043</v>
      </c>
      <c r="I10" s="232">
        <f t="shared" si="2"/>
        <v>45226</v>
      </c>
      <c r="J10" s="232">
        <f t="shared" si="2"/>
        <v>45409</v>
      </c>
      <c r="K10" s="231">
        <f t="shared" si="2"/>
        <v>45592</v>
      </c>
      <c r="L10" s="231">
        <f t="shared" si="2"/>
        <v>45774</v>
      </c>
      <c r="M10" s="231">
        <f t="shared" si="2"/>
        <v>45957</v>
      </c>
      <c r="N10" s="236">
        <f t="shared" si="2"/>
        <v>46139</v>
      </c>
      <c r="O10" s="231">
        <f t="shared" si="2"/>
        <v>46322</v>
      </c>
      <c r="P10" s="231">
        <f t="shared" si="2"/>
        <v>46504</v>
      </c>
      <c r="Q10" s="231">
        <f t="shared" si="2"/>
        <v>46687</v>
      </c>
      <c r="R10" s="231">
        <f t="shared" si="3"/>
        <v>46870</v>
      </c>
      <c r="S10" s="231">
        <f t="shared" si="4"/>
        <v>47053</v>
      </c>
      <c r="T10" s="231">
        <f t="shared" si="5"/>
        <v>47235</v>
      </c>
      <c r="U10" s="231">
        <f t="shared" si="6"/>
        <v>47418</v>
      </c>
      <c r="V10" s="231">
        <f t="shared" si="7"/>
        <v>47600</v>
      </c>
      <c r="W10" s="231">
        <f t="shared" si="8"/>
        <v>47783</v>
      </c>
      <c r="X10" s="231">
        <f t="shared" si="9"/>
        <v>47965</v>
      </c>
      <c r="Y10" s="231">
        <f t="shared" si="10"/>
        <v>48148</v>
      </c>
      <c r="Z10" s="194">
        <f t="shared" si="11"/>
        <v>71400000</v>
      </c>
    </row>
    <row r="11" spans="1:26" x14ac:dyDescent="0.3">
      <c r="A11" s="162">
        <v>8</v>
      </c>
      <c r="B11" s="234" t="s">
        <v>254</v>
      </c>
      <c r="C11" s="187">
        <v>8640000</v>
      </c>
      <c r="D11" s="235" t="s">
        <v>993</v>
      </c>
      <c r="E11" s="162" t="s">
        <v>991</v>
      </c>
      <c r="F11" s="231">
        <v>44729</v>
      </c>
      <c r="G11" s="231">
        <f>EDATE(F11,3)</f>
        <v>44821</v>
      </c>
      <c r="H11" s="231">
        <f>EDATE(G11,9)</f>
        <v>45094</v>
      </c>
      <c r="I11" s="231">
        <f t="shared" si="2"/>
        <v>45277</v>
      </c>
      <c r="J11" s="231">
        <f t="shared" si="2"/>
        <v>45460</v>
      </c>
      <c r="K11" s="231">
        <f t="shared" si="2"/>
        <v>45643</v>
      </c>
      <c r="L11" s="231">
        <f t="shared" si="2"/>
        <v>45825</v>
      </c>
      <c r="M11" s="236">
        <f t="shared" si="2"/>
        <v>46008</v>
      </c>
      <c r="N11" s="231">
        <f t="shared" si="2"/>
        <v>46190</v>
      </c>
      <c r="O11" s="231">
        <f t="shared" si="2"/>
        <v>46373</v>
      </c>
      <c r="P11" s="231">
        <f t="shared" si="2"/>
        <v>46555</v>
      </c>
      <c r="Q11" s="231">
        <f t="shared" si="2"/>
        <v>46738</v>
      </c>
      <c r="R11" s="231">
        <f t="shared" si="3"/>
        <v>46921</v>
      </c>
      <c r="S11" s="231">
        <f t="shared" si="4"/>
        <v>47104</v>
      </c>
      <c r="T11" s="231">
        <f t="shared" si="5"/>
        <v>47286</v>
      </c>
      <c r="U11" s="231">
        <f t="shared" si="6"/>
        <v>47469</v>
      </c>
      <c r="V11" s="231">
        <f t="shared" si="7"/>
        <v>47651</v>
      </c>
      <c r="W11" s="231">
        <f t="shared" si="8"/>
        <v>47834</v>
      </c>
      <c r="X11" s="231">
        <f t="shared" si="9"/>
        <v>48016</v>
      </c>
      <c r="Y11" s="231">
        <f t="shared" si="10"/>
        <v>48199</v>
      </c>
      <c r="Z11" s="194">
        <f t="shared" si="11"/>
        <v>51840000</v>
      </c>
    </row>
    <row r="12" spans="1:26" x14ac:dyDescent="0.3">
      <c r="A12" s="162">
        <v>9</v>
      </c>
      <c r="B12" s="163" t="s">
        <v>30</v>
      </c>
      <c r="C12" s="187">
        <v>10900000</v>
      </c>
      <c r="D12" s="187"/>
      <c r="E12" s="162" t="s">
        <v>991</v>
      </c>
      <c r="F12" s="231">
        <v>44662</v>
      </c>
      <c r="G12" s="231">
        <f>EDATE(F12,3)</f>
        <v>44753</v>
      </c>
      <c r="H12" s="231">
        <f>EDATE(G12,9)</f>
        <v>45027</v>
      </c>
      <c r="I12" s="231">
        <f t="shared" si="2"/>
        <v>45210</v>
      </c>
      <c r="J12" s="231">
        <f t="shared" si="2"/>
        <v>45393</v>
      </c>
      <c r="K12" s="231">
        <f t="shared" si="2"/>
        <v>45576</v>
      </c>
      <c r="L12" s="231">
        <f t="shared" si="2"/>
        <v>45758</v>
      </c>
      <c r="M12" s="231">
        <f t="shared" si="2"/>
        <v>45941</v>
      </c>
      <c r="N12" s="236">
        <f t="shared" si="2"/>
        <v>46123</v>
      </c>
      <c r="O12" s="231">
        <f t="shared" si="2"/>
        <v>46306</v>
      </c>
      <c r="P12" s="231">
        <f t="shared" si="2"/>
        <v>46488</v>
      </c>
      <c r="Q12" s="231">
        <f t="shared" si="2"/>
        <v>46671</v>
      </c>
      <c r="R12" s="231">
        <f t="shared" si="3"/>
        <v>46854</v>
      </c>
      <c r="S12" s="231">
        <f t="shared" si="4"/>
        <v>47037</v>
      </c>
      <c r="T12" s="231">
        <f t="shared" si="5"/>
        <v>47219</v>
      </c>
      <c r="U12" s="231">
        <f t="shared" si="6"/>
        <v>47402</v>
      </c>
      <c r="V12" s="231">
        <f t="shared" si="7"/>
        <v>47584</v>
      </c>
      <c r="W12" s="231">
        <f t="shared" si="8"/>
        <v>47767</v>
      </c>
      <c r="X12" s="231">
        <f t="shared" si="9"/>
        <v>47949</v>
      </c>
      <c r="Y12" s="231">
        <f t="shared" si="10"/>
        <v>48132</v>
      </c>
      <c r="Z12" s="201">
        <f t="shared" si="11"/>
        <v>65400000</v>
      </c>
    </row>
    <row r="13" spans="1:26" x14ac:dyDescent="0.3">
      <c r="A13" s="162">
        <v>10</v>
      </c>
      <c r="B13" s="163" t="s">
        <v>155</v>
      </c>
      <c r="C13" s="187">
        <v>11500000</v>
      </c>
      <c r="D13" s="187"/>
      <c r="E13" s="162" t="s">
        <v>991</v>
      </c>
      <c r="F13" s="231">
        <v>44701</v>
      </c>
      <c r="G13" s="231">
        <f>EDATE(F13,3)</f>
        <v>44793</v>
      </c>
      <c r="H13" s="231">
        <f>EDATE(G13,9)</f>
        <v>45066</v>
      </c>
      <c r="I13" s="231">
        <f t="shared" si="2"/>
        <v>45250</v>
      </c>
      <c r="J13" s="231">
        <f t="shared" si="2"/>
        <v>45432</v>
      </c>
      <c r="K13" s="231">
        <f t="shared" si="2"/>
        <v>45616</v>
      </c>
      <c r="L13" s="231">
        <f t="shared" si="2"/>
        <v>45797</v>
      </c>
      <c r="M13" s="231">
        <f t="shared" si="2"/>
        <v>45981</v>
      </c>
      <c r="N13" s="231">
        <f t="shared" si="2"/>
        <v>46162</v>
      </c>
      <c r="O13" s="231">
        <f t="shared" si="2"/>
        <v>46346</v>
      </c>
      <c r="P13" s="231">
        <f t="shared" si="2"/>
        <v>46527</v>
      </c>
      <c r="Q13" s="231">
        <f t="shared" si="2"/>
        <v>46711</v>
      </c>
      <c r="R13" s="231">
        <f t="shared" si="3"/>
        <v>46893</v>
      </c>
      <c r="S13" s="231">
        <f t="shared" si="4"/>
        <v>47077</v>
      </c>
      <c r="T13" s="231">
        <f t="shared" si="5"/>
        <v>47258</v>
      </c>
      <c r="U13" s="231">
        <f t="shared" si="6"/>
        <v>47442</v>
      </c>
      <c r="V13" s="231">
        <f t="shared" si="7"/>
        <v>47623</v>
      </c>
      <c r="W13" s="231">
        <f t="shared" si="8"/>
        <v>47807</v>
      </c>
      <c r="X13" s="231">
        <f t="shared" si="9"/>
        <v>47988</v>
      </c>
      <c r="Y13" s="231">
        <f t="shared" si="10"/>
        <v>48172</v>
      </c>
      <c r="Z13" s="201">
        <f t="shared" si="11"/>
        <v>69000000</v>
      </c>
    </row>
    <row r="14" spans="1:26" x14ac:dyDescent="0.3">
      <c r="A14" s="162">
        <v>11</v>
      </c>
      <c r="B14" s="215" t="s">
        <v>257</v>
      </c>
      <c r="C14" s="206">
        <v>5920000</v>
      </c>
      <c r="D14" s="206"/>
      <c r="E14" s="171" t="s">
        <v>994</v>
      </c>
      <c r="F14" s="232">
        <v>44676</v>
      </c>
      <c r="G14" s="232">
        <f>EDATE(F14,6)</f>
        <v>44859</v>
      </c>
      <c r="H14" s="232">
        <f>EDATE(G14,6)</f>
        <v>45041</v>
      </c>
      <c r="I14" s="232">
        <f t="shared" si="2"/>
        <v>45224</v>
      </c>
      <c r="J14" s="232">
        <f t="shared" si="2"/>
        <v>45407</v>
      </c>
      <c r="K14" s="232">
        <f t="shared" si="2"/>
        <v>45590</v>
      </c>
      <c r="L14" s="232">
        <f t="shared" si="2"/>
        <v>45772</v>
      </c>
      <c r="M14" s="232">
        <f t="shared" si="2"/>
        <v>45955</v>
      </c>
      <c r="N14" s="232">
        <f t="shared" si="2"/>
        <v>46137</v>
      </c>
      <c r="O14" s="231">
        <f t="shared" si="2"/>
        <v>46320</v>
      </c>
      <c r="P14" s="231">
        <f t="shared" si="2"/>
        <v>46502</v>
      </c>
      <c r="Q14" s="231">
        <f t="shared" si="2"/>
        <v>46685</v>
      </c>
      <c r="R14" s="231">
        <f t="shared" si="3"/>
        <v>46868</v>
      </c>
      <c r="S14" s="231">
        <f t="shared" si="4"/>
        <v>47051</v>
      </c>
      <c r="T14" s="231">
        <f t="shared" si="5"/>
        <v>47233</v>
      </c>
      <c r="U14" s="231">
        <f t="shared" si="6"/>
        <v>47416</v>
      </c>
      <c r="V14" s="231">
        <f t="shared" si="7"/>
        <v>47598</v>
      </c>
      <c r="W14" s="231">
        <f t="shared" si="8"/>
        <v>47781</v>
      </c>
      <c r="X14" s="231">
        <f t="shared" si="9"/>
        <v>47963</v>
      </c>
      <c r="Y14" s="231">
        <f t="shared" si="10"/>
        <v>48146</v>
      </c>
      <c r="Z14" s="201">
        <f t="shared" si="11"/>
        <v>35520000</v>
      </c>
    </row>
    <row r="15" spans="1:26" x14ac:dyDescent="0.3">
      <c r="A15" s="162">
        <v>12</v>
      </c>
      <c r="B15" s="163" t="s">
        <v>415</v>
      </c>
      <c r="C15" s="225">
        <v>9200000</v>
      </c>
      <c r="D15" s="187"/>
      <c r="E15" s="162" t="s">
        <v>991</v>
      </c>
      <c r="F15" s="231">
        <v>44780</v>
      </c>
      <c r="G15" s="231">
        <f>EDATE(F15,3)</f>
        <v>44872</v>
      </c>
      <c r="H15" s="231">
        <f>EDATE(G15,9)</f>
        <v>45145</v>
      </c>
      <c r="I15" s="231">
        <f t="shared" si="2"/>
        <v>45329</v>
      </c>
      <c r="J15" s="231">
        <f t="shared" si="2"/>
        <v>45511</v>
      </c>
      <c r="K15" s="231">
        <f t="shared" si="2"/>
        <v>45695</v>
      </c>
      <c r="L15" s="231">
        <f t="shared" si="2"/>
        <v>45876</v>
      </c>
      <c r="M15" s="231">
        <f t="shared" si="2"/>
        <v>46060</v>
      </c>
      <c r="N15" s="231">
        <f t="shared" si="2"/>
        <v>46241</v>
      </c>
      <c r="O15" s="231">
        <f t="shared" si="2"/>
        <v>46425</v>
      </c>
      <c r="P15" s="231">
        <f t="shared" si="2"/>
        <v>46606</v>
      </c>
      <c r="Q15" s="231">
        <f t="shared" si="2"/>
        <v>46790</v>
      </c>
      <c r="R15" s="231">
        <f t="shared" si="3"/>
        <v>46972</v>
      </c>
      <c r="S15" s="231">
        <f t="shared" si="4"/>
        <v>47156</v>
      </c>
      <c r="T15" s="231">
        <f t="shared" si="5"/>
        <v>47337</v>
      </c>
      <c r="U15" s="231">
        <f t="shared" si="6"/>
        <v>47521</v>
      </c>
      <c r="V15" s="231">
        <f t="shared" si="7"/>
        <v>47702</v>
      </c>
      <c r="W15" s="231">
        <f t="shared" si="8"/>
        <v>47886</v>
      </c>
      <c r="X15" s="231">
        <f t="shared" si="9"/>
        <v>48067</v>
      </c>
      <c r="Y15" s="231">
        <f t="shared" si="10"/>
        <v>48251</v>
      </c>
      <c r="Z15" s="201">
        <f t="shared" si="11"/>
        <v>55200000</v>
      </c>
    </row>
    <row r="16" spans="1:26" x14ac:dyDescent="0.3">
      <c r="A16" s="162">
        <v>13</v>
      </c>
      <c r="B16" s="163" t="s">
        <v>184</v>
      </c>
      <c r="C16" s="187">
        <v>11500000</v>
      </c>
      <c r="D16" s="187"/>
      <c r="E16" s="162" t="s">
        <v>991</v>
      </c>
      <c r="F16" s="231">
        <v>44801</v>
      </c>
      <c r="G16" s="231">
        <f>EDATE(F16,3)</f>
        <v>44893</v>
      </c>
      <c r="H16" s="231">
        <f>EDATE(G16,3)</f>
        <v>44985</v>
      </c>
      <c r="I16" s="231">
        <f t="shared" si="2"/>
        <v>45166</v>
      </c>
      <c r="J16" s="231">
        <f t="shared" si="2"/>
        <v>45350</v>
      </c>
      <c r="K16" s="231">
        <f t="shared" si="2"/>
        <v>45532</v>
      </c>
      <c r="L16" s="231">
        <f t="shared" si="2"/>
        <v>45716</v>
      </c>
      <c r="M16" s="231">
        <f t="shared" si="2"/>
        <v>45897</v>
      </c>
      <c r="N16" s="231">
        <f t="shared" si="2"/>
        <v>46081</v>
      </c>
      <c r="O16" s="231">
        <f t="shared" si="2"/>
        <v>46262</v>
      </c>
      <c r="P16" s="231">
        <f t="shared" si="2"/>
        <v>46446</v>
      </c>
      <c r="Q16" s="231">
        <f t="shared" si="2"/>
        <v>46627</v>
      </c>
      <c r="R16" s="231">
        <f t="shared" si="3"/>
        <v>46811</v>
      </c>
      <c r="S16" s="231">
        <f t="shared" si="4"/>
        <v>46993</v>
      </c>
      <c r="T16" s="231">
        <f t="shared" si="5"/>
        <v>47177</v>
      </c>
      <c r="U16" s="231">
        <f t="shared" si="6"/>
        <v>47358</v>
      </c>
      <c r="V16" s="231">
        <f t="shared" si="7"/>
        <v>47542</v>
      </c>
      <c r="W16" s="231">
        <f t="shared" si="8"/>
        <v>47723</v>
      </c>
      <c r="X16" s="231">
        <f t="shared" si="9"/>
        <v>47907</v>
      </c>
      <c r="Y16" s="231">
        <f t="shared" si="10"/>
        <v>48088</v>
      </c>
      <c r="Z16" s="201">
        <f t="shared" si="11"/>
        <v>69000000</v>
      </c>
    </row>
    <row r="17" spans="1:26" x14ac:dyDescent="0.3">
      <c r="A17" s="162">
        <v>14</v>
      </c>
      <c r="B17" s="215" t="s">
        <v>189</v>
      </c>
      <c r="C17" s="206">
        <v>7920000</v>
      </c>
      <c r="D17" s="206"/>
      <c r="E17" s="171" t="s">
        <v>991</v>
      </c>
      <c r="F17" s="232">
        <v>44707</v>
      </c>
      <c r="G17" s="232">
        <f>EDATE(F17,3)</f>
        <v>44799</v>
      </c>
      <c r="H17" s="232">
        <f>EDATE(G17,9)</f>
        <v>45072</v>
      </c>
      <c r="I17" s="232">
        <f t="shared" si="2"/>
        <v>45256</v>
      </c>
      <c r="J17" s="232">
        <f t="shared" si="2"/>
        <v>45438</v>
      </c>
      <c r="K17" s="232">
        <f t="shared" si="2"/>
        <v>45622</v>
      </c>
      <c r="L17" s="232">
        <f t="shared" si="2"/>
        <v>45803</v>
      </c>
      <c r="M17" s="232">
        <f t="shared" si="2"/>
        <v>45987</v>
      </c>
      <c r="N17" s="232">
        <f t="shared" si="2"/>
        <v>46168</v>
      </c>
      <c r="O17" s="231">
        <f t="shared" si="2"/>
        <v>46352</v>
      </c>
      <c r="P17" s="231">
        <f t="shared" si="2"/>
        <v>46533</v>
      </c>
      <c r="Q17" s="231">
        <f t="shared" si="2"/>
        <v>46717</v>
      </c>
      <c r="R17" s="231">
        <f t="shared" si="3"/>
        <v>46899</v>
      </c>
      <c r="S17" s="231">
        <f t="shared" si="4"/>
        <v>47083</v>
      </c>
      <c r="T17" s="231">
        <f t="shared" si="5"/>
        <v>47264</v>
      </c>
      <c r="U17" s="231">
        <f t="shared" si="6"/>
        <v>47448</v>
      </c>
      <c r="V17" s="231">
        <f t="shared" si="7"/>
        <v>47629</v>
      </c>
      <c r="W17" s="231">
        <f t="shared" si="8"/>
        <v>47813</v>
      </c>
      <c r="X17" s="231">
        <f t="shared" si="9"/>
        <v>47994</v>
      </c>
      <c r="Y17" s="231">
        <f t="shared" si="10"/>
        <v>48178</v>
      </c>
      <c r="Z17" s="201">
        <f t="shared" si="11"/>
        <v>47520000</v>
      </c>
    </row>
    <row r="18" spans="1:26" x14ac:dyDescent="0.3">
      <c r="A18" s="162">
        <v>15</v>
      </c>
      <c r="B18" s="163" t="s">
        <v>228</v>
      </c>
      <c r="C18" s="187">
        <v>11700000</v>
      </c>
      <c r="D18" s="187"/>
      <c r="E18" s="162" t="s">
        <v>995</v>
      </c>
      <c r="F18" s="231">
        <v>44749</v>
      </c>
      <c r="G18" s="231">
        <f t="shared" ref="G18:H24" si="12">EDATE(F18,6)</f>
        <v>44933</v>
      </c>
      <c r="H18" s="231">
        <f t="shared" si="12"/>
        <v>45114</v>
      </c>
      <c r="I18" s="231">
        <f t="shared" si="2"/>
        <v>45298</v>
      </c>
      <c r="J18" s="231">
        <f t="shared" si="2"/>
        <v>45480</v>
      </c>
      <c r="K18" s="231">
        <f t="shared" si="2"/>
        <v>45664</v>
      </c>
      <c r="L18" s="231">
        <f t="shared" si="2"/>
        <v>45845</v>
      </c>
      <c r="M18" s="231">
        <f t="shared" si="2"/>
        <v>46029</v>
      </c>
      <c r="N18" s="231">
        <f t="shared" si="2"/>
        <v>46210</v>
      </c>
      <c r="O18" s="231">
        <f t="shared" si="2"/>
        <v>46394</v>
      </c>
      <c r="P18" s="231">
        <f t="shared" si="2"/>
        <v>46575</v>
      </c>
      <c r="Q18" s="231">
        <f t="shared" si="2"/>
        <v>46759</v>
      </c>
      <c r="R18" s="231">
        <f t="shared" si="3"/>
        <v>46941</v>
      </c>
      <c r="S18" s="231">
        <f t="shared" si="4"/>
        <v>47125</v>
      </c>
      <c r="T18" s="231">
        <f t="shared" si="5"/>
        <v>47306</v>
      </c>
      <c r="U18" s="231">
        <f t="shared" si="6"/>
        <v>47490</v>
      </c>
      <c r="V18" s="231">
        <f t="shared" si="7"/>
        <v>47671</v>
      </c>
      <c r="W18" s="231">
        <f t="shared" si="8"/>
        <v>47855</v>
      </c>
      <c r="X18" s="231">
        <f t="shared" si="9"/>
        <v>48036</v>
      </c>
      <c r="Y18" s="231">
        <f t="shared" si="10"/>
        <v>48220</v>
      </c>
      <c r="Z18" s="201">
        <f t="shared" ref="Z18:Z70" si="13">C18*6</f>
        <v>70200000</v>
      </c>
    </row>
    <row r="19" spans="1:26" x14ac:dyDescent="0.3">
      <c r="A19" s="162">
        <v>16</v>
      </c>
      <c r="B19" s="215" t="s">
        <v>287</v>
      </c>
      <c r="C19" s="206">
        <v>8800000</v>
      </c>
      <c r="D19" s="237" t="s">
        <v>996</v>
      </c>
      <c r="E19" s="171" t="s">
        <v>997</v>
      </c>
      <c r="F19" s="232">
        <v>44719</v>
      </c>
      <c r="G19" s="232">
        <f t="shared" si="12"/>
        <v>44902</v>
      </c>
      <c r="H19" s="232">
        <f t="shared" si="12"/>
        <v>45084</v>
      </c>
      <c r="I19" s="232">
        <f t="shared" si="2"/>
        <v>45267</v>
      </c>
      <c r="J19" s="232">
        <f t="shared" si="2"/>
        <v>45450</v>
      </c>
      <c r="K19" s="232">
        <f t="shared" si="2"/>
        <v>45633</v>
      </c>
      <c r="L19" s="232">
        <f t="shared" si="2"/>
        <v>45815</v>
      </c>
      <c r="M19" s="238">
        <f t="shared" si="2"/>
        <v>45998</v>
      </c>
      <c r="N19" s="232">
        <f t="shared" si="2"/>
        <v>46180</v>
      </c>
      <c r="O19" s="231">
        <f t="shared" si="2"/>
        <v>46363</v>
      </c>
      <c r="P19" s="231">
        <f t="shared" si="2"/>
        <v>46545</v>
      </c>
      <c r="Q19" s="231">
        <f t="shared" si="2"/>
        <v>46728</v>
      </c>
      <c r="R19" s="231">
        <f t="shared" si="3"/>
        <v>46911</v>
      </c>
      <c r="S19" s="231">
        <f t="shared" si="4"/>
        <v>47094</v>
      </c>
      <c r="T19" s="231">
        <f t="shared" si="5"/>
        <v>47276</v>
      </c>
      <c r="U19" s="231">
        <f t="shared" si="6"/>
        <v>47459</v>
      </c>
      <c r="V19" s="231">
        <f t="shared" si="7"/>
        <v>47641</v>
      </c>
      <c r="W19" s="231">
        <f t="shared" si="8"/>
        <v>47824</v>
      </c>
      <c r="X19" s="231">
        <f t="shared" si="9"/>
        <v>48006</v>
      </c>
      <c r="Y19" s="231">
        <f t="shared" si="10"/>
        <v>48189</v>
      </c>
      <c r="Z19" s="194">
        <f t="shared" si="13"/>
        <v>52800000</v>
      </c>
    </row>
    <row r="20" spans="1:26" x14ac:dyDescent="0.3">
      <c r="A20" s="162">
        <v>17</v>
      </c>
      <c r="B20" s="163" t="s">
        <v>313</v>
      </c>
      <c r="C20" s="225">
        <v>8000000</v>
      </c>
      <c r="D20" s="187"/>
      <c r="E20" s="162" t="s">
        <v>998</v>
      </c>
      <c r="F20" s="231">
        <v>44783</v>
      </c>
      <c r="G20" s="231">
        <f t="shared" si="12"/>
        <v>44967</v>
      </c>
      <c r="H20" s="231">
        <f t="shared" si="12"/>
        <v>45148</v>
      </c>
      <c r="I20" s="231">
        <f t="shared" si="2"/>
        <v>45332</v>
      </c>
      <c r="J20" s="231">
        <f t="shared" si="2"/>
        <v>45514</v>
      </c>
      <c r="K20" s="231">
        <f t="shared" si="2"/>
        <v>45698</v>
      </c>
      <c r="L20" s="231">
        <f t="shared" si="2"/>
        <v>45879</v>
      </c>
      <c r="M20" s="231">
        <f t="shared" si="2"/>
        <v>46063</v>
      </c>
      <c r="N20" s="231">
        <f t="shared" si="2"/>
        <v>46244</v>
      </c>
      <c r="O20" s="231">
        <f t="shared" si="2"/>
        <v>46428</v>
      </c>
      <c r="P20" s="231">
        <f t="shared" si="2"/>
        <v>46609</v>
      </c>
      <c r="Q20" s="231">
        <f t="shared" si="2"/>
        <v>46793</v>
      </c>
      <c r="R20" s="231">
        <f t="shared" si="3"/>
        <v>46975</v>
      </c>
      <c r="S20" s="231">
        <f t="shared" si="4"/>
        <v>47159</v>
      </c>
      <c r="T20" s="231">
        <f t="shared" si="5"/>
        <v>47340</v>
      </c>
      <c r="U20" s="231">
        <f t="shared" si="6"/>
        <v>47524</v>
      </c>
      <c r="V20" s="231">
        <f t="shared" si="7"/>
        <v>47705</v>
      </c>
      <c r="W20" s="231">
        <f t="shared" si="8"/>
        <v>47889</v>
      </c>
      <c r="X20" s="231">
        <f t="shared" si="9"/>
        <v>48070</v>
      </c>
      <c r="Y20" s="231">
        <f t="shared" si="10"/>
        <v>48254</v>
      </c>
      <c r="Z20" s="201">
        <f t="shared" si="13"/>
        <v>48000000</v>
      </c>
    </row>
    <row r="21" spans="1:26" x14ac:dyDescent="0.3">
      <c r="A21" s="162">
        <v>18</v>
      </c>
      <c r="B21" s="163" t="s">
        <v>344</v>
      </c>
      <c r="C21" s="187">
        <v>5800000</v>
      </c>
      <c r="D21" s="187"/>
      <c r="E21" s="162" t="s">
        <v>999</v>
      </c>
      <c r="F21" s="231">
        <v>44781</v>
      </c>
      <c r="G21" s="231">
        <f t="shared" si="12"/>
        <v>44965</v>
      </c>
      <c r="H21" s="231">
        <f t="shared" si="12"/>
        <v>45146</v>
      </c>
      <c r="I21" s="231">
        <f t="shared" si="2"/>
        <v>45330</v>
      </c>
      <c r="J21" s="231">
        <f t="shared" si="2"/>
        <v>45512</v>
      </c>
      <c r="K21" s="231">
        <f t="shared" si="2"/>
        <v>45696</v>
      </c>
      <c r="L21" s="231">
        <f t="shared" si="2"/>
        <v>45877</v>
      </c>
      <c r="M21" s="231">
        <f t="shared" si="2"/>
        <v>46061</v>
      </c>
      <c r="N21" s="231">
        <f t="shared" si="2"/>
        <v>46242</v>
      </c>
      <c r="O21" s="231">
        <f t="shared" si="2"/>
        <v>46426</v>
      </c>
      <c r="P21" s="231">
        <f t="shared" si="2"/>
        <v>46607</v>
      </c>
      <c r="Q21" s="231">
        <f t="shared" si="2"/>
        <v>46791</v>
      </c>
      <c r="R21" s="231">
        <f t="shared" si="3"/>
        <v>46973</v>
      </c>
      <c r="S21" s="231">
        <f t="shared" si="4"/>
        <v>47157</v>
      </c>
      <c r="T21" s="231">
        <f t="shared" si="5"/>
        <v>47338</v>
      </c>
      <c r="U21" s="231">
        <f t="shared" si="6"/>
        <v>47522</v>
      </c>
      <c r="V21" s="231">
        <f t="shared" si="7"/>
        <v>47703</v>
      </c>
      <c r="W21" s="231">
        <f t="shared" si="8"/>
        <v>47887</v>
      </c>
      <c r="X21" s="231">
        <f t="shared" si="9"/>
        <v>48068</v>
      </c>
      <c r="Y21" s="231">
        <f t="shared" si="10"/>
        <v>48252</v>
      </c>
      <c r="Z21" s="201">
        <f t="shared" si="13"/>
        <v>34800000</v>
      </c>
    </row>
    <row r="22" spans="1:26" x14ac:dyDescent="0.3">
      <c r="A22" s="162">
        <v>19</v>
      </c>
      <c r="B22" s="239" t="s">
        <v>195</v>
      </c>
      <c r="C22" s="240">
        <v>10300000</v>
      </c>
      <c r="D22" s="240"/>
      <c r="E22" s="215" t="s">
        <v>1000</v>
      </c>
      <c r="F22" s="232">
        <v>44813</v>
      </c>
      <c r="G22" s="232">
        <f t="shared" si="12"/>
        <v>44994</v>
      </c>
      <c r="H22" s="232">
        <f t="shared" si="12"/>
        <v>45178</v>
      </c>
      <c r="I22" s="232">
        <f t="shared" si="2"/>
        <v>45360</v>
      </c>
      <c r="J22" s="232">
        <f t="shared" si="2"/>
        <v>45544</v>
      </c>
      <c r="K22" s="232">
        <f t="shared" si="2"/>
        <v>45725</v>
      </c>
      <c r="L22" s="232">
        <f t="shared" si="2"/>
        <v>45909</v>
      </c>
      <c r="M22" s="232">
        <f t="shared" si="2"/>
        <v>46090</v>
      </c>
      <c r="N22" s="232">
        <f t="shared" si="2"/>
        <v>46274</v>
      </c>
      <c r="O22" s="231">
        <f t="shared" si="2"/>
        <v>46455</v>
      </c>
      <c r="P22" s="231">
        <f t="shared" si="2"/>
        <v>46639</v>
      </c>
      <c r="Q22" s="231">
        <f t="shared" si="2"/>
        <v>46821</v>
      </c>
      <c r="R22" s="231">
        <f t="shared" si="3"/>
        <v>47005</v>
      </c>
      <c r="S22" s="231">
        <f t="shared" si="4"/>
        <v>47186</v>
      </c>
      <c r="T22" s="231">
        <f t="shared" si="5"/>
        <v>47370</v>
      </c>
      <c r="U22" s="231">
        <f t="shared" si="6"/>
        <v>47551</v>
      </c>
      <c r="V22" s="231">
        <f t="shared" si="7"/>
        <v>47735</v>
      </c>
      <c r="W22" s="231">
        <f t="shared" si="8"/>
        <v>47916</v>
      </c>
      <c r="X22" s="231">
        <f t="shared" si="9"/>
        <v>48100</v>
      </c>
      <c r="Y22" s="231">
        <f t="shared" si="10"/>
        <v>48282</v>
      </c>
      <c r="Z22" s="241">
        <f t="shared" si="13"/>
        <v>61800000</v>
      </c>
    </row>
    <row r="23" spans="1:26" x14ac:dyDescent="0.3">
      <c r="A23" s="162">
        <v>20</v>
      </c>
      <c r="B23" s="234" t="s">
        <v>527</v>
      </c>
      <c r="C23" s="187">
        <v>12600000</v>
      </c>
      <c r="D23" s="235" t="s">
        <v>1001</v>
      </c>
      <c r="E23" s="162" t="s">
        <v>1002</v>
      </c>
      <c r="F23" s="231">
        <v>44904</v>
      </c>
      <c r="G23" s="231">
        <f t="shared" si="12"/>
        <v>45086</v>
      </c>
      <c r="H23" s="231">
        <f t="shared" si="12"/>
        <v>45269</v>
      </c>
      <c r="I23" s="231">
        <f t="shared" si="2"/>
        <v>45452</v>
      </c>
      <c r="J23" s="231">
        <f t="shared" si="2"/>
        <v>45635</v>
      </c>
      <c r="K23" s="231">
        <f t="shared" si="2"/>
        <v>45817</v>
      </c>
      <c r="L23" s="236">
        <f t="shared" si="2"/>
        <v>46000</v>
      </c>
      <c r="M23" s="231">
        <f t="shared" si="2"/>
        <v>46182</v>
      </c>
      <c r="N23" s="231">
        <f t="shared" si="2"/>
        <v>46365</v>
      </c>
      <c r="O23" s="231">
        <f t="shared" si="2"/>
        <v>46547</v>
      </c>
      <c r="P23" s="231">
        <f t="shared" si="2"/>
        <v>46730</v>
      </c>
      <c r="Q23" s="231">
        <f t="shared" si="2"/>
        <v>46913</v>
      </c>
      <c r="R23" s="231">
        <f t="shared" si="3"/>
        <v>47096</v>
      </c>
      <c r="S23" s="231">
        <f t="shared" si="4"/>
        <v>47278</v>
      </c>
      <c r="T23" s="231">
        <f t="shared" si="5"/>
        <v>47461</v>
      </c>
      <c r="U23" s="231">
        <f t="shared" si="6"/>
        <v>47643</v>
      </c>
      <c r="V23" s="231">
        <f t="shared" si="7"/>
        <v>47826</v>
      </c>
      <c r="W23" s="231">
        <f t="shared" si="8"/>
        <v>48008</v>
      </c>
      <c r="X23" s="231">
        <f t="shared" si="9"/>
        <v>48191</v>
      </c>
      <c r="Y23" s="231">
        <f t="shared" si="10"/>
        <v>48374</v>
      </c>
      <c r="Z23" s="201">
        <f t="shared" si="13"/>
        <v>75600000</v>
      </c>
    </row>
    <row r="24" spans="1:26" x14ac:dyDescent="0.3">
      <c r="A24" s="162">
        <v>21</v>
      </c>
      <c r="B24" s="163" t="s">
        <v>106</v>
      </c>
      <c r="C24" s="187">
        <v>11200000</v>
      </c>
      <c r="D24" s="187"/>
      <c r="E24" s="162" t="s">
        <v>1003</v>
      </c>
      <c r="F24" s="231">
        <v>44785</v>
      </c>
      <c r="G24" s="231">
        <f t="shared" si="12"/>
        <v>44969</v>
      </c>
      <c r="H24" s="231">
        <f t="shared" si="12"/>
        <v>45150</v>
      </c>
      <c r="I24" s="231">
        <f t="shared" si="2"/>
        <v>45334</v>
      </c>
      <c r="J24" s="231">
        <f t="shared" si="2"/>
        <v>45516</v>
      </c>
      <c r="K24" s="231">
        <f t="shared" si="2"/>
        <v>45700</v>
      </c>
      <c r="L24" s="231">
        <f t="shared" si="2"/>
        <v>45881</v>
      </c>
      <c r="M24" s="231">
        <f t="shared" si="2"/>
        <v>46065</v>
      </c>
      <c r="N24" s="231">
        <f t="shared" si="2"/>
        <v>46246</v>
      </c>
      <c r="O24" s="231">
        <f t="shared" si="2"/>
        <v>46430</v>
      </c>
      <c r="P24" s="231">
        <f t="shared" si="2"/>
        <v>46611</v>
      </c>
      <c r="Q24" s="231">
        <f t="shared" si="2"/>
        <v>46795</v>
      </c>
      <c r="R24" s="231">
        <f t="shared" si="3"/>
        <v>46977</v>
      </c>
      <c r="S24" s="231">
        <f t="shared" si="4"/>
        <v>47161</v>
      </c>
      <c r="T24" s="231">
        <f t="shared" si="5"/>
        <v>47342</v>
      </c>
      <c r="U24" s="231">
        <f t="shared" si="6"/>
        <v>47526</v>
      </c>
      <c r="V24" s="231">
        <f t="shared" si="7"/>
        <v>47707</v>
      </c>
      <c r="W24" s="231">
        <f t="shared" si="8"/>
        <v>47891</v>
      </c>
      <c r="X24" s="231">
        <f t="shared" si="9"/>
        <v>48072</v>
      </c>
      <c r="Y24" s="231">
        <f t="shared" si="10"/>
        <v>48256</v>
      </c>
      <c r="Z24" s="201">
        <f t="shared" si="13"/>
        <v>67200000</v>
      </c>
    </row>
    <row r="25" spans="1:26" x14ac:dyDescent="0.3">
      <c r="A25" s="162">
        <v>22</v>
      </c>
      <c r="B25" s="242" t="s">
        <v>400</v>
      </c>
      <c r="C25" s="206">
        <v>10700000</v>
      </c>
      <c r="D25" s="206"/>
      <c r="E25" s="171" t="s">
        <v>1004</v>
      </c>
      <c r="F25" s="232">
        <v>44816</v>
      </c>
      <c r="G25" s="232">
        <f>EDATE(F25,3)</f>
        <v>44907</v>
      </c>
      <c r="H25" s="232">
        <f>EDATE(G25,3)</f>
        <v>44997</v>
      </c>
      <c r="I25" s="232">
        <f>EDATE(H25,6)</f>
        <v>45181</v>
      </c>
      <c r="J25" s="232">
        <f t="shared" ref="J25:Q60" si="14">EDATE(I25,6)</f>
        <v>45363</v>
      </c>
      <c r="K25" s="232">
        <f t="shared" si="14"/>
        <v>45547</v>
      </c>
      <c r="L25" s="232">
        <f t="shared" si="14"/>
        <v>45728</v>
      </c>
      <c r="M25" s="232">
        <f t="shared" si="14"/>
        <v>45912</v>
      </c>
      <c r="N25" s="232">
        <f t="shared" si="14"/>
        <v>46093</v>
      </c>
      <c r="O25" s="231">
        <f t="shared" si="14"/>
        <v>46277</v>
      </c>
      <c r="P25" s="231">
        <f t="shared" si="14"/>
        <v>46458</v>
      </c>
      <c r="Q25" s="231">
        <f t="shared" si="14"/>
        <v>46642</v>
      </c>
      <c r="R25" s="231">
        <f t="shared" si="3"/>
        <v>46824</v>
      </c>
      <c r="S25" s="231">
        <f t="shared" si="4"/>
        <v>47008</v>
      </c>
      <c r="T25" s="231">
        <f t="shared" si="5"/>
        <v>47189</v>
      </c>
      <c r="U25" s="231">
        <f t="shared" si="6"/>
        <v>47373</v>
      </c>
      <c r="V25" s="231">
        <f t="shared" si="7"/>
        <v>47554</v>
      </c>
      <c r="W25" s="231">
        <f t="shared" si="8"/>
        <v>47738</v>
      </c>
      <c r="X25" s="231">
        <f t="shared" si="9"/>
        <v>47919</v>
      </c>
      <c r="Y25" s="231">
        <f t="shared" si="10"/>
        <v>48103</v>
      </c>
      <c r="Z25" s="194">
        <f t="shared" si="13"/>
        <v>64200000</v>
      </c>
    </row>
    <row r="26" spans="1:26" x14ac:dyDescent="0.3">
      <c r="A26" s="162">
        <v>23</v>
      </c>
      <c r="B26" s="163" t="s">
        <v>420</v>
      </c>
      <c r="C26" s="187">
        <v>10200000</v>
      </c>
      <c r="D26" s="187"/>
      <c r="E26" s="162" t="s">
        <v>1005</v>
      </c>
      <c r="F26" s="231">
        <v>44837</v>
      </c>
      <c r="G26" s="231">
        <f t="shared" ref="G26:I40" si="15">EDATE(F26,6)</f>
        <v>45019</v>
      </c>
      <c r="H26" s="231">
        <f t="shared" si="15"/>
        <v>45202</v>
      </c>
      <c r="I26" s="231">
        <f>EDATE(H26,6)</f>
        <v>45385</v>
      </c>
      <c r="J26" s="231">
        <f t="shared" si="14"/>
        <v>45568</v>
      </c>
      <c r="K26" s="231">
        <f t="shared" si="14"/>
        <v>45750</v>
      </c>
      <c r="L26" s="231">
        <f t="shared" si="14"/>
        <v>45933</v>
      </c>
      <c r="M26" s="236">
        <f t="shared" si="14"/>
        <v>46115</v>
      </c>
      <c r="N26" s="231">
        <f t="shared" si="14"/>
        <v>46298</v>
      </c>
      <c r="O26" s="231">
        <f t="shared" si="14"/>
        <v>46480</v>
      </c>
      <c r="P26" s="231">
        <f t="shared" si="14"/>
        <v>46663</v>
      </c>
      <c r="Q26" s="231">
        <f t="shared" si="14"/>
        <v>46846</v>
      </c>
      <c r="R26" s="231">
        <f t="shared" si="3"/>
        <v>47029</v>
      </c>
      <c r="S26" s="231">
        <f t="shared" si="4"/>
        <v>47211</v>
      </c>
      <c r="T26" s="231">
        <f t="shared" si="5"/>
        <v>47394</v>
      </c>
      <c r="U26" s="231">
        <f t="shared" si="6"/>
        <v>47576</v>
      </c>
      <c r="V26" s="231">
        <f t="shared" si="7"/>
        <v>47759</v>
      </c>
      <c r="W26" s="231">
        <f t="shared" si="8"/>
        <v>47941</v>
      </c>
      <c r="X26" s="231">
        <f t="shared" si="9"/>
        <v>48124</v>
      </c>
      <c r="Y26" s="231">
        <f t="shared" si="10"/>
        <v>48307</v>
      </c>
      <c r="Z26" s="201">
        <f t="shared" si="13"/>
        <v>61200000</v>
      </c>
    </row>
    <row r="27" spans="1:26" x14ac:dyDescent="0.3">
      <c r="A27" s="162">
        <v>24</v>
      </c>
      <c r="B27" s="163" t="s">
        <v>426</v>
      </c>
      <c r="C27" s="187">
        <v>5700000</v>
      </c>
      <c r="D27" s="187"/>
      <c r="E27" s="162" t="s">
        <v>17</v>
      </c>
      <c r="F27" s="231">
        <v>44870</v>
      </c>
      <c r="G27" s="231">
        <f t="shared" si="15"/>
        <v>45051</v>
      </c>
      <c r="H27" s="231">
        <f t="shared" si="15"/>
        <v>45235</v>
      </c>
      <c r="I27" s="231">
        <f>EDATE(H27,6)</f>
        <v>45417</v>
      </c>
      <c r="J27" s="231">
        <f t="shared" si="14"/>
        <v>45601</v>
      </c>
      <c r="K27" s="231">
        <f t="shared" si="14"/>
        <v>45782</v>
      </c>
      <c r="L27" s="231">
        <f t="shared" si="14"/>
        <v>45966</v>
      </c>
      <c r="M27" s="231">
        <f t="shared" si="14"/>
        <v>46147</v>
      </c>
      <c r="N27" s="231">
        <f t="shared" si="14"/>
        <v>46331</v>
      </c>
      <c r="O27" s="231">
        <f t="shared" si="14"/>
        <v>46512</v>
      </c>
      <c r="P27" s="231">
        <f t="shared" si="14"/>
        <v>46696</v>
      </c>
      <c r="Q27" s="231">
        <f t="shared" si="14"/>
        <v>46878</v>
      </c>
      <c r="R27" s="231">
        <f t="shared" si="3"/>
        <v>47062</v>
      </c>
      <c r="S27" s="231">
        <f t="shared" si="4"/>
        <v>47243</v>
      </c>
      <c r="T27" s="231">
        <f t="shared" si="5"/>
        <v>47427</v>
      </c>
      <c r="U27" s="231">
        <f t="shared" si="6"/>
        <v>47608</v>
      </c>
      <c r="V27" s="231">
        <f t="shared" si="7"/>
        <v>47792</v>
      </c>
      <c r="W27" s="231">
        <f t="shared" si="8"/>
        <v>47973</v>
      </c>
      <c r="X27" s="231">
        <f t="shared" si="9"/>
        <v>48157</v>
      </c>
      <c r="Y27" s="231">
        <f t="shared" si="10"/>
        <v>48339</v>
      </c>
      <c r="Z27" s="201">
        <f t="shared" si="13"/>
        <v>34200000</v>
      </c>
    </row>
    <row r="28" spans="1:26" x14ac:dyDescent="0.3">
      <c r="A28" s="162">
        <v>25</v>
      </c>
      <c r="B28" s="215" t="s">
        <v>428</v>
      </c>
      <c r="C28" s="206">
        <v>12600000</v>
      </c>
      <c r="D28" s="206"/>
      <c r="E28" s="171" t="s">
        <v>17</v>
      </c>
      <c r="F28" s="232">
        <v>44852</v>
      </c>
      <c r="G28" s="232">
        <f t="shared" si="15"/>
        <v>45034</v>
      </c>
      <c r="H28" s="232">
        <f t="shared" si="15"/>
        <v>45217</v>
      </c>
      <c r="I28" s="232">
        <f>EDATE(H28,6)</f>
        <v>45400</v>
      </c>
      <c r="J28" s="232">
        <f t="shared" si="14"/>
        <v>45583</v>
      </c>
      <c r="K28" s="232">
        <f t="shared" si="14"/>
        <v>45765</v>
      </c>
      <c r="L28" s="231">
        <f t="shared" si="14"/>
        <v>45948</v>
      </c>
      <c r="M28" s="231">
        <f t="shared" si="14"/>
        <v>46130</v>
      </c>
      <c r="N28" s="231">
        <f t="shared" si="14"/>
        <v>46313</v>
      </c>
      <c r="O28" s="231">
        <f t="shared" si="14"/>
        <v>46495</v>
      </c>
      <c r="P28" s="231">
        <f t="shared" si="14"/>
        <v>46678</v>
      </c>
      <c r="Q28" s="231">
        <f t="shared" si="14"/>
        <v>46861</v>
      </c>
      <c r="R28" s="231">
        <f t="shared" si="3"/>
        <v>47044</v>
      </c>
      <c r="S28" s="231">
        <f t="shared" si="4"/>
        <v>47226</v>
      </c>
      <c r="T28" s="231">
        <f t="shared" si="5"/>
        <v>47409</v>
      </c>
      <c r="U28" s="231">
        <f t="shared" si="6"/>
        <v>47591</v>
      </c>
      <c r="V28" s="231">
        <f t="shared" si="7"/>
        <v>47774</v>
      </c>
      <c r="W28" s="231">
        <f t="shared" si="8"/>
        <v>47956</v>
      </c>
      <c r="X28" s="231">
        <f t="shared" si="9"/>
        <v>48139</v>
      </c>
      <c r="Y28" s="231">
        <f t="shared" si="10"/>
        <v>48322</v>
      </c>
      <c r="Z28" s="194">
        <f t="shared" si="13"/>
        <v>75600000</v>
      </c>
    </row>
    <row r="29" spans="1:26" x14ac:dyDescent="0.3">
      <c r="A29" s="162">
        <v>26</v>
      </c>
      <c r="B29" s="234" t="s">
        <v>340</v>
      </c>
      <c r="C29" s="187">
        <v>10000000</v>
      </c>
      <c r="D29" s="235" t="s">
        <v>1006</v>
      </c>
      <c r="E29" s="162" t="s">
        <v>1007</v>
      </c>
      <c r="F29" s="231">
        <v>44908</v>
      </c>
      <c r="G29" s="231">
        <f t="shared" si="15"/>
        <v>45090</v>
      </c>
      <c r="H29" s="231">
        <f t="shared" si="15"/>
        <v>45273</v>
      </c>
      <c r="I29" s="231">
        <f t="shared" si="15"/>
        <v>45456</v>
      </c>
      <c r="J29" s="231">
        <f t="shared" si="14"/>
        <v>45639</v>
      </c>
      <c r="K29" s="231">
        <f t="shared" si="14"/>
        <v>45821</v>
      </c>
      <c r="L29" s="236">
        <f t="shared" si="14"/>
        <v>46004</v>
      </c>
      <c r="M29" s="231">
        <f t="shared" si="14"/>
        <v>46186</v>
      </c>
      <c r="N29" s="231">
        <f t="shared" si="14"/>
        <v>46369</v>
      </c>
      <c r="O29" s="231">
        <f t="shared" si="14"/>
        <v>46551</v>
      </c>
      <c r="P29" s="231">
        <f t="shared" si="14"/>
        <v>46734</v>
      </c>
      <c r="Q29" s="231">
        <f t="shared" si="14"/>
        <v>46917</v>
      </c>
      <c r="R29" s="231">
        <f t="shared" si="3"/>
        <v>47100</v>
      </c>
      <c r="S29" s="231">
        <f t="shared" si="4"/>
        <v>47282</v>
      </c>
      <c r="T29" s="231">
        <f t="shared" si="5"/>
        <v>47465</v>
      </c>
      <c r="U29" s="231">
        <f t="shared" si="6"/>
        <v>47647</v>
      </c>
      <c r="V29" s="231">
        <f t="shared" si="7"/>
        <v>47830</v>
      </c>
      <c r="W29" s="231">
        <f t="shared" si="8"/>
        <v>48012</v>
      </c>
      <c r="X29" s="231">
        <f t="shared" si="9"/>
        <v>48195</v>
      </c>
      <c r="Y29" s="231">
        <f t="shared" si="10"/>
        <v>48378</v>
      </c>
      <c r="Z29" s="201">
        <f t="shared" si="13"/>
        <v>60000000</v>
      </c>
    </row>
    <row r="30" spans="1:26" x14ac:dyDescent="0.3">
      <c r="A30" s="162">
        <v>27</v>
      </c>
      <c r="B30" s="163" t="s">
        <v>449</v>
      </c>
      <c r="C30" s="187">
        <v>12000000</v>
      </c>
      <c r="D30" s="187"/>
      <c r="E30" s="162" t="s">
        <v>17</v>
      </c>
      <c r="F30" s="231">
        <v>44851</v>
      </c>
      <c r="G30" s="231">
        <f t="shared" si="15"/>
        <v>45033</v>
      </c>
      <c r="H30" s="231">
        <f t="shared" si="15"/>
        <v>45216</v>
      </c>
      <c r="I30" s="231">
        <f t="shared" si="15"/>
        <v>45399</v>
      </c>
      <c r="J30" s="231">
        <f t="shared" si="14"/>
        <v>45582</v>
      </c>
      <c r="K30" s="231">
        <f t="shared" si="14"/>
        <v>45764</v>
      </c>
      <c r="L30" s="231">
        <f t="shared" si="14"/>
        <v>45947</v>
      </c>
      <c r="M30" s="231">
        <f t="shared" si="14"/>
        <v>46129</v>
      </c>
      <c r="N30" s="231">
        <f t="shared" si="14"/>
        <v>46312</v>
      </c>
      <c r="O30" s="231">
        <f t="shared" si="14"/>
        <v>46494</v>
      </c>
      <c r="P30" s="231">
        <f t="shared" si="14"/>
        <v>46677</v>
      </c>
      <c r="Q30" s="231">
        <f t="shared" si="14"/>
        <v>46860</v>
      </c>
      <c r="R30" s="231">
        <f t="shared" si="3"/>
        <v>47043</v>
      </c>
      <c r="S30" s="231">
        <f t="shared" si="4"/>
        <v>47225</v>
      </c>
      <c r="T30" s="231">
        <f t="shared" si="5"/>
        <v>47408</v>
      </c>
      <c r="U30" s="231">
        <f t="shared" si="6"/>
        <v>47590</v>
      </c>
      <c r="V30" s="231">
        <f t="shared" si="7"/>
        <v>47773</v>
      </c>
      <c r="W30" s="231">
        <f t="shared" si="8"/>
        <v>47955</v>
      </c>
      <c r="X30" s="231">
        <f t="shared" si="9"/>
        <v>48138</v>
      </c>
      <c r="Y30" s="231">
        <f t="shared" si="10"/>
        <v>48321</v>
      </c>
      <c r="Z30" s="201">
        <f t="shared" si="13"/>
        <v>72000000</v>
      </c>
    </row>
    <row r="31" spans="1:26" x14ac:dyDescent="0.3">
      <c r="A31" s="162">
        <v>28</v>
      </c>
      <c r="B31" s="163" t="s">
        <v>455</v>
      </c>
      <c r="C31" s="187">
        <v>7900000</v>
      </c>
      <c r="D31" s="187"/>
      <c r="E31" s="162" t="s">
        <v>17</v>
      </c>
      <c r="F31" s="231">
        <v>44875</v>
      </c>
      <c r="G31" s="231">
        <f t="shared" si="15"/>
        <v>45056</v>
      </c>
      <c r="H31" s="231">
        <f t="shared" si="15"/>
        <v>45240</v>
      </c>
      <c r="I31" s="231">
        <f t="shared" si="15"/>
        <v>45422</v>
      </c>
      <c r="J31" s="231">
        <f t="shared" si="14"/>
        <v>45606</v>
      </c>
      <c r="K31" s="231">
        <f t="shared" si="14"/>
        <v>45787</v>
      </c>
      <c r="L31" s="231">
        <f t="shared" si="14"/>
        <v>45971</v>
      </c>
      <c r="M31" s="231">
        <f t="shared" si="14"/>
        <v>46152</v>
      </c>
      <c r="N31" s="231">
        <f t="shared" si="14"/>
        <v>46336</v>
      </c>
      <c r="O31" s="231">
        <f t="shared" si="14"/>
        <v>46517</v>
      </c>
      <c r="P31" s="231">
        <f t="shared" si="14"/>
        <v>46701</v>
      </c>
      <c r="Q31" s="231">
        <f t="shared" si="14"/>
        <v>46883</v>
      </c>
      <c r="R31" s="231">
        <f t="shared" si="3"/>
        <v>47067</v>
      </c>
      <c r="S31" s="231">
        <f t="shared" si="4"/>
        <v>47248</v>
      </c>
      <c r="T31" s="231">
        <f t="shared" si="5"/>
        <v>47432</v>
      </c>
      <c r="U31" s="231">
        <f t="shared" si="6"/>
        <v>47613</v>
      </c>
      <c r="V31" s="231">
        <f t="shared" si="7"/>
        <v>47797</v>
      </c>
      <c r="W31" s="231">
        <f t="shared" si="8"/>
        <v>47978</v>
      </c>
      <c r="X31" s="231">
        <f t="shared" si="9"/>
        <v>48162</v>
      </c>
      <c r="Y31" s="231">
        <f t="shared" si="10"/>
        <v>48344</v>
      </c>
      <c r="Z31" s="201">
        <f t="shared" si="13"/>
        <v>47400000</v>
      </c>
    </row>
    <row r="32" spans="1:26" x14ac:dyDescent="0.3">
      <c r="A32" s="162">
        <v>29</v>
      </c>
      <c r="B32" s="243" t="s">
        <v>461</v>
      </c>
      <c r="C32" s="206">
        <v>10600000</v>
      </c>
      <c r="D32" s="237" t="s">
        <v>1008</v>
      </c>
      <c r="E32" s="171" t="s">
        <v>1009</v>
      </c>
      <c r="F32" s="232">
        <v>44911</v>
      </c>
      <c r="G32" s="232">
        <f t="shared" si="15"/>
        <v>45093</v>
      </c>
      <c r="H32" s="232">
        <f t="shared" si="15"/>
        <v>45276</v>
      </c>
      <c r="I32" s="232">
        <f t="shared" si="15"/>
        <v>45459</v>
      </c>
      <c r="J32" s="232">
        <f t="shared" si="14"/>
        <v>45642</v>
      </c>
      <c r="K32" s="232">
        <f t="shared" si="14"/>
        <v>45824</v>
      </c>
      <c r="L32" s="236">
        <f t="shared" si="14"/>
        <v>46007</v>
      </c>
      <c r="M32" s="231">
        <f t="shared" si="14"/>
        <v>46189</v>
      </c>
      <c r="N32" s="231">
        <f t="shared" si="14"/>
        <v>46372</v>
      </c>
      <c r="O32" s="231">
        <f t="shared" si="14"/>
        <v>46554</v>
      </c>
      <c r="P32" s="231">
        <f t="shared" si="14"/>
        <v>46737</v>
      </c>
      <c r="Q32" s="231">
        <f t="shared" si="14"/>
        <v>46920</v>
      </c>
      <c r="R32" s="231">
        <f t="shared" si="3"/>
        <v>47103</v>
      </c>
      <c r="S32" s="231">
        <f t="shared" si="4"/>
        <v>47285</v>
      </c>
      <c r="T32" s="231">
        <f t="shared" si="5"/>
        <v>47468</v>
      </c>
      <c r="U32" s="231">
        <f t="shared" si="6"/>
        <v>47650</v>
      </c>
      <c r="V32" s="231">
        <f t="shared" si="7"/>
        <v>47833</v>
      </c>
      <c r="W32" s="231">
        <f t="shared" si="8"/>
        <v>48015</v>
      </c>
      <c r="X32" s="231">
        <f t="shared" si="9"/>
        <v>48198</v>
      </c>
      <c r="Y32" s="231">
        <f t="shared" si="10"/>
        <v>48381</v>
      </c>
      <c r="Z32" s="194">
        <f t="shared" si="13"/>
        <v>63600000</v>
      </c>
    </row>
    <row r="33" spans="1:26" x14ac:dyDescent="0.3">
      <c r="A33" s="162">
        <v>30</v>
      </c>
      <c r="B33" s="234" t="s">
        <v>467</v>
      </c>
      <c r="C33" s="187">
        <v>11000000</v>
      </c>
      <c r="D33" s="235" t="s">
        <v>1010</v>
      </c>
      <c r="E33" s="162" t="s">
        <v>17</v>
      </c>
      <c r="F33" s="231">
        <v>44907</v>
      </c>
      <c r="G33" s="231">
        <f t="shared" si="15"/>
        <v>45089</v>
      </c>
      <c r="H33" s="231">
        <f t="shared" si="15"/>
        <v>45272</v>
      </c>
      <c r="I33" s="231">
        <f t="shared" si="15"/>
        <v>45455</v>
      </c>
      <c r="J33" s="231">
        <f t="shared" si="14"/>
        <v>45638</v>
      </c>
      <c r="K33" s="231">
        <f t="shared" si="14"/>
        <v>45820</v>
      </c>
      <c r="L33" s="236">
        <f t="shared" si="14"/>
        <v>46003</v>
      </c>
      <c r="M33" s="231">
        <f t="shared" si="14"/>
        <v>46185</v>
      </c>
      <c r="N33" s="231">
        <f t="shared" si="14"/>
        <v>46368</v>
      </c>
      <c r="O33" s="231">
        <f t="shared" si="14"/>
        <v>46550</v>
      </c>
      <c r="P33" s="231">
        <f t="shared" si="14"/>
        <v>46733</v>
      </c>
      <c r="Q33" s="231">
        <f t="shared" si="14"/>
        <v>46916</v>
      </c>
      <c r="R33" s="231">
        <f t="shared" si="3"/>
        <v>47099</v>
      </c>
      <c r="S33" s="231">
        <f t="shared" si="4"/>
        <v>47281</v>
      </c>
      <c r="T33" s="231">
        <f t="shared" si="5"/>
        <v>47464</v>
      </c>
      <c r="U33" s="231">
        <f t="shared" si="6"/>
        <v>47646</v>
      </c>
      <c r="V33" s="231">
        <f t="shared" si="7"/>
        <v>47829</v>
      </c>
      <c r="W33" s="231">
        <f t="shared" si="8"/>
        <v>48011</v>
      </c>
      <c r="X33" s="231">
        <f t="shared" si="9"/>
        <v>48194</v>
      </c>
      <c r="Y33" s="231">
        <f t="shared" si="10"/>
        <v>48377</v>
      </c>
      <c r="Z33" s="201">
        <f t="shared" si="13"/>
        <v>66000000</v>
      </c>
    </row>
    <row r="34" spans="1:26" x14ac:dyDescent="0.3">
      <c r="A34" s="162">
        <v>31</v>
      </c>
      <c r="B34" s="163" t="s">
        <v>141</v>
      </c>
      <c r="C34" s="187">
        <v>11300000</v>
      </c>
      <c r="D34" s="187"/>
      <c r="E34" s="162" t="s">
        <v>17</v>
      </c>
      <c r="F34" s="231">
        <v>44870</v>
      </c>
      <c r="G34" s="231">
        <f t="shared" si="15"/>
        <v>45051</v>
      </c>
      <c r="H34" s="231">
        <f t="shared" si="15"/>
        <v>45235</v>
      </c>
      <c r="I34" s="231">
        <f t="shared" si="15"/>
        <v>45417</v>
      </c>
      <c r="J34" s="231">
        <f t="shared" si="14"/>
        <v>45601</v>
      </c>
      <c r="K34" s="231">
        <f t="shared" si="14"/>
        <v>45782</v>
      </c>
      <c r="L34" s="231">
        <f t="shared" si="14"/>
        <v>45966</v>
      </c>
      <c r="M34" s="231">
        <f t="shared" si="14"/>
        <v>46147</v>
      </c>
      <c r="N34" s="231">
        <f t="shared" si="14"/>
        <v>46331</v>
      </c>
      <c r="O34" s="231">
        <f t="shared" si="14"/>
        <v>46512</v>
      </c>
      <c r="P34" s="231">
        <f t="shared" si="14"/>
        <v>46696</v>
      </c>
      <c r="Q34" s="231">
        <f t="shared" si="14"/>
        <v>46878</v>
      </c>
      <c r="R34" s="231">
        <f t="shared" si="3"/>
        <v>47062</v>
      </c>
      <c r="S34" s="231">
        <f t="shared" si="4"/>
        <v>47243</v>
      </c>
      <c r="T34" s="231">
        <f t="shared" si="5"/>
        <v>47427</v>
      </c>
      <c r="U34" s="231">
        <f t="shared" si="6"/>
        <v>47608</v>
      </c>
      <c r="V34" s="231">
        <f t="shared" si="7"/>
        <v>47792</v>
      </c>
      <c r="W34" s="231">
        <f t="shared" si="8"/>
        <v>47973</v>
      </c>
      <c r="X34" s="231">
        <f t="shared" si="9"/>
        <v>48157</v>
      </c>
      <c r="Y34" s="231">
        <f t="shared" si="10"/>
        <v>48339</v>
      </c>
      <c r="Z34" s="201">
        <f t="shared" si="13"/>
        <v>67800000</v>
      </c>
    </row>
    <row r="35" spans="1:26" x14ac:dyDescent="0.3">
      <c r="A35" s="162">
        <v>32</v>
      </c>
      <c r="B35" s="234" t="s">
        <v>478</v>
      </c>
      <c r="C35" s="187">
        <v>11000000</v>
      </c>
      <c r="D35" s="235" t="s">
        <v>1011</v>
      </c>
      <c r="E35" s="162" t="s">
        <v>17</v>
      </c>
      <c r="F35" s="231">
        <v>44910</v>
      </c>
      <c r="G35" s="231">
        <f t="shared" si="15"/>
        <v>45092</v>
      </c>
      <c r="H35" s="231">
        <f t="shared" si="15"/>
        <v>45275</v>
      </c>
      <c r="I35" s="231">
        <f t="shared" si="15"/>
        <v>45458</v>
      </c>
      <c r="J35" s="231">
        <f t="shared" si="14"/>
        <v>45641</v>
      </c>
      <c r="K35" s="231">
        <f t="shared" si="14"/>
        <v>45823</v>
      </c>
      <c r="L35" s="236">
        <f t="shared" si="14"/>
        <v>46006</v>
      </c>
      <c r="M35" s="231">
        <f t="shared" si="14"/>
        <v>46188</v>
      </c>
      <c r="N35" s="231">
        <f t="shared" si="14"/>
        <v>46371</v>
      </c>
      <c r="O35" s="231">
        <f t="shared" si="14"/>
        <v>46553</v>
      </c>
      <c r="P35" s="231">
        <f t="shared" si="14"/>
        <v>46736</v>
      </c>
      <c r="Q35" s="231">
        <f t="shared" si="14"/>
        <v>46919</v>
      </c>
      <c r="R35" s="231">
        <f t="shared" si="3"/>
        <v>47102</v>
      </c>
      <c r="S35" s="231">
        <f t="shared" si="4"/>
        <v>47284</v>
      </c>
      <c r="T35" s="231">
        <f t="shared" si="5"/>
        <v>47467</v>
      </c>
      <c r="U35" s="231">
        <f t="shared" si="6"/>
        <v>47649</v>
      </c>
      <c r="V35" s="231">
        <f t="shared" si="7"/>
        <v>47832</v>
      </c>
      <c r="W35" s="231">
        <f t="shared" si="8"/>
        <v>48014</v>
      </c>
      <c r="X35" s="231">
        <f t="shared" si="9"/>
        <v>48197</v>
      </c>
      <c r="Y35" s="231">
        <f t="shared" si="10"/>
        <v>48380</v>
      </c>
      <c r="Z35" s="201">
        <f t="shared" si="13"/>
        <v>66000000</v>
      </c>
    </row>
    <row r="36" spans="1:26" x14ac:dyDescent="0.3">
      <c r="A36" s="162">
        <v>33</v>
      </c>
      <c r="B36" s="243" t="s">
        <v>493</v>
      </c>
      <c r="C36" s="206">
        <v>11700000</v>
      </c>
      <c r="D36" s="237" t="s">
        <v>1012</v>
      </c>
      <c r="E36" s="171" t="s">
        <v>1007</v>
      </c>
      <c r="F36" s="232">
        <v>44908</v>
      </c>
      <c r="G36" s="232">
        <f t="shared" si="15"/>
        <v>45090</v>
      </c>
      <c r="H36" s="232">
        <f t="shared" si="15"/>
        <v>45273</v>
      </c>
      <c r="I36" s="232">
        <f t="shared" si="15"/>
        <v>45456</v>
      </c>
      <c r="J36" s="232">
        <f t="shared" si="14"/>
        <v>45639</v>
      </c>
      <c r="K36" s="232">
        <f t="shared" si="14"/>
        <v>45821</v>
      </c>
      <c r="L36" s="236">
        <f t="shared" si="14"/>
        <v>46004</v>
      </c>
      <c r="M36" s="231">
        <f t="shared" si="14"/>
        <v>46186</v>
      </c>
      <c r="N36" s="231">
        <f t="shared" si="14"/>
        <v>46369</v>
      </c>
      <c r="O36" s="231">
        <f t="shared" si="14"/>
        <v>46551</v>
      </c>
      <c r="P36" s="231">
        <f t="shared" si="14"/>
        <v>46734</v>
      </c>
      <c r="Q36" s="231">
        <f t="shared" si="14"/>
        <v>46917</v>
      </c>
      <c r="R36" s="231">
        <f t="shared" si="3"/>
        <v>47100</v>
      </c>
      <c r="S36" s="231">
        <f t="shared" si="4"/>
        <v>47282</v>
      </c>
      <c r="T36" s="231">
        <f t="shared" si="5"/>
        <v>47465</v>
      </c>
      <c r="U36" s="231">
        <f t="shared" si="6"/>
        <v>47647</v>
      </c>
      <c r="V36" s="231">
        <f t="shared" si="7"/>
        <v>47830</v>
      </c>
      <c r="W36" s="231">
        <f t="shared" si="8"/>
        <v>48012</v>
      </c>
      <c r="X36" s="231">
        <f t="shared" si="9"/>
        <v>48195</v>
      </c>
      <c r="Y36" s="231">
        <f t="shared" si="10"/>
        <v>48378</v>
      </c>
      <c r="Z36" s="194">
        <f t="shared" si="13"/>
        <v>70200000</v>
      </c>
    </row>
    <row r="37" spans="1:26" x14ac:dyDescent="0.3">
      <c r="A37" s="162">
        <v>34</v>
      </c>
      <c r="B37" s="234" t="s">
        <v>492</v>
      </c>
      <c r="C37" s="187">
        <v>12600000</v>
      </c>
      <c r="D37" s="237" t="s">
        <v>1013</v>
      </c>
      <c r="E37" s="162" t="s">
        <v>1014</v>
      </c>
      <c r="F37" s="231">
        <v>44909</v>
      </c>
      <c r="G37" s="231">
        <f t="shared" si="15"/>
        <v>45091</v>
      </c>
      <c r="H37" s="231">
        <f t="shared" si="15"/>
        <v>45274</v>
      </c>
      <c r="I37" s="231">
        <f t="shared" si="15"/>
        <v>45457</v>
      </c>
      <c r="J37" s="231">
        <f t="shared" si="14"/>
        <v>45640</v>
      </c>
      <c r="K37" s="231">
        <f t="shared" si="14"/>
        <v>45822</v>
      </c>
      <c r="L37" s="236">
        <f t="shared" si="14"/>
        <v>46005</v>
      </c>
      <c r="M37" s="231">
        <f t="shared" si="14"/>
        <v>46187</v>
      </c>
      <c r="N37" s="231">
        <f t="shared" si="14"/>
        <v>46370</v>
      </c>
      <c r="O37" s="231">
        <f t="shared" si="14"/>
        <v>46552</v>
      </c>
      <c r="P37" s="231">
        <f t="shared" si="14"/>
        <v>46735</v>
      </c>
      <c r="Q37" s="231">
        <f t="shared" si="14"/>
        <v>46918</v>
      </c>
      <c r="R37" s="231">
        <f t="shared" si="3"/>
        <v>47101</v>
      </c>
      <c r="S37" s="231">
        <f t="shared" si="4"/>
        <v>47283</v>
      </c>
      <c r="T37" s="231">
        <f t="shared" si="5"/>
        <v>47466</v>
      </c>
      <c r="U37" s="231">
        <f t="shared" si="6"/>
        <v>47648</v>
      </c>
      <c r="V37" s="231">
        <f t="shared" si="7"/>
        <v>47831</v>
      </c>
      <c r="W37" s="231">
        <f t="shared" si="8"/>
        <v>48013</v>
      </c>
      <c r="X37" s="231">
        <f t="shared" si="9"/>
        <v>48196</v>
      </c>
      <c r="Y37" s="231">
        <f t="shared" si="10"/>
        <v>48379</v>
      </c>
      <c r="Z37" s="201">
        <f t="shared" si="13"/>
        <v>75600000</v>
      </c>
    </row>
    <row r="38" spans="1:26" x14ac:dyDescent="0.3">
      <c r="A38" s="162" t="s">
        <v>1137</v>
      </c>
      <c r="B38" s="210" t="s">
        <v>1015</v>
      </c>
      <c r="C38" s="187">
        <v>8030000</v>
      </c>
      <c r="D38" s="187"/>
      <c r="E38" s="162" t="s">
        <v>1016</v>
      </c>
      <c r="F38" s="231">
        <v>44748</v>
      </c>
      <c r="G38" s="231">
        <f t="shared" si="15"/>
        <v>44932</v>
      </c>
      <c r="H38" s="231">
        <f t="shared" si="15"/>
        <v>45113</v>
      </c>
      <c r="I38" s="231">
        <f t="shared" si="15"/>
        <v>45297</v>
      </c>
      <c r="J38" s="231">
        <f>EDATE(I38,6)</f>
        <v>45479</v>
      </c>
      <c r="K38" s="231">
        <f t="shared" si="14"/>
        <v>45663</v>
      </c>
      <c r="L38" s="231">
        <f>EDATE(K38,6)</f>
        <v>45844</v>
      </c>
      <c r="M38" s="236">
        <f t="shared" si="14"/>
        <v>46028</v>
      </c>
      <c r="N38" s="231">
        <f t="shared" si="14"/>
        <v>46209</v>
      </c>
      <c r="O38" s="231">
        <f t="shared" si="14"/>
        <v>46393</v>
      </c>
      <c r="P38" s="231">
        <f t="shared" si="14"/>
        <v>46574</v>
      </c>
      <c r="Q38" s="231">
        <f t="shared" si="14"/>
        <v>46758</v>
      </c>
      <c r="R38" s="231">
        <f t="shared" si="3"/>
        <v>46940</v>
      </c>
      <c r="S38" s="231">
        <f t="shared" si="4"/>
        <v>47124</v>
      </c>
      <c r="T38" s="231">
        <f t="shared" si="5"/>
        <v>47305</v>
      </c>
      <c r="U38" s="231">
        <f t="shared" si="6"/>
        <v>47489</v>
      </c>
      <c r="V38" s="231">
        <f t="shared" si="7"/>
        <v>47670</v>
      </c>
      <c r="W38" s="231">
        <f t="shared" si="8"/>
        <v>47854</v>
      </c>
      <c r="X38" s="231">
        <f t="shared" si="9"/>
        <v>48035</v>
      </c>
      <c r="Y38" s="231">
        <f t="shared" si="10"/>
        <v>48219</v>
      </c>
      <c r="Z38" s="201">
        <f t="shared" si="13"/>
        <v>48180000</v>
      </c>
    </row>
    <row r="39" spans="1:26" x14ac:dyDescent="0.3">
      <c r="A39" s="162">
        <v>36</v>
      </c>
      <c r="B39" s="163" t="s">
        <v>640</v>
      </c>
      <c r="C39" s="187">
        <v>8000000</v>
      </c>
      <c r="D39" s="187"/>
      <c r="E39" s="162" t="s">
        <v>17</v>
      </c>
      <c r="F39" s="231">
        <v>44938</v>
      </c>
      <c r="G39" s="231">
        <f t="shared" si="15"/>
        <v>45119</v>
      </c>
      <c r="H39" s="231">
        <f t="shared" si="15"/>
        <v>45303</v>
      </c>
      <c r="I39" s="231">
        <f t="shared" si="15"/>
        <v>45485</v>
      </c>
      <c r="J39" s="231">
        <f t="shared" si="14"/>
        <v>45669</v>
      </c>
      <c r="K39" s="231">
        <f t="shared" si="14"/>
        <v>45850</v>
      </c>
      <c r="L39" s="231">
        <f t="shared" si="14"/>
        <v>46034</v>
      </c>
      <c r="M39" s="231">
        <f t="shared" si="14"/>
        <v>46215</v>
      </c>
      <c r="N39" s="231">
        <f t="shared" si="14"/>
        <v>46399</v>
      </c>
      <c r="O39" s="231">
        <f t="shared" si="14"/>
        <v>46580</v>
      </c>
      <c r="P39" s="231">
        <f t="shared" si="14"/>
        <v>46764</v>
      </c>
      <c r="Q39" s="231">
        <f t="shared" si="14"/>
        <v>46946</v>
      </c>
      <c r="R39" s="231">
        <f t="shared" si="3"/>
        <v>47130</v>
      </c>
      <c r="S39" s="231">
        <f t="shared" si="4"/>
        <v>47311</v>
      </c>
      <c r="T39" s="231">
        <f t="shared" si="5"/>
        <v>47495</v>
      </c>
      <c r="U39" s="231">
        <f t="shared" si="6"/>
        <v>47676</v>
      </c>
      <c r="V39" s="231">
        <f t="shared" si="7"/>
        <v>47860</v>
      </c>
      <c r="W39" s="231">
        <f t="shared" si="8"/>
        <v>48041</v>
      </c>
      <c r="X39" s="231">
        <f t="shared" si="9"/>
        <v>48225</v>
      </c>
      <c r="Y39" s="231">
        <f t="shared" si="10"/>
        <v>48407</v>
      </c>
      <c r="Z39" s="201">
        <f t="shared" si="13"/>
        <v>48000000</v>
      </c>
    </row>
    <row r="40" spans="1:26" x14ac:dyDescent="0.3">
      <c r="A40" s="162">
        <v>37</v>
      </c>
      <c r="B40" s="163" t="s">
        <v>484</v>
      </c>
      <c r="C40" s="187">
        <v>8000000</v>
      </c>
      <c r="D40" s="187"/>
      <c r="E40" s="162" t="s">
        <v>1017</v>
      </c>
      <c r="F40" s="231">
        <v>44940</v>
      </c>
      <c r="G40" s="231">
        <f t="shared" si="15"/>
        <v>45121</v>
      </c>
      <c r="H40" s="231">
        <f t="shared" si="15"/>
        <v>45305</v>
      </c>
      <c r="I40" s="231">
        <f t="shared" si="15"/>
        <v>45487</v>
      </c>
      <c r="J40" s="231">
        <f t="shared" si="14"/>
        <v>45671</v>
      </c>
      <c r="K40" s="231">
        <f t="shared" si="14"/>
        <v>45852</v>
      </c>
      <c r="L40" s="231">
        <f t="shared" si="14"/>
        <v>46036</v>
      </c>
      <c r="M40" s="231">
        <f t="shared" si="14"/>
        <v>46217</v>
      </c>
      <c r="N40" s="231">
        <f t="shared" si="14"/>
        <v>46401</v>
      </c>
      <c r="O40" s="231">
        <f t="shared" si="14"/>
        <v>46582</v>
      </c>
      <c r="P40" s="231">
        <f t="shared" si="14"/>
        <v>46766</v>
      </c>
      <c r="Q40" s="231">
        <f t="shared" si="14"/>
        <v>46948</v>
      </c>
      <c r="R40" s="231">
        <f t="shared" si="3"/>
        <v>47132</v>
      </c>
      <c r="S40" s="231">
        <f t="shared" si="4"/>
        <v>47313</v>
      </c>
      <c r="T40" s="231">
        <f t="shared" si="5"/>
        <v>47497</v>
      </c>
      <c r="U40" s="231">
        <f t="shared" si="6"/>
        <v>47678</v>
      </c>
      <c r="V40" s="231">
        <f t="shared" si="7"/>
        <v>47862</v>
      </c>
      <c r="W40" s="231">
        <f t="shared" si="8"/>
        <v>48043</v>
      </c>
      <c r="X40" s="231">
        <f t="shared" si="9"/>
        <v>48227</v>
      </c>
      <c r="Y40" s="231">
        <f t="shared" si="10"/>
        <v>48409</v>
      </c>
      <c r="Z40" s="201">
        <f t="shared" si="13"/>
        <v>48000000</v>
      </c>
    </row>
    <row r="41" spans="1:26" x14ac:dyDescent="0.3">
      <c r="A41" s="162" t="s">
        <v>1137</v>
      </c>
      <c r="B41" s="239" t="s">
        <v>1136</v>
      </c>
      <c r="C41" s="206">
        <v>10700000</v>
      </c>
      <c r="D41" s="206"/>
      <c r="E41" s="171" t="s">
        <v>1018</v>
      </c>
      <c r="F41" s="232" t="s">
        <v>953</v>
      </c>
      <c r="G41" s="232" t="s">
        <v>953</v>
      </c>
      <c r="H41" s="232" t="s">
        <v>953</v>
      </c>
      <c r="I41" s="232">
        <v>45061</v>
      </c>
      <c r="J41" s="232">
        <v>45245</v>
      </c>
      <c r="K41" s="232">
        <f t="shared" si="14"/>
        <v>45427</v>
      </c>
      <c r="L41" s="232">
        <f t="shared" si="14"/>
        <v>45611</v>
      </c>
      <c r="M41" s="232">
        <f t="shared" si="14"/>
        <v>45792</v>
      </c>
      <c r="N41" s="232">
        <f t="shared" si="14"/>
        <v>45976</v>
      </c>
      <c r="O41" s="231">
        <f t="shared" si="14"/>
        <v>46157</v>
      </c>
      <c r="P41" s="231">
        <f t="shared" si="14"/>
        <v>46341</v>
      </c>
      <c r="Q41" s="231">
        <f t="shared" si="14"/>
        <v>46522</v>
      </c>
      <c r="R41" s="231">
        <f t="shared" si="3"/>
        <v>46706</v>
      </c>
      <c r="S41" s="231">
        <f t="shared" si="4"/>
        <v>46888</v>
      </c>
      <c r="T41" s="231">
        <f t="shared" si="5"/>
        <v>47072</v>
      </c>
      <c r="U41" s="231">
        <f t="shared" si="6"/>
        <v>47253</v>
      </c>
      <c r="V41" s="231">
        <f t="shared" si="7"/>
        <v>47437</v>
      </c>
      <c r="W41" s="231">
        <f t="shared" si="8"/>
        <v>47618</v>
      </c>
      <c r="X41" s="231">
        <f t="shared" si="9"/>
        <v>47802</v>
      </c>
      <c r="Y41" s="231">
        <f t="shared" si="10"/>
        <v>47983</v>
      </c>
      <c r="Z41" s="194">
        <f t="shared" si="13"/>
        <v>64200000</v>
      </c>
    </row>
    <row r="42" spans="1:26" x14ac:dyDescent="0.3">
      <c r="A42" s="162">
        <v>39</v>
      </c>
      <c r="B42" s="163" t="s">
        <v>541</v>
      </c>
      <c r="C42" s="187">
        <v>11400000</v>
      </c>
      <c r="D42" s="187"/>
      <c r="E42" s="162" t="s">
        <v>1004</v>
      </c>
      <c r="F42" s="231">
        <v>45074</v>
      </c>
      <c r="G42" s="231">
        <f>EDATE(F42,3)</f>
        <v>45166</v>
      </c>
      <c r="H42" s="231">
        <f>EDATE(G42,3)</f>
        <v>45258</v>
      </c>
      <c r="I42" s="231">
        <f>EDATE(H42,6)</f>
        <v>45440</v>
      </c>
      <c r="J42" s="231">
        <f t="shared" ref="J42:N42" si="16">EDATE(I42,6)</f>
        <v>45624</v>
      </c>
      <c r="K42" s="232">
        <f t="shared" si="16"/>
        <v>45805</v>
      </c>
      <c r="L42" s="231">
        <f t="shared" si="16"/>
        <v>45989</v>
      </c>
      <c r="M42" s="231">
        <f t="shared" si="16"/>
        <v>46170</v>
      </c>
      <c r="N42" s="231">
        <f t="shared" si="16"/>
        <v>46354</v>
      </c>
      <c r="O42" s="231">
        <f t="shared" si="14"/>
        <v>46535</v>
      </c>
      <c r="P42" s="231">
        <f t="shared" si="14"/>
        <v>46719</v>
      </c>
      <c r="Q42" s="231">
        <f t="shared" si="14"/>
        <v>46901</v>
      </c>
      <c r="R42" s="231">
        <f t="shared" si="3"/>
        <v>47085</v>
      </c>
      <c r="S42" s="231">
        <f t="shared" si="4"/>
        <v>47266</v>
      </c>
      <c r="T42" s="231">
        <f t="shared" si="5"/>
        <v>47450</v>
      </c>
      <c r="U42" s="231">
        <f t="shared" si="6"/>
        <v>47631</v>
      </c>
      <c r="V42" s="231">
        <f t="shared" si="7"/>
        <v>47815</v>
      </c>
      <c r="W42" s="231">
        <f t="shared" si="8"/>
        <v>47996</v>
      </c>
      <c r="X42" s="231">
        <f t="shared" si="9"/>
        <v>48180</v>
      </c>
      <c r="Y42" s="231">
        <f t="shared" si="10"/>
        <v>48362</v>
      </c>
      <c r="Z42" s="201">
        <f t="shared" si="13"/>
        <v>68400000</v>
      </c>
    </row>
    <row r="43" spans="1:26" x14ac:dyDescent="0.3">
      <c r="A43" s="162">
        <v>40</v>
      </c>
      <c r="B43" s="243" t="s">
        <v>550</v>
      </c>
      <c r="C43" s="206">
        <v>11000000</v>
      </c>
      <c r="D43" s="237" t="s">
        <v>1019</v>
      </c>
      <c r="E43" s="171" t="s">
        <v>1004</v>
      </c>
      <c r="F43" s="232">
        <v>45095</v>
      </c>
      <c r="G43" s="232">
        <f>EDATE(F43,3)</f>
        <v>45187</v>
      </c>
      <c r="H43" s="232">
        <f>EDATE(G43,3)</f>
        <v>45278</v>
      </c>
      <c r="I43" s="232">
        <f>EDATE(H43,6)</f>
        <v>45461</v>
      </c>
      <c r="J43" s="232">
        <f>EDATE(I43,6)</f>
        <v>45644</v>
      </c>
      <c r="K43" s="232">
        <f>EDATE(J43,6)</f>
        <v>45826</v>
      </c>
      <c r="L43" s="236">
        <f t="shared" si="14"/>
        <v>46009</v>
      </c>
      <c r="M43" s="231">
        <f t="shared" si="14"/>
        <v>46191</v>
      </c>
      <c r="N43" s="231">
        <f t="shared" si="14"/>
        <v>46374</v>
      </c>
      <c r="O43" s="231">
        <f t="shared" si="14"/>
        <v>46556</v>
      </c>
      <c r="P43" s="231">
        <f t="shared" si="14"/>
        <v>46739</v>
      </c>
      <c r="Q43" s="231">
        <f t="shared" si="14"/>
        <v>46922</v>
      </c>
      <c r="R43" s="231">
        <f t="shared" si="3"/>
        <v>47105</v>
      </c>
      <c r="S43" s="231">
        <f t="shared" si="4"/>
        <v>47287</v>
      </c>
      <c r="T43" s="231">
        <f t="shared" si="5"/>
        <v>47470</v>
      </c>
      <c r="U43" s="231">
        <f t="shared" si="6"/>
        <v>47652</v>
      </c>
      <c r="V43" s="231">
        <f t="shared" si="7"/>
        <v>47835</v>
      </c>
      <c r="W43" s="231">
        <f t="shared" si="8"/>
        <v>48017</v>
      </c>
      <c r="X43" s="231">
        <f t="shared" si="9"/>
        <v>48200</v>
      </c>
      <c r="Y43" s="231">
        <f t="shared" si="10"/>
        <v>48383</v>
      </c>
      <c r="Z43" s="194">
        <f t="shared" si="13"/>
        <v>66000000</v>
      </c>
    </row>
    <row r="44" spans="1:26" x14ac:dyDescent="0.3">
      <c r="A44" s="162" t="s">
        <v>1137</v>
      </c>
      <c r="B44" s="233" t="s">
        <v>557</v>
      </c>
      <c r="C44" s="187">
        <v>6500000</v>
      </c>
      <c r="D44" s="187"/>
      <c r="E44" s="162" t="s">
        <v>1004</v>
      </c>
      <c r="F44" s="231">
        <v>45073</v>
      </c>
      <c r="G44" s="231">
        <f>EDATE(F44,3)</f>
        <v>45165</v>
      </c>
      <c r="H44" s="231">
        <f t="shared" ref="H44" si="17">EDATE(G44,3)</f>
        <v>45257</v>
      </c>
      <c r="I44" s="231">
        <f>EDATE(H44,6)</f>
        <v>45439</v>
      </c>
      <c r="J44" s="231">
        <f t="shared" ref="J44:N48" si="18">EDATE(I44,6)</f>
        <v>45623</v>
      </c>
      <c r="K44" s="232">
        <f t="shared" si="18"/>
        <v>45804</v>
      </c>
      <c r="L44" s="231">
        <f t="shared" si="18"/>
        <v>45988</v>
      </c>
      <c r="M44" s="231">
        <f t="shared" si="18"/>
        <v>46169</v>
      </c>
      <c r="N44" s="231">
        <f t="shared" si="18"/>
        <v>46353</v>
      </c>
      <c r="O44" s="231">
        <f t="shared" si="14"/>
        <v>46534</v>
      </c>
      <c r="P44" s="231">
        <f t="shared" si="14"/>
        <v>46718</v>
      </c>
      <c r="Q44" s="231">
        <f t="shared" si="14"/>
        <v>46900</v>
      </c>
      <c r="R44" s="231">
        <f t="shared" si="3"/>
        <v>47084</v>
      </c>
      <c r="S44" s="231">
        <f t="shared" si="4"/>
        <v>47265</v>
      </c>
      <c r="T44" s="231">
        <f t="shared" si="5"/>
        <v>47449</v>
      </c>
      <c r="U44" s="231">
        <f t="shared" si="6"/>
        <v>47630</v>
      </c>
      <c r="V44" s="231">
        <f t="shared" si="7"/>
        <v>47814</v>
      </c>
      <c r="W44" s="231">
        <f t="shared" si="8"/>
        <v>47995</v>
      </c>
      <c r="X44" s="231">
        <f t="shared" si="9"/>
        <v>48179</v>
      </c>
      <c r="Y44" s="231">
        <f t="shared" si="10"/>
        <v>48361</v>
      </c>
      <c r="Z44" s="201">
        <f t="shared" si="13"/>
        <v>39000000</v>
      </c>
    </row>
    <row r="45" spans="1:26" x14ac:dyDescent="0.3">
      <c r="A45" s="162">
        <v>42</v>
      </c>
      <c r="B45" s="163" t="s">
        <v>569</v>
      </c>
      <c r="C45" s="187">
        <v>11200000</v>
      </c>
      <c r="D45" s="187"/>
      <c r="E45" s="162" t="s">
        <v>1020</v>
      </c>
      <c r="F45" s="231">
        <v>45128</v>
      </c>
      <c r="G45" s="231">
        <f t="shared" ref="G45:N49" si="19">EDATE(F45,6)</f>
        <v>45312</v>
      </c>
      <c r="H45" s="231">
        <f t="shared" si="19"/>
        <v>45494</v>
      </c>
      <c r="I45" s="231">
        <f t="shared" si="19"/>
        <v>45678</v>
      </c>
      <c r="J45" s="231">
        <f t="shared" si="18"/>
        <v>45859</v>
      </c>
      <c r="K45" s="231">
        <f t="shared" si="18"/>
        <v>46043</v>
      </c>
      <c r="L45" s="231">
        <f t="shared" si="18"/>
        <v>46224</v>
      </c>
      <c r="M45" s="231">
        <f t="shared" si="18"/>
        <v>46408</v>
      </c>
      <c r="N45" s="231">
        <f t="shared" si="18"/>
        <v>46589</v>
      </c>
      <c r="O45" s="231">
        <f t="shared" si="14"/>
        <v>46773</v>
      </c>
      <c r="P45" s="231">
        <f t="shared" si="14"/>
        <v>46955</v>
      </c>
      <c r="Q45" s="231">
        <f t="shared" si="14"/>
        <v>47139</v>
      </c>
      <c r="R45" s="231">
        <f t="shared" si="3"/>
        <v>47320</v>
      </c>
      <c r="S45" s="231">
        <f t="shared" si="4"/>
        <v>47504</v>
      </c>
      <c r="T45" s="231">
        <f t="shared" si="5"/>
        <v>47685</v>
      </c>
      <c r="U45" s="231">
        <f t="shared" si="6"/>
        <v>47869</v>
      </c>
      <c r="V45" s="231">
        <f t="shared" si="7"/>
        <v>48050</v>
      </c>
      <c r="W45" s="231">
        <f t="shared" si="8"/>
        <v>48234</v>
      </c>
      <c r="X45" s="231">
        <f t="shared" si="9"/>
        <v>48416</v>
      </c>
      <c r="Y45" s="231">
        <f t="shared" si="10"/>
        <v>48600</v>
      </c>
      <c r="Z45" s="201">
        <f t="shared" si="13"/>
        <v>67200000</v>
      </c>
    </row>
    <row r="46" spans="1:26" x14ac:dyDescent="0.3">
      <c r="A46" s="162">
        <v>43</v>
      </c>
      <c r="B46" s="163" t="s">
        <v>572</v>
      </c>
      <c r="C46" s="187">
        <v>10100000</v>
      </c>
      <c r="D46" s="187"/>
      <c r="E46" s="162" t="s">
        <v>1021</v>
      </c>
      <c r="F46" s="231">
        <v>45163</v>
      </c>
      <c r="G46" s="231">
        <f>EDATE(F46,6)</f>
        <v>45347</v>
      </c>
      <c r="H46" s="231">
        <f t="shared" si="19"/>
        <v>45529</v>
      </c>
      <c r="I46" s="231">
        <f t="shared" si="19"/>
        <v>45713</v>
      </c>
      <c r="J46" s="231">
        <f t="shared" si="18"/>
        <v>45894</v>
      </c>
      <c r="K46" s="231">
        <f t="shared" si="18"/>
        <v>46078</v>
      </c>
      <c r="L46" s="231">
        <f t="shared" si="18"/>
        <v>46259</v>
      </c>
      <c r="M46" s="231">
        <f t="shared" si="18"/>
        <v>46443</v>
      </c>
      <c r="N46" s="231">
        <f t="shared" si="18"/>
        <v>46624</v>
      </c>
      <c r="O46" s="231">
        <f t="shared" si="14"/>
        <v>46808</v>
      </c>
      <c r="P46" s="231">
        <f t="shared" si="14"/>
        <v>46990</v>
      </c>
      <c r="Q46" s="231">
        <f t="shared" si="14"/>
        <v>47174</v>
      </c>
      <c r="R46" s="231">
        <f t="shared" si="3"/>
        <v>47355</v>
      </c>
      <c r="S46" s="231">
        <f t="shared" si="4"/>
        <v>47539</v>
      </c>
      <c r="T46" s="231">
        <f t="shared" si="5"/>
        <v>47720</v>
      </c>
      <c r="U46" s="231">
        <f t="shared" si="6"/>
        <v>47904</v>
      </c>
      <c r="V46" s="231">
        <f t="shared" si="7"/>
        <v>48085</v>
      </c>
      <c r="W46" s="231">
        <f t="shared" si="8"/>
        <v>48269</v>
      </c>
      <c r="X46" s="231">
        <f t="shared" si="9"/>
        <v>48451</v>
      </c>
      <c r="Y46" s="231">
        <f t="shared" si="10"/>
        <v>48635</v>
      </c>
      <c r="Z46" s="201">
        <f t="shared" si="13"/>
        <v>60600000</v>
      </c>
    </row>
    <row r="47" spans="1:26" x14ac:dyDescent="0.3">
      <c r="A47" s="162">
        <v>44</v>
      </c>
      <c r="B47" s="163" t="s">
        <v>571</v>
      </c>
      <c r="C47" s="187">
        <v>7000000</v>
      </c>
      <c r="D47" s="187"/>
      <c r="E47" s="162" t="s">
        <v>1022</v>
      </c>
      <c r="F47" s="231">
        <v>45121</v>
      </c>
      <c r="G47" s="231">
        <f t="shared" si="19"/>
        <v>45305</v>
      </c>
      <c r="H47" s="231">
        <f t="shared" si="19"/>
        <v>45487</v>
      </c>
      <c r="I47" s="231">
        <f t="shared" si="19"/>
        <v>45671</v>
      </c>
      <c r="J47" s="231">
        <f t="shared" si="18"/>
        <v>45852</v>
      </c>
      <c r="K47" s="231">
        <f t="shared" si="18"/>
        <v>46036</v>
      </c>
      <c r="L47" s="231">
        <f t="shared" si="18"/>
        <v>46217</v>
      </c>
      <c r="M47" s="231">
        <f t="shared" si="18"/>
        <v>46401</v>
      </c>
      <c r="N47" s="231">
        <f t="shared" si="18"/>
        <v>46582</v>
      </c>
      <c r="O47" s="231">
        <f t="shared" si="14"/>
        <v>46766</v>
      </c>
      <c r="P47" s="231">
        <f t="shared" si="14"/>
        <v>46948</v>
      </c>
      <c r="Q47" s="231">
        <f t="shared" si="14"/>
        <v>47132</v>
      </c>
      <c r="R47" s="231">
        <f t="shared" si="3"/>
        <v>47313</v>
      </c>
      <c r="S47" s="231">
        <f t="shared" si="4"/>
        <v>47497</v>
      </c>
      <c r="T47" s="231">
        <f t="shared" si="5"/>
        <v>47678</v>
      </c>
      <c r="U47" s="231">
        <f t="shared" si="6"/>
        <v>47862</v>
      </c>
      <c r="V47" s="231">
        <f t="shared" si="7"/>
        <v>48043</v>
      </c>
      <c r="W47" s="231">
        <f t="shared" si="8"/>
        <v>48227</v>
      </c>
      <c r="X47" s="231">
        <f t="shared" si="9"/>
        <v>48409</v>
      </c>
      <c r="Y47" s="231">
        <f t="shared" si="10"/>
        <v>48593</v>
      </c>
      <c r="Z47" s="201">
        <f t="shared" si="13"/>
        <v>42000000</v>
      </c>
    </row>
    <row r="48" spans="1:26" x14ac:dyDescent="0.3">
      <c r="A48" s="162">
        <v>45</v>
      </c>
      <c r="B48" s="163" t="s">
        <v>570</v>
      </c>
      <c r="C48" s="187">
        <v>7000000</v>
      </c>
      <c r="D48" s="187"/>
      <c r="E48" s="162" t="s">
        <v>1022</v>
      </c>
      <c r="F48" s="231">
        <v>45121</v>
      </c>
      <c r="G48" s="231">
        <f t="shared" si="19"/>
        <v>45305</v>
      </c>
      <c r="H48" s="231">
        <f t="shared" si="19"/>
        <v>45487</v>
      </c>
      <c r="I48" s="231">
        <f t="shared" si="19"/>
        <v>45671</v>
      </c>
      <c r="J48" s="231">
        <f t="shared" si="18"/>
        <v>45852</v>
      </c>
      <c r="K48" s="231">
        <f t="shared" si="18"/>
        <v>46036</v>
      </c>
      <c r="L48" s="231">
        <f t="shared" si="18"/>
        <v>46217</v>
      </c>
      <c r="M48" s="231">
        <f t="shared" si="18"/>
        <v>46401</v>
      </c>
      <c r="N48" s="231">
        <f t="shared" si="18"/>
        <v>46582</v>
      </c>
      <c r="O48" s="231">
        <f t="shared" si="14"/>
        <v>46766</v>
      </c>
      <c r="P48" s="231">
        <f t="shared" si="14"/>
        <v>46948</v>
      </c>
      <c r="Q48" s="231">
        <f t="shared" si="14"/>
        <v>47132</v>
      </c>
      <c r="R48" s="231">
        <f t="shared" si="3"/>
        <v>47313</v>
      </c>
      <c r="S48" s="231">
        <f t="shared" si="4"/>
        <v>47497</v>
      </c>
      <c r="T48" s="231">
        <f t="shared" si="5"/>
        <v>47678</v>
      </c>
      <c r="U48" s="231">
        <f t="shared" si="6"/>
        <v>47862</v>
      </c>
      <c r="V48" s="231">
        <f t="shared" si="7"/>
        <v>48043</v>
      </c>
      <c r="W48" s="231">
        <f t="shared" si="8"/>
        <v>48227</v>
      </c>
      <c r="X48" s="231">
        <f t="shared" si="9"/>
        <v>48409</v>
      </c>
      <c r="Y48" s="231">
        <f t="shared" si="10"/>
        <v>48593</v>
      </c>
      <c r="Z48" s="201">
        <f t="shared" si="13"/>
        <v>42000000</v>
      </c>
    </row>
    <row r="49" spans="1:26" x14ac:dyDescent="0.3">
      <c r="A49" s="162">
        <v>46</v>
      </c>
      <c r="B49" s="239" t="s">
        <v>606</v>
      </c>
      <c r="C49" s="206">
        <v>7500000</v>
      </c>
      <c r="D49" s="206"/>
      <c r="E49" s="174" t="s">
        <v>1023</v>
      </c>
      <c r="F49" s="232">
        <v>45174</v>
      </c>
      <c r="G49" s="232">
        <f>EDATE(F49,6)</f>
        <v>45356</v>
      </c>
      <c r="H49" s="232">
        <f>EDATE(G49,6)</f>
        <v>45540</v>
      </c>
      <c r="I49" s="232">
        <f t="shared" si="19"/>
        <v>45721</v>
      </c>
      <c r="J49" s="232">
        <f t="shared" si="19"/>
        <v>45905</v>
      </c>
      <c r="K49" s="232">
        <f t="shared" si="19"/>
        <v>46086</v>
      </c>
      <c r="L49" s="232">
        <f t="shared" si="19"/>
        <v>46270</v>
      </c>
      <c r="M49" s="232">
        <f t="shared" si="19"/>
        <v>46451</v>
      </c>
      <c r="N49" s="232">
        <f t="shared" si="19"/>
        <v>46635</v>
      </c>
      <c r="O49" s="231">
        <f t="shared" si="14"/>
        <v>46817</v>
      </c>
      <c r="P49" s="231">
        <f t="shared" si="14"/>
        <v>47001</v>
      </c>
      <c r="Q49" s="231">
        <f t="shared" si="14"/>
        <v>47182</v>
      </c>
      <c r="R49" s="231">
        <f t="shared" si="3"/>
        <v>47366</v>
      </c>
      <c r="S49" s="231">
        <f t="shared" si="4"/>
        <v>47547</v>
      </c>
      <c r="T49" s="231">
        <f t="shared" si="5"/>
        <v>47731</v>
      </c>
      <c r="U49" s="231">
        <f t="shared" si="6"/>
        <v>47912</v>
      </c>
      <c r="V49" s="231">
        <f t="shared" si="7"/>
        <v>48096</v>
      </c>
      <c r="W49" s="231">
        <f t="shared" si="8"/>
        <v>48278</v>
      </c>
      <c r="X49" s="231">
        <f t="shared" si="9"/>
        <v>48462</v>
      </c>
      <c r="Y49" s="231">
        <f t="shared" si="10"/>
        <v>48643</v>
      </c>
      <c r="Z49" s="194">
        <f t="shared" si="13"/>
        <v>45000000</v>
      </c>
    </row>
    <row r="50" spans="1:26" x14ac:dyDescent="0.3">
      <c r="A50" s="162">
        <v>47</v>
      </c>
      <c r="B50" s="163" t="s">
        <v>568</v>
      </c>
      <c r="C50" s="187">
        <v>6400000</v>
      </c>
      <c r="D50" s="187"/>
      <c r="E50" s="162" t="s">
        <v>1024</v>
      </c>
      <c r="F50" s="231">
        <v>45161</v>
      </c>
      <c r="G50" s="231">
        <f>EDATE(F50,6)</f>
        <v>45345</v>
      </c>
      <c r="H50" s="231">
        <f t="shared" ref="H50:N50" si="20">EDATE(G50,6)</f>
        <v>45527</v>
      </c>
      <c r="I50" s="231">
        <f t="shared" si="20"/>
        <v>45711</v>
      </c>
      <c r="J50" s="231">
        <f t="shared" si="20"/>
        <v>45892</v>
      </c>
      <c r="K50" s="231">
        <f t="shared" si="20"/>
        <v>46076</v>
      </c>
      <c r="L50" s="231">
        <f t="shared" si="20"/>
        <v>46257</v>
      </c>
      <c r="M50" s="231">
        <f t="shared" si="20"/>
        <v>46441</v>
      </c>
      <c r="N50" s="231">
        <f t="shared" si="20"/>
        <v>46622</v>
      </c>
      <c r="O50" s="231">
        <f t="shared" si="14"/>
        <v>46806</v>
      </c>
      <c r="P50" s="231">
        <f t="shared" si="14"/>
        <v>46988</v>
      </c>
      <c r="Q50" s="231">
        <f t="shared" si="14"/>
        <v>47172</v>
      </c>
      <c r="R50" s="231">
        <f t="shared" si="3"/>
        <v>47353</v>
      </c>
      <c r="S50" s="231">
        <f t="shared" si="4"/>
        <v>47537</v>
      </c>
      <c r="T50" s="231">
        <f t="shared" si="5"/>
        <v>47718</v>
      </c>
      <c r="U50" s="231">
        <f t="shared" si="6"/>
        <v>47902</v>
      </c>
      <c r="V50" s="231">
        <f t="shared" si="7"/>
        <v>48083</v>
      </c>
      <c r="W50" s="231">
        <f t="shared" si="8"/>
        <v>48267</v>
      </c>
      <c r="X50" s="231">
        <f t="shared" si="9"/>
        <v>48449</v>
      </c>
      <c r="Y50" s="231">
        <f t="shared" si="10"/>
        <v>48633</v>
      </c>
      <c r="Z50" s="201">
        <f t="shared" si="13"/>
        <v>38400000</v>
      </c>
    </row>
    <row r="51" spans="1:26" x14ac:dyDescent="0.3">
      <c r="A51" s="162" t="s">
        <v>1137</v>
      </c>
      <c r="B51" s="163" t="s">
        <v>1025</v>
      </c>
      <c r="C51" s="187">
        <v>8000000</v>
      </c>
      <c r="D51" s="187"/>
      <c r="E51" s="162" t="s">
        <v>1026</v>
      </c>
      <c r="F51" s="231">
        <v>45133</v>
      </c>
      <c r="G51" s="231">
        <f t="shared" ref="G51:Q66" si="21">EDATE(F51,6)</f>
        <v>45317</v>
      </c>
      <c r="H51" s="231">
        <f t="shared" si="21"/>
        <v>45499</v>
      </c>
      <c r="I51" s="231">
        <f t="shared" si="21"/>
        <v>45683</v>
      </c>
      <c r="J51" s="231">
        <f t="shared" si="21"/>
        <v>45864</v>
      </c>
      <c r="K51" s="236">
        <f t="shared" si="21"/>
        <v>46048</v>
      </c>
      <c r="L51" s="231">
        <f t="shared" si="21"/>
        <v>46229</v>
      </c>
      <c r="M51" s="231">
        <f t="shared" si="21"/>
        <v>46413</v>
      </c>
      <c r="N51" s="231">
        <f t="shared" si="21"/>
        <v>46594</v>
      </c>
      <c r="O51" s="231">
        <f t="shared" si="14"/>
        <v>46778</v>
      </c>
      <c r="P51" s="231">
        <f t="shared" si="14"/>
        <v>46960</v>
      </c>
      <c r="Q51" s="231">
        <f t="shared" si="14"/>
        <v>47144</v>
      </c>
      <c r="R51" s="231">
        <f t="shared" si="3"/>
        <v>47325</v>
      </c>
      <c r="S51" s="231">
        <f t="shared" si="4"/>
        <v>47509</v>
      </c>
      <c r="T51" s="231">
        <f t="shared" si="5"/>
        <v>47690</v>
      </c>
      <c r="U51" s="231">
        <f t="shared" si="6"/>
        <v>47874</v>
      </c>
      <c r="V51" s="231">
        <f t="shared" si="7"/>
        <v>48055</v>
      </c>
      <c r="W51" s="231">
        <f t="shared" si="8"/>
        <v>48239</v>
      </c>
      <c r="X51" s="231">
        <f t="shared" si="9"/>
        <v>48421</v>
      </c>
      <c r="Y51" s="231">
        <f t="shared" si="10"/>
        <v>48605</v>
      </c>
      <c r="Z51" s="201">
        <f t="shared" si="13"/>
        <v>48000000</v>
      </c>
    </row>
    <row r="52" spans="1:26" x14ac:dyDescent="0.3">
      <c r="A52" s="162">
        <v>49</v>
      </c>
      <c r="B52" s="163" t="s">
        <v>607</v>
      </c>
      <c r="C52" s="187">
        <v>12000000</v>
      </c>
      <c r="D52" s="187"/>
      <c r="E52" s="220" t="s">
        <v>17</v>
      </c>
      <c r="F52" s="244">
        <v>45244</v>
      </c>
      <c r="G52" s="244">
        <f t="shared" si="21"/>
        <v>45426</v>
      </c>
      <c r="H52" s="244">
        <f t="shared" si="21"/>
        <v>45610</v>
      </c>
      <c r="I52" s="244">
        <f t="shared" si="21"/>
        <v>45791</v>
      </c>
      <c r="J52" s="244">
        <f t="shared" si="21"/>
        <v>45975</v>
      </c>
      <c r="K52" s="232">
        <f t="shared" si="21"/>
        <v>46156</v>
      </c>
      <c r="L52" s="244">
        <f t="shared" si="21"/>
        <v>46340</v>
      </c>
      <c r="M52" s="244">
        <f t="shared" si="21"/>
        <v>46521</v>
      </c>
      <c r="N52" s="244">
        <f t="shared" si="21"/>
        <v>46705</v>
      </c>
      <c r="O52" s="231">
        <f t="shared" si="14"/>
        <v>46887</v>
      </c>
      <c r="P52" s="231">
        <f t="shared" si="14"/>
        <v>47071</v>
      </c>
      <c r="Q52" s="231">
        <f t="shared" si="14"/>
        <v>47252</v>
      </c>
      <c r="R52" s="231">
        <f t="shared" si="3"/>
        <v>47436</v>
      </c>
      <c r="S52" s="231">
        <f t="shared" si="4"/>
        <v>47617</v>
      </c>
      <c r="T52" s="231">
        <f t="shared" si="5"/>
        <v>47801</v>
      </c>
      <c r="U52" s="231">
        <f t="shared" si="6"/>
        <v>47982</v>
      </c>
      <c r="V52" s="231">
        <f t="shared" si="7"/>
        <v>48166</v>
      </c>
      <c r="W52" s="231">
        <f t="shared" si="8"/>
        <v>48348</v>
      </c>
      <c r="X52" s="231">
        <f t="shared" si="9"/>
        <v>48532</v>
      </c>
      <c r="Y52" s="231">
        <f t="shared" si="10"/>
        <v>48713</v>
      </c>
      <c r="Z52" s="201">
        <f t="shared" si="13"/>
        <v>72000000</v>
      </c>
    </row>
    <row r="53" spans="1:26" x14ac:dyDescent="0.3">
      <c r="A53" s="162">
        <v>50</v>
      </c>
      <c r="B53" s="234" t="s">
        <v>635</v>
      </c>
      <c r="C53" s="187">
        <v>6600000</v>
      </c>
      <c r="D53" s="235" t="s">
        <v>1027</v>
      </c>
      <c r="E53" s="220" t="s">
        <v>17</v>
      </c>
      <c r="F53" s="244">
        <v>45281</v>
      </c>
      <c r="G53" s="244">
        <f t="shared" si="21"/>
        <v>45464</v>
      </c>
      <c r="H53" s="244">
        <f t="shared" si="21"/>
        <v>45647</v>
      </c>
      <c r="I53" s="244">
        <f t="shared" si="21"/>
        <v>45829</v>
      </c>
      <c r="J53" s="245">
        <f t="shared" si="21"/>
        <v>46012</v>
      </c>
      <c r="K53" s="244">
        <f t="shared" si="21"/>
        <v>46194</v>
      </c>
      <c r="L53" s="244">
        <f t="shared" si="21"/>
        <v>46377</v>
      </c>
      <c r="M53" s="244">
        <f t="shared" si="21"/>
        <v>46559</v>
      </c>
      <c r="N53" s="244">
        <f t="shared" si="21"/>
        <v>46742</v>
      </c>
      <c r="O53" s="231">
        <f t="shared" si="14"/>
        <v>46925</v>
      </c>
      <c r="P53" s="231">
        <f t="shared" si="14"/>
        <v>47108</v>
      </c>
      <c r="Q53" s="231">
        <f t="shared" si="14"/>
        <v>47290</v>
      </c>
      <c r="R53" s="231">
        <f t="shared" si="3"/>
        <v>47473</v>
      </c>
      <c r="S53" s="231">
        <f t="shared" si="4"/>
        <v>47655</v>
      </c>
      <c r="T53" s="231">
        <f t="shared" si="5"/>
        <v>47838</v>
      </c>
      <c r="U53" s="231">
        <f t="shared" si="6"/>
        <v>48020</v>
      </c>
      <c r="V53" s="231">
        <f t="shared" si="7"/>
        <v>48203</v>
      </c>
      <c r="W53" s="231">
        <f t="shared" si="8"/>
        <v>48386</v>
      </c>
      <c r="X53" s="231">
        <f t="shared" si="9"/>
        <v>48569</v>
      </c>
      <c r="Y53" s="231">
        <f t="shared" si="10"/>
        <v>48751</v>
      </c>
      <c r="Z53" s="201">
        <f t="shared" si="13"/>
        <v>39600000</v>
      </c>
    </row>
    <row r="54" spans="1:26" x14ac:dyDescent="0.3">
      <c r="A54" s="162">
        <v>51</v>
      </c>
      <c r="B54" s="234" t="s">
        <v>636</v>
      </c>
      <c r="C54" s="187">
        <v>6700000</v>
      </c>
      <c r="D54" s="235" t="s">
        <v>1028</v>
      </c>
      <c r="E54" s="220" t="s">
        <v>17</v>
      </c>
      <c r="F54" s="244">
        <v>45281</v>
      </c>
      <c r="G54" s="244">
        <f t="shared" si="21"/>
        <v>45464</v>
      </c>
      <c r="H54" s="244">
        <f t="shared" si="21"/>
        <v>45647</v>
      </c>
      <c r="I54" s="244">
        <f t="shared" si="21"/>
        <v>45829</v>
      </c>
      <c r="J54" s="245">
        <f t="shared" si="21"/>
        <v>46012</v>
      </c>
      <c r="K54" s="244">
        <f t="shared" si="21"/>
        <v>46194</v>
      </c>
      <c r="L54" s="244">
        <f t="shared" si="21"/>
        <v>46377</v>
      </c>
      <c r="M54" s="244">
        <f t="shared" si="21"/>
        <v>46559</v>
      </c>
      <c r="N54" s="244">
        <f t="shared" si="21"/>
        <v>46742</v>
      </c>
      <c r="O54" s="231">
        <f t="shared" si="14"/>
        <v>46925</v>
      </c>
      <c r="P54" s="231">
        <f t="shared" si="14"/>
        <v>47108</v>
      </c>
      <c r="Q54" s="231">
        <f t="shared" si="14"/>
        <v>47290</v>
      </c>
      <c r="R54" s="231">
        <f t="shared" si="3"/>
        <v>47473</v>
      </c>
      <c r="S54" s="231">
        <f t="shared" si="4"/>
        <v>47655</v>
      </c>
      <c r="T54" s="231">
        <f t="shared" si="5"/>
        <v>47838</v>
      </c>
      <c r="U54" s="231">
        <f t="shared" si="6"/>
        <v>48020</v>
      </c>
      <c r="V54" s="231">
        <f t="shared" si="7"/>
        <v>48203</v>
      </c>
      <c r="W54" s="231">
        <f t="shared" si="8"/>
        <v>48386</v>
      </c>
      <c r="X54" s="231">
        <f t="shared" si="9"/>
        <v>48569</v>
      </c>
      <c r="Y54" s="231">
        <f t="shared" si="10"/>
        <v>48751</v>
      </c>
      <c r="Z54" s="201">
        <f t="shared" si="13"/>
        <v>40200000</v>
      </c>
    </row>
    <row r="55" spans="1:26" x14ac:dyDescent="0.3">
      <c r="A55" s="162">
        <v>52</v>
      </c>
      <c r="B55" s="233" t="s">
        <v>613</v>
      </c>
      <c r="C55" s="187">
        <v>10200000</v>
      </c>
      <c r="D55" s="187"/>
      <c r="E55" s="220" t="s">
        <v>1029</v>
      </c>
      <c r="F55" s="231">
        <v>45326</v>
      </c>
      <c r="G55" s="231">
        <f>EDATE(F55,3)</f>
        <v>45416</v>
      </c>
      <c r="H55" s="231">
        <v>45729</v>
      </c>
      <c r="I55" s="231">
        <f>EDATE(H55,6)</f>
        <v>45913</v>
      </c>
      <c r="J55" s="231">
        <f t="shared" si="21"/>
        <v>46094</v>
      </c>
      <c r="K55" s="231">
        <f t="shared" si="21"/>
        <v>46278</v>
      </c>
      <c r="L55" s="231">
        <f t="shared" si="21"/>
        <v>46459</v>
      </c>
      <c r="M55" s="231">
        <f t="shared" si="21"/>
        <v>46643</v>
      </c>
      <c r="N55" s="231">
        <f t="shared" si="21"/>
        <v>46825</v>
      </c>
      <c r="O55" s="231">
        <f t="shared" si="14"/>
        <v>47009</v>
      </c>
      <c r="P55" s="231">
        <f t="shared" si="14"/>
        <v>47190</v>
      </c>
      <c r="Q55" s="231">
        <f t="shared" si="14"/>
        <v>47374</v>
      </c>
      <c r="R55" s="231">
        <f t="shared" si="3"/>
        <v>47555</v>
      </c>
      <c r="S55" s="231">
        <f t="shared" si="4"/>
        <v>47739</v>
      </c>
      <c r="T55" s="231">
        <f t="shared" si="5"/>
        <v>47920</v>
      </c>
      <c r="U55" s="231">
        <f t="shared" si="6"/>
        <v>48104</v>
      </c>
      <c r="V55" s="231">
        <f t="shared" si="7"/>
        <v>48286</v>
      </c>
      <c r="W55" s="231">
        <f t="shared" si="8"/>
        <v>48470</v>
      </c>
      <c r="X55" s="231">
        <f t="shared" si="9"/>
        <v>48651</v>
      </c>
      <c r="Y55" s="231">
        <f t="shared" si="10"/>
        <v>48835</v>
      </c>
      <c r="Z55" s="201">
        <f>C55*6</f>
        <v>61200000</v>
      </c>
    </row>
    <row r="56" spans="1:26" x14ac:dyDescent="0.3">
      <c r="A56" s="162">
        <v>53</v>
      </c>
      <c r="B56" s="163" t="s">
        <v>618</v>
      </c>
      <c r="C56" s="187">
        <v>11300000</v>
      </c>
      <c r="D56" s="187"/>
      <c r="E56" s="220" t="s">
        <v>17</v>
      </c>
      <c r="F56" s="231">
        <v>45313</v>
      </c>
      <c r="G56" s="231">
        <f t="shared" si="21"/>
        <v>45495</v>
      </c>
      <c r="H56" s="231">
        <f t="shared" si="21"/>
        <v>45679</v>
      </c>
      <c r="I56" s="231">
        <f t="shared" si="21"/>
        <v>45860</v>
      </c>
      <c r="J56" s="231">
        <f t="shared" si="21"/>
        <v>46044</v>
      </c>
      <c r="K56" s="231">
        <f t="shared" si="21"/>
        <v>46225</v>
      </c>
      <c r="L56" s="231">
        <f t="shared" si="21"/>
        <v>46409</v>
      </c>
      <c r="M56" s="231">
        <f t="shared" si="21"/>
        <v>46590</v>
      </c>
      <c r="N56" s="231">
        <f t="shared" si="21"/>
        <v>46774</v>
      </c>
      <c r="O56" s="231">
        <f t="shared" si="14"/>
        <v>46956</v>
      </c>
      <c r="P56" s="231">
        <f t="shared" si="14"/>
        <v>47140</v>
      </c>
      <c r="Q56" s="231">
        <f t="shared" si="14"/>
        <v>47321</v>
      </c>
      <c r="R56" s="231">
        <f t="shared" si="3"/>
        <v>47505</v>
      </c>
      <c r="S56" s="231">
        <f t="shared" si="4"/>
        <v>47686</v>
      </c>
      <c r="T56" s="231">
        <f t="shared" si="5"/>
        <v>47870</v>
      </c>
      <c r="U56" s="231">
        <f t="shared" si="6"/>
        <v>48051</v>
      </c>
      <c r="V56" s="231">
        <f t="shared" si="7"/>
        <v>48235</v>
      </c>
      <c r="W56" s="231">
        <f t="shared" si="8"/>
        <v>48417</v>
      </c>
      <c r="X56" s="231">
        <f t="shared" si="9"/>
        <v>48601</v>
      </c>
      <c r="Y56" s="231">
        <f t="shared" si="10"/>
        <v>48782</v>
      </c>
      <c r="Z56" s="201">
        <f t="shared" si="13"/>
        <v>67800000</v>
      </c>
    </row>
    <row r="57" spans="1:26" x14ac:dyDescent="0.3">
      <c r="A57" s="162">
        <v>54</v>
      </c>
      <c r="B57" s="163" t="s">
        <v>671</v>
      </c>
      <c r="C57" s="187">
        <v>6000000</v>
      </c>
      <c r="D57" s="187"/>
      <c r="E57" s="220" t="s">
        <v>17</v>
      </c>
      <c r="F57" s="231">
        <v>45415</v>
      </c>
      <c r="G57" s="231">
        <f t="shared" si="21"/>
        <v>45599</v>
      </c>
      <c r="H57" s="231">
        <f t="shared" si="21"/>
        <v>45780</v>
      </c>
      <c r="I57" s="231">
        <f t="shared" si="21"/>
        <v>45964</v>
      </c>
      <c r="J57" s="231">
        <f t="shared" si="21"/>
        <v>46145</v>
      </c>
      <c r="K57" s="231">
        <f t="shared" si="21"/>
        <v>46329</v>
      </c>
      <c r="L57" s="231">
        <f t="shared" si="21"/>
        <v>46510</v>
      </c>
      <c r="M57" s="231">
        <f t="shared" si="21"/>
        <v>46694</v>
      </c>
      <c r="N57" s="231">
        <f t="shared" si="21"/>
        <v>46876</v>
      </c>
      <c r="O57" s="231">
        <f t="shared" si="14"/>
        <v>47060</v>
      </c>
      <c r="P57" s="231">
        <f t="shared" si="14"/>
        <v>47241</v>
      </c>
      <c r="Q57" s="231">
        <f t="shared" si="14"/>
        <v>47425</v>
      </c>
      <c r="R57" s="231">
        <f t="shared" si="3"/>
        <v>47606</v>
      </c>
      <c r="S57" s="231">
        <f t="shared" si="4"/>
        <v>47790</v>
      </c>
      <c r="T57" s="231">
        <f t="shared" si="5"/>
        <v>47971</v>
      </c>
      <c r="U57" s="231">
        <f t="shared" si="6"/>
        <v>48155</v>
      </c>
      <c r="V57" s="231">
        <f t="shared" si="7"/>
        <v>48337</v>
      </c>
      <c r="W57" s="231">
        <f t="shared" si="8"/>
        <v>48521</v>
      </c>
      <c r="X57" s="231">
        <f t="shared" si="9"/>
        <v>48702</v>
      </c>
      <c r="Y57" s="231">
        <f t="shared" si="10"/>
        <v>48886</v>
      </c>
      <c r="Z57" s="201">
        <f t="shared" si="13"/>
        <v>36000000</v>
      </c>
    </row>
    <row r="58" spans="1:26" x14ac:dyDescent="0.3">
      <c r="A58" s="162">
        <v>55</v>
      </c>
      <c r="B58" s="163" t="s">
        <v>737</v>
      </c>
      <c r="C58" s="187">
        <v>6300000</v>
      </c>
      <c r="D58" s="187"/>
      <c r="E58" s="220" t="s">
        <v>17</v>
      </c>
      <c r="F58" s="231">
        <v>45415</v>
      </c>
      <c r="G58" s="231">
        <f t="shared" si="21"/>
        <v>45599</v>
      </c>
      <c r="H58" s="231">
        <f t="shared" si="21"/>
        <v>45780</v>
      </c>
      <c r="I58" s="231">
        <f t="shared" si="21"/>
        <v>45964</v>
      </c>
      <c r="J58" s="231">
        <f t="shared" si="21"/>
        <v>46145</v>
      </c>
      <c r="K58" s="231">
        <f t="shared" si="21"/>
        <v>46329</v>
      </c>
      <c r="L58" s="231">
        <f t="shared" si="21"/>
        <v>46510</v>
      </c>
      <c r="M58" s="231">
        <f t="shared" si="21"/>
        <v>46694</v>
      </c>
      <c r="N58" s="231">
        <f t="shared" si="21"/>
        <v>46876</v>
      </c>
      <c r="O58" s="231">
        <f t="shared" si="14"/>
        <v>47060</v>
      </c>
      <c r="P58" s="231">
        <f t="shared" si="14"/>
        <v>47241</v>
      </c>
      <c r="Q58" s="231">
        <f t="shared" si="14"/>
        <v>47425</v>
      </c>
      <c r="R58" s="231">
        <f t="shared" si="3"/>
        <v>47606</v>
      </c>
      <c r="S58" s="231">
        <f t="shared" si="4"/>
        <v>47790</v>
      </c>
      <c r="T58" s="231">
        <f t="shared" si="5"/>
        <v>47971</v>
      </c>
      <c r="U58" s="231">
        <f t="shared" si="6"/>
        <v>48155</v>
      </c>
      <c r="V58" s="231">
        <f t="shared" si="7"/>
        <v>48337</v>
      </c>
      <c r="W58" s="231">
        <f t="shared" si="8"/>
        <v>48521</v>
      </c>
      <c r="X58" s="231">
        <f t="shared" si="9"/>
        <v>48702</v>
      </c>
      <c r="Y58" s="231">
        <f t="shared" si="10"/>
        <v>48886</v>
      </c>
      <c r="Z58" s="201">
        <f t="shared" si="13"/>
        <v>37800000</v>
      </c>
    </row>
    <row r="59" spans="1:26" x14ac:dyDescent="0.3">
      <c r="A59" s="162">
        <v>56</v>
      </c>
      <c r="B59" s="163" t="s">
        <v>729</v>
      </c>
      <c r="C59" s="187">
        <v>6400000</v>
      </c>
      <c r="D59" s="187"/>
      <c r="E59" s="220" t="s">
        <v>17</v>
      </c>
      <c r="F59" s="231">
        <v>45415</v>
      </c>
      <c r="G59" s="231">
        <f t="shared" si="21"/>
        <v>45599</v>
      </c>
      <c r="H59" s="231">
        <f t="shared" si="21"/>
        <v>45780</v>
      </c>
      <c r="I59" s="231">
        <f t="shared" si="21"/>
        <v>45964</v>
      </c>
      <c r="J59" s="231">
        <f t="shared" si="21"/>
        <v>46145</v>
      </c>
      <c r="K59" s="231">
        <f t="shared" si="21"/>
        <v>46329</v>
      </c>
      <c r="L59" s="231">
        <f t="shared" si="21"/>
        <v>46510</v>
      </c>
      <c r="M59" s="231">
        <f t="shared" si="21"/>
        <v>46694</v>
      </c>
      <c r="N59" s="231">
        <f t="shared" si="21"/>
        <v>46876</v>
      </c>
      <c r="O59" s="231">
        <f t="shared" si="14"/>
        <v>47060</v>
      </c>
      <c r="P59" s="231">
        <f t="shared" si="14"/>
        <v>47241</v>
      </c>
      <c r="Q59" s="231">
        <f t="shared" si="14"/>
        <v>47425</v>
      </c>
      <c r="R59" s="231">
        <f t="shared" si="3"/>
        <v>47606</v>
      </c>
      <c r="S59" s="231">
        <f t="shared" si="4"/>
        <v>47790</v>
      </c>
      <c r="T59" s="231">
        <f t="shared" si="5"/>
        <v>47971</v>
      </c>
      <c r="U59" s="231">
        <f t="shared" si="6"/>
        <v>48155</v>
      </c>
      <c r="V59" s="231">
        <f t="shared" si="7"/>
        <v>48337</v>
      </c>
      <c r="W59" s="231">
        <f t="shared" si="8"/>
        <v>48521</v>
      </c>
      <c r="X59" s="231">
        <f t="shared" si="9"/>
        <v>48702</v>
      </c>
      <c r="Y59" s="231">
        <f t="shared" si="10"/>
        <v>48886</v>
      </c>
      <c r="Z59" s="201">
        <f t="shared" si="13"/>
        <v>38400000</v>
      </c>
    </row>
    <row r="60" spans="1:26" x14ac:dyDescent="0.3">
      <c r="A60" s="162">
        <v>57</v>
      </c>
      <c r="B60" s="163" t="s">
        <v>670</v>
      </c>
      <c r="C60" s="187">
        <v>5700000</v>
      </c>
      <c r="D60" s="187"/>
      <c r="E60" s="220" t="s">
        <v>17</v>
      </c>
      <c r="F60" s="231">
        <v>45422</v>
      </c>
      <c r="G60" s="231">
        <f t="shared" si="21"/>
        <v>45606</v>
      </c>
      <c r="H60" s="231">
        <f t="shared" si="21"/>
        <v>45787</v>
      </c>
      <c r="I60" s="231">
        <f t="shared" si="21"/>
        <v>45971</v>
      </c>
      <c r="J60" s="231">
        <f t="shared" si="21"/>
        <v>46152</v>
      </c>
      <c r="K60" s="231">
        <f t="shared" si="21"/>
        <v>46336</v>
      </c>
      <c r="L60" s="231">
        <f t="shared" si="21"/>
        <v>46517</v>
      </c>
      <c r="M60" s="231">
        <f t="shared" si="21"/>
        <v>46701</v>
      </c>
      <c r="N60" s="231">
        <f t="shared" si="21"/>
        <v>46883</v>
      </c>
      <c r="O60" s="231">
        <f t="shared" si="14"/>
        <v>47067</v>
      </c>
      <c r="P60" s="231">
        <f t="shared" si="14"/>
        <v>47248</v>
      </c>
      <c r="Q60" s="231">
        <f t="shared" si="14"/>
        <v>47432</v>
      </c>
      <c r="R60" s="231">
        <f t="shared" si="3"/>
        <v>47613</v>
      </c>
      <c r="S60" s="231">
        <f t="shared" si="4"/>
        <v>47797</v>
      </c>
      <c r="T60" s="231">
        <f t="shared" si="5"/>
        <v>47978</v>
      </c>
      <c r="U60" s="231">
        <f t="shared" si="6"/>
        <v>48162</v>
      </c>
      <c r="V60" s="231">
        <f t="shared" si="7"/>
        <v>48344</v>
      </c>
      <c r="W60" s="231">
        <f t="shared" si="8"/>
        <v>48528</v>
      </c>
      <c r="X60" s="231">
        <f t="shared" si="9"/>
        <v>48709</v>
      </c>
      <c r="Y60" s="231">
        <f t="shared" si="10"/>
        <v>48893</v>
      </c>
      <c r="Z60" s="201">
        <f t="shared" si="13"/>
        <v>34200000</v>
      </c>
    </row>
    <row r="61" spans="1:26" x14ac:dyDescent="0.3">
      <c r="A61" s="162">
        <v>58</v>
      </c>
      <c r="B61" s="163" t="s">
        <v>668</v>
      </c>
      <c r="C61" s="187">
        <v>6700000</v>
      </c>
      <c r="D61" s="187"/>
      <c r="E61" s="220" t="s">
        <v>17</v>
      </c>
      <c r="F61" s="231">
        <v>45399</v>
      </c>
      <c r="G61" s="231">
        <f t="shared" si="21"/>
        <v>45582</v>
      </c>
      <c r="H61" s="231">
        <f t="shared" si="21"/>
        <v>45764</v>
      </c>
      <c r="I61" s="231">
        <f t="shared" si="21"/>
        <v>45947</v>
      </c>
      <c r="J61" s="231">
        <f t="shared" si="21"/>
        <v>46129</v>
      </c>
      <c r="K61" s="231">
        <f t="shared" si="21"/>
        <v>46312</v>
      </c>
      <c r="L61" s="231">
        <f t="shared" si="21"/>
        <v>46494</v>
      </c>
      <c r="M61" s="231">
        <f t="shared" si="21"/>
        <v>46677</v>
      </c>
      <c r="N61" s="231">
        <f t="shared" si="21"/>
        <v>46860</v>
      </c>
      <c r="O61" s="231">
        <f t="shared" si="21"/>
        <v>47043</v>
      </c>
      <c r="P61" s="231">
        <f t="shared" si="21"/>
        <v>47225</v>
      </c>
      <c r="Q61" s="231">
        <f t="shared" si="21"/>
        <v>47408</v>
      </c>
      <c r="R61" s="231">
        <f t="shared" si="3"/>
        <v>47590</v>
      </c>
      <c r="S61" s="231">
        <f t="shared" si="4"/>
        <v>47773</v>
      </c>
      <c r="T61" s="231">
        <f t="shared" si="5"/>
        <v>47955</v>
      </c>
      <c r="U61" s="231">
        <f t="shared" si="6"/>
        <v>48138</v>
      </c>
      <c r="V61" s="231">
        <f t="shared" si="7"/>
        <v>48321</v>
      </c>
      <c r="W61" s="231">
        <f t="shared" si="8"/>
        <v>48504</v>
      </c>
      <c r="X61" s="231">
        <f t="shared" si="9"/>
        <v>48686</v>
      </c>
      <c r="Y61" s="231">
        <f t="shared" si="10"/>
        <v>48869</v>
      </c>
      <c r="Z61" s="201">
        <f t="shared" si="13"/>
        <v>40200000</v>
      </c>
    </row>
    <row r="62" spans="1:26" x14ac:dyDescent="0.3">
      <c r="A62" s="162" t="s">
        <v>1137</v>
      </c>
      <c r="B62" s="234" t="s">
        <v>1030</v>
      </c>
      <c r="C62" s="187">
        <v>12000000</v>
      </c>
      <c r="D62" s="187"/>
      <c r="E62" s="220" t="s">
        <v>1031</v>
      </c>
      <c r="F62" s="231">
        <v>45449</v>
      </c>
      <c r="G62" s="231">
        <f t="shared" si="21"/>
        <v>45632</v>
      </c>
      <c r="H62" s="231">
        <f t="shared" si="21"/>
        <v>45814</v>
      </c>
      <c r="I62" s="236">
        <f t="shared" si="21"/>
        <v>45997</v>
      </c>
      <c r="J62" s="231">
        <f t="shared" si="21"/>
        <v>46179</v>
      </c>
      <c r="K62" s="231">
        <f t="shared" si="21"/>
        <v>46362</v>
      </c>
      <c r="L62" s="231">
        <f t="shared" si="21"/>
        <v>46544</v>
      </c>
      <c r="M62" s="231">
        <f t="shared" si="21"/>
        <v>46727</v>
      </c>
      <c r="N62" s="231">
        <f t="shared" si="21"/>
        <v>46910</v>
      </c>
      <c r="O62" s="231">
        <f t="shared" si="21"/>
        <v>47093</v>
      </c>
      <c r="P62" s="231">
        <f t="shared" si="21"/>
        <v>47275</v>
      </c>
      <c r="Q62" s="231">
        <f t="shared" si="21"/>
        <v>47458</v>
      </c>
      <c r="R62" s="231">
        <f t="shared" si="3"/>
        <v>47640</v>
      </c>
      <c r="S62" s="231">
        <f t="shared" si="4"/>
        <v>47823</v>
      </c>
      <c r="T62" s="231">
        <f t="shared" si="5"/>
        <v>48005</v>
      </c>
      <c r="U62" s="231">
        <f t="shared" si="6"/>
        <v>48188</v>
      </c>
      <c r="V62" s="231">
        <f t="shared" si="7"/>
        <v>48371</v>
      </c>
      <c r="W62" s="231">
        <f t="shared" si="8"/>
        <v>48554</v>
      </c>
      <c r="X62" s="231">
        <f t="shared" si="9"/>
        <v>48736</v>
      </c>
      <c r="Y62" s="231">
        <f t="shared" si="10"/>
        <v>48919</v>
      </c>
      <c r="Z62" s="201">
        <f t="shared" si="13"/>
        <v>72000000</v>
      </c>
    </row>
    <row r="63" spans="1:26" x14ac:dyDescent="0.3">
      <c r="A63" s="162">
        <v>60</v>
      </c>
      <c r="B63" s="163" t="s">
        <v>701</v>
      </c>
      <c r="C63" s="187">
        <v>10900000</v>
      </c>
      <c r="D63" s="187"/>
      <c r="E63" s="220" t="s">
        <v>79</v>
      </c>
      <c r="F63" s="231">
        <v>45476</v>
      </c>
      <c r="G63" s="231">
        <f>EDATE(F63,6)</f>
        <v>45660</v>
      </c>
      <c r="H63" s="231">
        <f t="shared" si="21"/>
        <v>45841</v>
      </c>
      <c r="I63" s="231">
        <f t="shared" si="21"/>
        <v>46025</v>
      </c>
      <c r="J63" s="231">
        <f t="shared" si="21"/>
        <v>46206</v>
      </c>
      <c r="K63" s="231">
        <f t="shared" si="21"/>
        <v>46390</v>
      </c>
      <c r="L63" s="231">
        <f t="shared" si="21"/>
        <v>46571</v>
      </c>
      <c r="M63" s="231">
        <f t="shared" si="21"/>
        <v>46755</v>
      </c>
      <c r="N63" s="231">
        <f t="shared" si="21"/>
        <v>46937</v>
      </c>
      <c r="O63" s="231">
        <f t="shared" si="21"/>
        <v>47121</v>
      </c>
      <c r="P63" s="231">
        <f t="shared" si="21"/>
        <v>47302</v>
      </c>
      <c r="Q63" s="231">
        <f t="shared" si="21"/>
        <v>47486</v>
      </c>
      <c r="R63" s="231">
        <f t="shared" si="3"/>
        <v>47667</v>
      </c>
      <c r="S63" s="231">
        <f t="shared" si="4"/>
        <v>47851</v>
      </c>
      <c r="T63" s="231">
        <f t="shared" si="5"/>
        <v>48032</v>
      </c>
      <c r="U63" s="231">
        <f t="shared" si="6"/>
        <v>48216</v>
      </c>
      <c r="V63" s="231">
        <f t="shared" si="7"/>
        <v>48398</v>
      </c>
      <c r="W63" s="231">
        <f t="shared" si="8"/>
        <v>48582</v>
      </c>
      <c r="X63" s="231">
        <f t="shared" si="9"/>
        <v>48763</v>
      </c>
      <c r="Y63" s="231">
        <f t="shared" si="10"/>
        <v>48947</v>
      </c>
      <c r="Z63" s="201">
        <f t="shared" si="13"/>
        <v>65400000</v>
      </c>
    </row>
    <row r="64" spans="1:26" x14ac:dyDescent="0.3">
      <c r="A64" s="162">
        <v>61</v>
      </c>
      <c r="B64" s="234" t="s">
        <v>704</v>
      </c>
      <c r="C64" s="187">
        <v>9800000</v>
      </c>
      <c r="D64" s="235" t="s">
        <v>1032</v>
      </c>
      <c r="E64" s="220" t="s">
        <v>1033</v>
      </c>
      <c r="F64" s="231">
        <v>45463</v>
      </c>
      <c r="G64" s="231">
        <f t="shared" si="21"/>
        <v>45646</v>
      </c>
      <c r="H64" s="231">
        <f t="shared" si="21"/>
        <v>45828</v>
      </c>
      <c r="I64" s="236">
        <f t="shared" si="21"/>
        <v>46011</v>
      </c>
      <c r="J64" s="231">
        <f t="shared" si="21"/>
        <v>46193</v>
      </c>
      <c r="K64" s="231">
        <f t="shared" si="21"/>
        <v>46376</v>
      </c>
      <c r="L64" s="231">
        <f t="shared" si="21"/>
        <v>46558</v>
      </c>
      <c r="M64" s="231">
        <f t="shared" si="21"/>
        <v>46741</v>
      </c>
      <c r="N64" s="231">
        <f t="shared" si="21"/>
        <v>46924</v>
      </c>
      <c r="O64" s="231">
        <f t="shared" si="21"/>
        <v>47107</v>
      </c>
      <c r="P64" s="231">
        <f t="shared" si="21"/>
        <v>47289</v>
      </c>
      <c r="Q64" s="231">
        <f t="shared" si="21"/>
        <v>47472</v>
      </c>
      <c r="R64" s="231">
        <f t="shared" si="3"/>
        <v>47654</v>
      </c>
      <c r="S64" s="231">
        <f t="shared" si="4"/>
        <v>47837</v>
      </c>
      <c r="T64" s="231">
        <f t="shared" si="5"/>
        <v>48019</v>
      </c>
      <c r="U64" s="231">
        <f t="shared" si="6"/>
        <v>48202</v>
      </c>
      <c r="V64" s="231">
        <f t="shared" si="7"/>
        <v>48385</v>
      </c>
      <c r="W64" s="231">
        <f t="shared" si="8"/>
        <v>48568</v>
      </c>
      <c r="X64" s="231">
        <f t="shared" si="9"/>
        <v>48750</v>
      </c>
      <c r="Y64" s="231">
        <f t="shared" si="10"/>
        <v>48933</v>
      </c>
      <c r="Z64" s="201">
        <f t="shared" si="13"/>
        <v>58800000</v>
      </c>
    </row>
    <row r="65" spans="1:26" x14ac:dyDescent="0.3">
      <c r="A65" s="162">
        <v>62</v>
      </c>
      <c r="B65" s="163" t="s">
        <v>707</v>
      </c>
      <c r="C65" s="187">
        <v>13300000</v>
      </c>
      <c r="D65" s="187"/>
      <c r="E65" s="220" t="s">
        <v>79</v>
      </c>
      <c r="F65" s="231">
        <v>45506</v>
      </c>
      <c r="G65" s="231">
        <f>EDATE(F65,6)</f>
        <v>45690</v>
      </c>
      <c r="H65" s="231">
        <f t="shared" si="21"/>
        <v>45871</v>
      </c>
      <c r="I65" s="231">
        <f t="shared" si="21"/>
        <v>46055</v>
      </c>
      <c r="J65" s="231">
        <f t="shared" si="21"/>
        <v>46236</v>
      </c>
      <c r="K65" s="231">
        <f t="shared" si="21"/>
        <v>46420</v>
      </c>
      <c r="L65" s="231">
        <f t="shared" si="21"/>
        <v>46601</v>
      </c>
      <c r="M65" s="231">
        <f t="shared" si="21"/>
        <v>46785</v>
      </c>
      <c r="N65" s="231">
        <f t="shared" si="21"/>
        <v>46967</v>
      </c>
      <c r="O65" s="231">
        <f t="shared" si="21"/>
        <v>47151</v>
      </c>
      <c r="P65" s="231">
        <f t="shared" si="21"/>
        <v>47332</v>
      </c>
      <c r="Q65" s="231">
        <f t="shared" si="21"/>
        <v>47516</v>
      </c>
      <c r="R65" s="231">
        <f t="shared" si="3"/>
        <v>47697</v>
      </c>
      <c r="S65" s="231">
        <f t="shared" si="4"/>
        <v>47881</v>
      </c>
      <c r="T65" s="231">
        <f t="shared" si="5"/>
        <v>48062</v>
      </c>
      <c r="U65" s="231">
        <f t="shared" si="6"/>
        <v>48246</v>
      </c>
      <c r="V65" s="231">
        <f t="shared" si="7"/>
        <v>48428</v>
      </c>
      <c r="W65" s="231">
        <f t="shared" si="8"/>
        <v>48612</v>
      </c>
      <c r="X65" s="231">
        <f t="shared" si="9"/>
        <v>48793</v>
      </c>
      <c r="Y65" s="231">
        <f t="shared" si="10"/>
        <v>48977</v>
      </c>
      <c r="Z65" s="201">
        <f t="shared" si="13"/>
        <v>79800000</v>
      </c>
    </row>
    <row r="66" spans="1:26" x14ac:dyDescent="0.3">
      <c r="A66" s="162">
        <v>63</v>
      </c>
      <c r="B66" s="163" t="s">
        <v>710</v>
      </c>
      <c r="C66" s="187">
        <v>10000000</v>
      </c>
      <c r="D66" s="187"/>
      <c r="E66" s="220" t="s">
        <v>79</v>
      </c>
      <c r="F66" s="231">
        <v>45527</v>
      </c>
      <c r="G66" s="231">
        <f>EDATE(F66,6)</f>
        <v>45711</v>
      </c>
      <c r="H66" s="231">
        <f t="shared" si="21"/>
        <v>45892</v>
      </c>
      <c r="I66" s="231">
        <f t="shared" si="21"/>
        <v>46076</v>
      </c>
      <c r="J66" s="231">
        <f t="shared" si="21"/>
        <v>46257</v>
      </c>
      <c r="K66" s="231">
        <f t="shared" si="21"/>
        <v>46441</v>
      </c>
      <c r="L66" s="231">
        <f t="shared" si="21"/>
        <v>46622</v>
      </c>
      <c r="M66" s="231">
        <f t="shared" si="21"/>
        <v>46806</v>
      </c>
      <c r="N66" s="231">
        <f t="shared" si="21"/>
        <v>46988</v>
      </c>
      <c r="O66" s="231">
        <f t="shared" si="21"/>
        <v>47172</v>
      </c>
      <c r="P66" s="231">
        <f t="shared" si="21"/>
        <v>47353</v>
      </c>
      <c r="Q66" s="231">
        <f t="shared" si="21"/>
        <v>47537</v>
      </c>
      <c r="R66" s="231">
        <f t="shared" si="3"/>
        <v>47718</v>
      </c>
      <c r="S66" s="231">
        <f t="shared" si="4"/>
        <v>47902</v>
      </c>
      <c r="T66" s="231">
        <f t="shared" si="5"/>
        <v>48083</v>
      </c>
      <c r="U66" s="231">
        <f t="shared" si="6"/>
        <v>48267</v>
      </c>
      <c r="V66" s="231">
        <f t="shared" si="7"/>
        <v>48449</v>
      </c>
      <c r="W66" s="231">
        <f t="shared" si="8"/>
        <v>48633</v>
      </c>
      <c r="X66" s="231">
        <f t="shared" si="9"/>
        <v>48814</v>
      </c>
      <c r="Y66" s="231">
        <f t="shared" si="10"/>
        <v>48998</v>
      </c>
      <c r="Z66" s="201">
        <f t="shared" si="13"/>
        <v>60000000</v>
      </c>
    </row>
    <row r="67" spans="1:26" x14ac:dyDescent="0.3">
      <c r="A67" s="162">
        <v>64</v>
      </c>
      <c r="B67" s="234" t="s">
        <v>722</v>
      </c>
      <c r="C67" s="187">
        <v>9500000</v>
      </c>
      <c r="D67" s="235" t="s">
        <v>1034</v>
      </c>
      <c r="E67" s="220" t="s">
        <v>1035</v>
      </c>
      <c r="F67" s="231">
        <v>45454</v>
      </c>
      <c r="G67" s="231">
        <f t="shared" ref="G67:Q82" si="22">EDATE(F67,6)</f>
        <v>45637</v>
      </c>
      <c r="H67" s="231">
        <f t="shared" si="22"/>
        <v>45819</v>
      </c>
      <c r="I67" s="236">
        <f t="shared" si="22"/>
        <v>46002</v>
      </c>
      <c r="J67" s="231">
        <f t="shared" si="22"/>
        <v>46184</v>
      </c>
      <c r="K67" s="231">
        <f t="shared" si="22"/>
        <v>46367</v>
      </c>
      <c r="L67" s="231">
        <f t="shared" si="22"/>
        <v>46549</v>
      </c>
      <c r="M67" s="231">
        <f t="shared" si="22"/>
        <v>46732</v>
      </c>
      <c r="N67" s="231">
        <f t="shared" si="22"/>
        <v>46915</v>
      </c>
      <c r="O67" s="231">
        <f t="shared" si="22"/>
        <v>47098</v>
      </c>
      <c r="P67" s="231">
        <f t="shared" si="22"/>
        <v>47280</v>
      </c>
      <c r="Q67" s="231">
        <f t="shared" si="22"/>
        <v>47463</v>
      </c>
      <c r="R67" s="231">
        <f t="shared" si="3"/>
        <v>47645</v>
      </c>
      <c r="S67" s="231">
        <f t="shared" si="4"/>
        <v>47828</v>
      </c>
      <c r="T67" s="231">
        <f t="shared" si="5"/>
        <v>48010</v>
      </c>
      <c r="U67" s="231">
        <f t="shared" si="6"/>
        <v>48193</v>
      </c>
      <c r="V67" s="231">
        <f t="shared" si="7"/>
        <v>48376</v>
      </c>
      <c r="W67" s="231">
        <f t="shared" si="8"/>
        <v>48559</v>
      </c>
      <c r="X67" s="231">
        <f t="shared" si="9"/>
        <v>48741</v>
      </c>
      <c r="Y67" s="231">
        <f t="shared" si="10"/>
        <v>48924</v>
      </c>
      <c r="Z67" s="201">
        <f t="shared" si="13"/>
        <v>57000000</v>
      </c>
    </row>
    <row r="68" spans="1:26" x14ac:dyDescent="0.3">
      <c r="A68" s="162">
        <v>65</v>
      </c>
      <c r="B68" s="163" t="s">
        <v>740</v>
      </c>
      <c r="C68" s="187">
        <v>6400000</v>
      </c>
      <c r="D68" s="187"/>
      <c r="E68" s="220" t="s">
        <v>17</v>
      </c>
      <c r="F68" s="231">
        <v>45505</v>
      </c>
      <c r="G68" s="231">
        <f>EDATE(F68,6)</f>
        <v>45689</v>
      </c>
      <c r="H68" s="231">
        <f t="shared" si="22"/>
        <v>45870</v>
      </c>
      <c r="I68" s="231">
        <f t="shared" si="22"/>
        <v>46054</v>
      </c>
      <c r="J68" s="231">
        <f t="shared" si="22"/>
        <v>46235</v>
      </c>
      <c r="K68" s="231">
        <f t="shared" si="22"/>
        <v>46419</v>
      </c>
      <c r="L68" s="231">
        <f t="shared" si="22"/>
        <v>46600</v>
      </c>
      <c r="M68" s="231">
        <f t="shared" si="22"/>
        <v>46784</v>
      </c>
      <c r="N68" s="231">
        <f t="shared" si="22"/>
        <v>46966</v>
      </c>
      <c r="O68" s="231">
        <f t="shared" si="22"/>
        <v>47150</v>
      </c>
      <c r="P68" s="231">
        <f t="shared" si="22"/>
        <v>47331</v>
      </c>
      <c r="Q68" s="231">
        <f t="shared" si="22"/>
        <v>47515</v>
      </c>
      <c r="R68" s="231">
        <f t="shared" ref="R68:R91" si="23">EDATE(Q68,6)</f>
        <v>47696</v>
      </c>
      <c r="S68" s="231">
        <f t="shared" ref="S68:S91" si="24">EDATE(R68,6)</f>
        <v>47880</v>
      </c>
      <c r="T68" s="231">
        <f t="shared" ref="T68:T91" si="25">EDATE(S68,6)</f>
        <v>48061</v>
      </c>
      <c r="U68" s="231">
        <f t="shared" ref="U68:U91" si="26">EDATE(T68,6)</f>
        <v>48245</v>
      </c>
      <c r="V68" s="231">
        <f t="shared" ref="V68:V91" si="27">EDATE(U68,6)</f>
        <v>48427</v>
      </c>
      <c r="W68" s="231">
        <f t="shared" ref="W68:W91" si="28">EDATE(V68,6)</f>
        <v>48611</v>
      </c>
      <c r="X68" s="231">
        <f t="shared" ref="X68:X91" si="29">EDATE(W68,6)</f>
        <v>48792</v>
      </c>
      <c r="Y68" s="231">
        <f t="shared" ref="Y68:Y91" si="30">EDATE(X68,6)</f>
        <v>48976</v>
      </c>
      <c r="Z68" s="201">
        <f t="shared" si="13"/>
        <v>38400000</v>
      </c>
    </row>
    <row r="69" spans="1:26" x14ac:dyDescent="0.3">
      <c r="A69" s="162">
        <v>66</v>
      </c>
      <c r="B69" s="233" t="s">
        <v>669</v>
      </c>
      <c r="C69" s="187">
        <v>6700000</v>
      </c>
      <c r="D69" s="187"/>
      <c r="E69" s="220" t="s">
        <v>17</v>
      </c>
      <c r="F69" s="231">
        <v>45379</v>
      </c>
      <c r="G69" s="231">
        <f t="shared" ref="G69:G70" si="31">EDATE(F69,6)</f>
        <v>45563</v>
      </c>
      <c r="H69" s="231">
        <f t="shared" si="22"/>
        <v>45744</v>
      </c>
      <c r="I69" s="231">
        <f t="shared" si="22"/>
        <v>45928</v>
      </c>
      <c r="J69" s="231">
        <f t="shared" si="22"/>
        <v>46109</v>
      </c>
      <c r="K69" s="231">
        <f t="shared" si="22"/>
        <v>46293</v>
      </c>
      <c r="L69" s="231">
        <f t="shared" si="22"/>
        <v>46474</v>
      </c>
      <c r="M69" s="231">
        <f t="shared" si="22"/>
        <v>46658</v>
      </c>
      <c r="N69" s="231">
        <f t="shared" si="22"/>
        <v>46840</v>
      </c>
      <c r="O69" s="231">
        <f t="shared" si="22"/>
        <v>47024</v>
      </c>
      <c r="P69" s="231">
        <f t="shared" si="22"/>
        <v>47205</v>
      </c>
      <c r="Q69" s="231">
        <f t="shared" si="22"/>
        <v>47389</v>
      </c>
      <c r="R69" s="231">
        <f t="shared" si="23"/>
        <v>47570</v>
      </c>
      <c r="S69" s="231">
        <f t="shared" si="24"/>
        <v>47754</v>
      </c>
      <c r="T69" s="231">
        <f t="shared" si="25"/>
        <v>47935</v>
      </c>
      <c r="U69" s="231">
        <f t="shared" si="26"/>
        <v>48119</v>
      </c>
      <c r="V69" s="231">
        <f t="shared" si="27"/>
        <v>48301</v>
      </c>
      <c r="W69" s="231">
        <f t="shared" si="28"/>
        <v>48485</v>
      </c>
      <c r="X69" s="231">
        <f t="shared" si="29"/>
        <v>48666</v>
      </c>
      <c r="Y69" s="231">
        <f t="shared" si="30"/>
        <v>48850</v>
      </c>
      <c r="Z69" s="201">
        <f t="shared" si="13"/>
        <v>40200000</v>
      </c>
    </row>
    <row r="70" spans="1:26" x14ac:dyDescent="0.3">
      <c r="A70" s="162">
        <v>67</v>
      </c>
      <c r="B70" s="233" t="s">
        <v>667</v>
      </c>
      <c r="C70" s="187">
        <v>6500000</v>
      </c>
      <c r="D70" s="187"/>
      <c r="E70" s="220" t="s">
        <v>17</v>
      </c>
      <c r="F70" s="231">
        <v>45379</v>
      </c>
      <c r="G70" s="231">
        <f t="shared" si="31"/>
        <v>45563</v>
      </c>
      <c r="H70" s="231">
        <f t="shared" si="22"/>
        <v>45744</v>
      </c>
      <c r="I70" s="231">
        <f t="shared" si="22"/>
        <v>45928</v>
      </c>
      <c r="J70" s="231">
        <f t="shared" si="22"/>
        <v>46109</v>
      </c>
      <c r="K70" s="231">
        <f t="shared" si="22"/>
        <v>46293</v>
      </c>
      <c r="L70" s="231">
        <f t="shared" si="22"/>
        <v>46474</v>
      </c>
      <c r="M70" s="231">
        <f t="shared" si="22"/>
        <v>46658</v>
      </c>
      <c r="N70" s="231">
        <f t="shared" si="22"/>
        <v>46840</v>
      </c>
      <c r="O70" s="231">
        <f t="shared" si="22"/>
        <v>47024</v>
      </c>
      <c r="P70" s="231">
        <f t="shared" si="22"/>
        <v>47205</v>
      </c>
      <c r="Q70" s="231">
        <f t="shared" si="22"/>
        <v>47389</v>
      </c>
      <c r="R70" s="231">
        <f t="shared" si="23"/>
        <v>47570</v>
      </c>
      <c r="S70" s="231">
        <f t="shared" si="24"/>
        <v>47754</v>
      </c>
      <c r="T70" s="231">
        <f t="shared" si="25"/>
        <v>47935</v>
      </c>
      <c r="U70" s="231">
        <f t="shared" si="26"/>
        <v>48119</v>
      </c>
      <c r="V70" s="231">
        <f t="shared" si="27"/>
        <v>48301</v>
      </c>
      <c r="W70" s="231">
        <f t="shared" si="28"/>
        <v>48485</v>
      </c>
      <c r="X70" s="231">
        <f t="shared" si="29"/>
        <v>48666</v>
      </c>
      <c r="Y70" s="231">
        <f t="shared" si="30"/>
        <v>48850</v>
      </c>
      <c r="Z70" s="201">
        <f t="shared" si="13"/>
        <v>39000000</v>
      </c>
    </row>
    <row r="71" spans="1:26" x14ac:dyDescent="0.3">
      <c r="A71" s="162">
        <v>68</v>
      </c>
      <c r="B71" s="163" t="s">
        <v>739</v>
      </c>
      <c r="C71" s="187">
        <v>9000000</v>
      </c>
      <c r="D71" s="187"/>
      <c r="E71" s="220"/>
      <c r="F71" s="231">
        <v>45606</v>
      </c>
      <c r="G71" s="231">
        <f>EDATE(F71,6)</f>
        <v>45787</v>
      </c>
      <c r="H71" s="231">
        <f>EDATE(G71,6)</f>
        <v>45971</v>
      </c>
      <c r="I71" s="231">
        <f t="shared" si="22"/>
        <v>46152</v>
      </c>
      <c r="J71" s="231">
        <f t="shared" si="22"/>
        <v>46336</v>
      </c>
      <c r="K71" s="231">
        <f t="shared" si="22"/>
        <v>46517</v>
      </c>
      <c r="L71" s="231">
        <f t="shared" si="22"/>
        <v>46701</v>
      </c>
      <c r="M71" s="231">
        <f t="shared" si="22"/>
        <v>46883</v>
      </c>
      <c r="N71" s="231">
        <f t="shared" si="22"/>
        <v>47067</v>
      </c>
      <c r="O71" s="231">
        <f t="shared" si="22"/>
        <v>47248</v>
      </c>
      <c r="P71" s="231">
        <f t="shared" si="22"/>
        <v>47432</v>
      </c>
      <c r="Q71" s="231">
        <f t="shared" si="22"/>
        <v>47613</v>
      </c>
      <c r="R71" s="231">
        <f t="shared" si="23"/>
        <v>47797</v>
      </c>
      <c r="S71" s="231">
        <f t="shared" si="24"/>
        <v>47978</v>
      </c>
      <c r="T71" s="231">
        <f t="shared" si="25"/>
        <v>48162</v>
      </c>
      <c r="U71" s="231">
        <f t="shared" si="26"/>
        <v>48344</v>
      </c>
      <c r="V71" s="231">
        <f t="shared" si="27"/>
        <v>48528</v>
      </c>
      <c r="W71" s="231">
        <f t="shared" si="28"/>
        <v>48709</v>
      </c>
      <c r="X71" s="231">
        <f t="shared" si="29"/>
        <v>48893</v>
      </c>
      <c r="Y71" s="231">
        <f t="shared" si="30"/>
        <v>49074</v>
      </c>
      <c r="Z71" s="201">
        <f>C71*6</f>
        <v>54000000</v>
      </c>
    </row>
    <row r="72" spans="1:26" x14ac:dyDescent="0.3">
      <c r="A72" s="162">
        <v>69</v>
      </c>
      <c r="B72" s="163" t="s">
        <v>741</v>
      </c>
      <c r="C72" s="187">
        <v>9400000</v>
      </c>
      <c r="D72" s="187"/>
      <c r="E72" s="220" t="s">
        <v>17</v>
      </c>
      <c r="F72" s="231">
        <v>45576</v>
      </c>
      <c r="G72" s="231">
        <f t="shared" ref="G72:H73" si="32">EDATE(F72,6)</f>
        <v>45758</v>
      </c>
      <c r="H72" s="231">
        <f t="shared" si="32"/>
        <v>45941</v>
      </c>
      <c r="I72" s="236">
        <f t="shared" si="22"/>
        <v>46123</v>
      </c>
      <c r="J72" s="231">
        <f t="shared" si="22"/>
        <v>46306</v>
      </c>
      <c r="K72" s="231">
        <f t="shared" si="22"/>
        <v>46488</v>
      </c>
      <c r="L72" s="231">
        <f t="shared" si="22"/>
        <v>46671</v>
      </c>
      <c r="M72" s="231">
        <f t="shared" si="22"/>
        <v>46854</v>
      </c>
      <c r="N72" s="231">
        <f t="shared" si="22"/>
        <v>47037</v>
      </c>
      <c r="O72" s="231">
        <f t="shared" si="22"/>
        <v>47219</v>
      </c>
      <c r="P72" s="231">
        <f t="shared" si="22"/>
        <v>47402</v>
      </c>
      <c r="Q72" s="231">
        <f t="shared" si="22"/>
        <v>47584</v>
      </c>
      <c r="R72" s="231">
        <f t="shared" si="23"/>
        <v>47767</v>
      </c>
      <c r="S72" s="231">
        <f t="shared" si="24"/>
        <v>47949</v>
      </c>
      <c r="T72" s="231">
        <f t="shared" si="25"/>
        <v>48132</v>
      </c>
      <c r="U72" s="231">
        <f t="shared" si="26"/>
        <v>48315</v>
      </c>
      <c r="V72" s="231">
        <f t="shared" si="27"/>
        <v>48498</v>
      </c>
      <c r="W72" s="231">
        <f t="shared" si="28"/>
        <v>48680</v>
      </c>
      <c r="X72" s="231">
        <f t="shared" si="29"/>
        <v>48863</v>
      </c>
      <c r="Y72" s="231">
        <f t="shared" si="30"/>
        <v>49045</v>
      </c>
      <c r="Z72" s="201">
        <f>C72*6</f>
        <v>56400000</v>
      </c>
    </row>
    <row r="73" spans="1:26" x14ac:dyDescent="0.3">
      <c r="A73" s="162">
        <v>70</v>
      </c>
      <c r="B73" s="233" t="s">
        <v>742</v>
      </c>
      <c r="C73" s="187">
        <v>9400000</v>
      </c>
      <c r="D73" s="187"/>
      <c r="E73" s="220" t="s">
        <v>17</v>
      </c>
      <c r="F73" s="231">
        <v>45565</v>
      </c>
      <c r="G73" s="231">
        <f t="shared" si="32"/>
        <v>45746</v>
      </c>
      <c r="H73" s="231">
        <f t="shared" si="32"/>
        <v>45930</v>
      </c>
      <c r="I73" s="231">
        <f t="shared" si="22"/>
        <v>46111</v>
      </c>
      <c r="J73" s="231">
        <f t="shared" si="22"/>
        <v>46295</v>
      </c>
      <c r="K73" s="231">
        <f t="shared" si="22"/>
        <v>46476</v>
      </c>
      <c r="L73" s="231">
        <f t="shared" si="22"/>
        <v>46660</v>
      </c>
      <c r="M73" s="231">
        <f t="shared" si="22"/>
        <v>46842</v>
      </c>
      <c r="N73" s="231">
        <f t="shared" si="22"/>
        <v>47026</v>
      </c>
      <c r="O73" s="231">
        <f t="shared" si="22"/>
        <v>47207</v>
      </c>
      <c r="P73" s="231">
        <f t="shared" si="22"/>
        <v>47391</v>
      </c>
      <c r="Q73" s="231">
        <f t="shared" si="22"/>
        <v>47572</v>
      </c>
      <c r="R73" s="231">
        <f t="shared" si="23"/>
        <v>47756</v>
      </c>
      <c r="S73" s="231">
        <f t="shared" si="24"/>
        <v>47937</v>
      </c>
      <c r="T73" s="231">
        <f t="shared" si="25"/>
        <v>48121</v>
      </c>
      <c r="U73" s="231">
        <f t="shared" si="26"/>
        <v>48303</v>
      </c>
      <c r="V73" s="231">
        <f t="shared" si="27"/>
        <v>48487</v>
      </c>
      <c r="W73" s="231">
        <f t="shared" si="28"/>
        <v>48668</v>
      </c>
      <c r="X73" s="231">
        <f t="shared" si="29"/>
        <v>48852</v>
      </c>
      <c r="Y73" s="231">
        <f t="shared" si="30"/>
        <v>49033</v>
      </c>
      <c r="Z73" s="201">
        <f>C73*6</f>
        <v>56400000</v>
      </c>
    </row>
    <row r="74" spans="1:26" x14ac:dyDescent="0.3">
      <c r="A74" s="162">
        <v>71</v>
      </c>
      <c r="B74" s="234" t="s">
        <v>771</v>
      </c>
      <c r="C74" s="187">
        <v>10500000</v>
      </c>
      <c r="D74" s="187"/>
      <c r="E74" s="220" t="s">
        <v>1004</v>
      </c>
      <c r="F74" s="231">
        <v>45633</v>
      </c>
      <c r="G74" s="231">
        <f>EDATE(F74,3)</f>
        <v>45723</v>
      </c>
      <c r="H74" s="231">
        <f>EDATE(G74,3)</f>
        <v>45815</v>
      </c>
      <c r="I74" s="236">
        <f>EDATE(H74,6)</f>
        <v>45998</v>
      </c>
      <c r="J74" s="231">
        <f t="shared" si="22"/>
        <v>46180</v>
      </c>
      <c r="K74" s="231">
        <f t="shared" si="22"/>
        <v>46363</v>
      </c>
      <c r="L74" s="231">
        <f t="shared" si="22"/>
        <v>46545</v>
      </c>
      <c r="M74" s="231">
        <f t="shared" si="22"/>
        <v>46728</v>
      </c>
      <c r="N74" s="231">
        <f t="shared" si="22"/>
        <v>46911</v>
      </c>
      <c r="O74" s="231">
        <f t="shared" si="22"/>
        <v>47094</v>
      </c>
      <c r="P74" s="231">
        <f t="shared" si="22"/>
        <v>47276</v>
      </c>
      <c r="Q74" s="231">
        <f t="shared" si="22"/>
        <v>47459</v>
      </c>
      <c r="R74" s="231">
        <f t="shared" si="23"/>
        <v>47641</v>
      </c>
      <c r="S74" s="231">
        <f t="shared" si="24"/>
        <v>47824</v>
      </c>
      <c r="T74" s="231">
        <f t="shared" si="25"/>
        <v>48006</v>
      </c>
      <c r="U74" s="231">
        <f t="shared" si="26"/>
        <v>48189</v>
      </c>
      <c r="V74" s="231">
        <f t="shared" si="27"/>
        <v>48372</v>
      </c>
      <c r="W74" s="231">
        <f t="shared" si="28"/>
        <v>48555</v>
      </c>
      <c r="X74" s="231">
        <f t="shared" si="29"/>
        <v>48737</v>
      </c>
      <c r="Y74" s="231">
        <f t="shared" si="30"/>
        <v>48920</v>
      </c>
      <c r="Z74" s="201">
        <f>C74*6</f>
        <v>63000000</v>
      </c>
    </row>
    <row r="75" spans="1:26" x14ac:dyDescent="0.3">
      <c r="A75" s="162">
        <v>72</v>
      </c>
      <c r="B75" s="163" t="s">
        <v>787</v>
      </c>
      <c r="C75" s="187">
        <v>11400000</v>
      </c>
      <c r="D75" s="187"/>
      <c r="E75" s="220"/>
      <c r="F75" s="231">
        <v>45685</v>
      </c>
      <c r="G75" s="231">
        <f>EDATE(F75,3)</f>
        <v>45775</v>
      </c>
      <c r="H75" s="231">
        <f>EDATE(G75,3)</f>
        <v>45866</v>
      </c>
      <c r="I75" s="231">
        <f>EDATE(H75,6)</f>
        <v>46050</v>
      </c>
      <c r="J75" s="231">
        <f t="shared" si="22"/>
        <v>46231</v>
      </c>
      <c r="K75" s="231">
        <f t="shared" si="22"/>
        <v>46415</v>
      </c>
      <c r="L75" s="231">
        <f t="shared" si="22"/>
        <v>46596</v>
      </c>
      <c r="M75" s="231">
        <f t="shared" si="22"/>
        <v>46780</v>
      </c>
      <c r="N75" s="231">
        <f t="shared" si="22"/>
        <v>46962</v>
      </c>
      <c r="O75" s="231">
        <f t="shared" si="22"/>
        <v>47146</v>
      </c>
      <c r="P75" s="231">
        <f t="shared" si="22"/>
        <v>47327</v>
      </c>
      <c r="Q75" s="231">
        <f t="shared" si="22"/>
        <v>47511</v>
      </c>
      <c r="R75" s="231">
        <f t="shared" si="23"/>
        <v>47692</v>
      </c>
      <c r="S75" s="231">
        <f t="shared" si="24"/>
        <v>47876</v>
      </c>
      <c r="T75" s="231">
        <f t="shared" si="25"/>
        <v>48057</v>
      </c>
      <c r="U75" s="231">
        <f t="shared" si="26"/>
        <v>48241</v>
      </c>
      <c r="V75" s="231">
        <f t="shared" si="27"/>
        <v>48423</v>
      </c>
      <c r="W75" s="231">
        <f t="shared" si="28"/>
        <v>48607</v>
      </c>
      <c r="X75" s="231">
        <f t="shared" si="29"/>
        <v>48788</v>
      </c>
      <c r="Y75" s="231">
        <f t="shared" si="30"/>
        <v>48972</v>
      </c>
      <c r="Z75" s="201">
        <f>C75*6</f>
        <v>68400000</v>
      </c>
    </row>
    <row r="76" spans="1:26" x14ac:dyDescent="0.3">
      <c r="A76" s="162">
        <v>73</v>
      </c>
      <c r="B76" s="163" t="s">
        <v>778</v>
      </c>
      <c r="C76" s="187">
        <v>6400000</v>
      </c>
      <c r="D76" s="187"/>
      <c r="E76" s="220"/>
      <c r="F76" s="231">
        <v>45657</v>
      </c>
      <c r="G76" s="231">
        <f>EDATE(F76,6)+1</f>
        <v>45839</v>
      </c>
      <c r="H76" s="236">
        <f t="shared" ref="H76:Q91" si="33">EDATE(G76,6)</f>
        <v>46023</v>
      </c>
      <c r="I76" s="231">
        <f t="shared" si="33"/>
        <v>46204</v>
      </c>
      <c r="J76" s="231">
        <f t="shared" si="22"/>
        <v>46388</v>
      </c>
      <c r="K76" s="231">
        <f t="shared" si="22"/>
        <v>46569</v>
      </c>
      <c r="L76" s="231">
        <f t="shared" si="22"/>
        <v>46753</v>
      </c>
      <c r="M76" s="231">
        <f t="shared" si="22"/>
        <v>46935</v>
      </c>
      <c r="N76" s="231">
        <f t="shared" si="22"/>
        <v>47119</v>
      </c>
      <c r="O76" s="231">
        <f t="shared" si="22"/>
        <v>47300</v>
      </c>
      <c r="P76" s="231">
        <f t="shared" si="22"/>
        <v>47484</v>
      </c>
      <c r="Q76" s="231">
        <f t="shared" si="22"/>
        <v>47665</v>
      </c>
      <c r="R76" s="231">
        <f t="shared" si="23"/>
        <v>47849</v>
      </c>
      <c r="S76" s="231">
        <f t="shared" si="24"/>
        <v>48030</v>
      </c>
      <c r="T76" s="231">
        <f t="shared" si="25"/>
        <v>48214</v>
      </c>
      <c r="U76" s="231">
        <f t="shared" si="26"/>
        <v>48396</v>
      </c>
      <c r="V76" s="231">
        <f t="shared" si="27"/>
        <v>48580</v>
      </c>
      <c r="W76" s="231">
        <f t="shared" si="28"/>
        <v>48761</v>
      </c>
      <c r="X76" s="231">
        <f t="shared" si="29"/>
        <v>48945</v>
      </c>
      <c r="Y76" s="231">
        <f t="shared" si="30"/>
        <v>49126</v>
      </c>
      <c r="Z76" s="201">
        <f t="shared" ref="Z76" si="34">C76*6</f>
        <v>38400000</v>
      </c>
    </row>
    <row r="77" spans="1:26" x14ac:dyDescent="0.3">
      <c r="A77" s="162">
        <v>74</v>
      </c>
      <c r="B77" s="163" t="s">
        <v>791</v>
      </c>
      <c r="C77" s="187">
        <v>6400000</v>
      </c>
      <c r="D77" s="187"/>
      <c r="E77" s="220"/>
      <c r="F77" s="231">
        <v>45700</v>
      </c>
      <c r="G77" s="231">
        <f t="shared" ref="G77" si="35">EDATE(F77,6)</f>
        <v>45881</v>
      </c>
      <c r="H77" s="231">
        <f t="shared" si="33"/>
        <v>46065</v>
      </c>
      <c r="I77" s="231">
        <f t="shared" si="33"/>
        <v>46246</v>
      </c>
      <c r="J77" s="231">
        <f t="shared" si="22"/>
        <v>46430</v>
      </c>
      <c r="K77" s="231">
        <f t="shared" si="22"/>
        <v>46611</v>
      </c>
      <c r="L77" s="231">
        <f t="shared" si="22"/>
        <v>46795</v>
      </c>
      <c r="M77" s="231">
        <f t="shared" si="22"/>
        <v>46977</v>
      </c>
      <c r="N77" s="231">
        <f t="shared" si="22"/>
        <v>47161</v>
      </c>
      <c r="O77" s="231">
        <f t="shared" si="22"/>
        <v>47342</v>
      </c>
      <c r="P77" s="231">
        <f t="shared" si="22"/>
        <v>47526</v>
      </c>
      <c r="Q77" s="231">
        <f t="shared" si="22"/>
        <v>47707</v>
      </c>
      <c r="R77" s="231">
        <f t="shared" si="23"/>
        <v>47891</v>
      </c>
      <c r="S77" s="231">
        <f t="shared" si="24"/>
        <v>48072</v>
      </c>
      <c r="T77" s="231">
        <f t="shared" si="25"/>
        <v>48256</v>
      </c>
      <c r="U77" s="231">
        <f t="shared" si="26"/>
        <v>48438</v>
      </c>
      <c r="V77" s="231">
        <f t="shared" si="27"/>
        <v>48622</v>
      </c>
      <c r="W77" s="231">
        <f t="shared" si="28"/>
        <v>48803</v>
      </c>
      <c r="X77" s="231">
        <f t="shared" si="29"/>
        <v>48987</v>
      </c>
      <c r="Y77" s="231">
        <f t="shared" si="30"/>
        <v>49168</v>
      </c>
      <c r="Z77" s="201">
        <f>C77*6</f>
        <v>38400000</v>
      </c>
    </row>
    <row r="78" spans="1:26" x14ac:dyDescent="0.3">
      <c r="A78" s="162">
        <v>75</v>
      </c>
      <c r="B78" s="163" t="s">
        <v>792</v>
      </c>
      <c r="C78" s="187">
        <v>6500000</v>
      </c>
      <c r="D78" s="187"/>
      <c r="E78" s="220"/>
      <c r="F78" s="231">
        <v>45704</v>
      </c>
      <c r="G78" s="231">
        <f>EDATE(F78,3)</f>
        <v>45793</v>
      </c>
      <c r="H78" s="231">
        <f t="shared" si="33"/>
        <v>45977</v>
      </c>
      <c r="I78" s="231">
        <f t="shared" si="33"/>
        <v>46158</v>
      </c>
      <c r="J78" s="231">
        <f t="shared" si="22"/>
        <v>46342</v>
      </c>
      <c r="K78" s="231">
        <f t="shared" si="22"/>
        <v>46523</v>
      </c>
      <c r="L78" s="231">
        <f t="shared" si="22"/>
        <v>46707</v>
      </c>
      <c r="M78" s="231">
        <f t="shared" si="22"/>
        <v>46889</v>
      </c>
      <c r="N78" s="231">
        <f t="shared" si="22"/>
        <v>47073</v>
      </c>
      <c r="O78" s="231">
        <f t="shared" si="22"/>
        <v>47254</v>
      </c>
      <c r="P78" s="231">
        <f t="shared" si="22"/>
        <v>47438</v>
      </c>
      <c r="Q78" s="231">
        <f t="shared" si="22"/>
        <v>47619</v>
      </c>
      <c r="R78" s="231">
        <f t="shared" si="23"/>
        <v>47803</v>
      </c>
      <c r="S78" s="231">
        <f t="shared" si="24"/>
        <v>47984</v>
      </c>
      <c r="T78" s="231">
        <f t="shared" si="25"/>
        <v>48168</v>
      </c>
      <c r="U78" s="231">
        <f t="shared" si="26"/>
        <v>48350</v>
      </c>
      <c r="V78" s="231">
        <f t="shared" si="27"/>
        <v>48534</v>
      </c>
      <c r="W78" s="231">
        <f t="shared" si="28"/>
        <v>48715</v>
      </c>
      <c r="X78" s="231">
        <f t="shared" si="29"/>
        <v>48899</v>
      </c>
      <c r="Y78" s="231">
        <f t="shared" si="30"/>
        <v>49080</v>
      </c>
      <c r="Z78" s="201">
        <f>C78*6</f>
        <v>39000000</v>
      </c>
    </row>
    <row r="79" spans="1:26" x14ac:dyDescent="0.3">
      <c r="A79" s="162">
        <v>76</v>
      </c>
      <c r="B79" s="246" t="s">
        <v>1036</v>
      </c>
      <c r="C79" s="187">
        <v>12000000</v>
      </c>
      <c r="D79" s="187"/>
      <c r="E79" s="220"/>
      <c r="F79" s="231">
        <v>45720</v>
      </c>
      <c r="G79" s="231">
        <v>45903</v>
      </c>
      <c r="H79" s="231">
        <f t="shared" si="33"/>
        <v>46084</v>
      </c>
      <c r="I79" s="231">
        <f t="shared" si="33"/>
        <v>46268</v>
      </c>
      <c r="J79" s="231">
        <f t="shared" si="22"/>
        <v>46449</v>
      </c>
      <c r="K79" s="231">
        <f t="shared" si="22"/>
        <v>46633</v>
      </c>
      <c r="L79" s="231">
        <f t="shared" si="22"/>
        <v>46815</v>
      </c>
      <c r="M79" s="231">
        <f t="shared" si="22"/>
        <v>46999</v>
      </c>
      <c r="N79" s="231">
        <f t="shared" si="22"/>
        <v>47180</v>
      </c>
      <c r="O79" s="231">
        <f t="shared" si="22"/>
        <v>47364</v>
      </c>
      <c r="P79" s="231">
        <f t="shared" si="22"/>
        <v>47545</v>
      </c>
      <c r="Q79" s="231">
        <f t="shared" si="22"/>
        <v>47729</v>
      </c>
      <c r="R79" s="231">
        <f t="shared" si="23"/>
        <v>47910</v>
      </c>
      <c r="S79" s="231">
        <f t="shared" si="24"/>
        <v>48094</v>
      </c>
      <c r="T79" s="231">
        <f t="shared" si="25"/>
        <v>48276</v>
      </c>
      <c r="U79" s="231">
        <f t="shared" si="26"/>
        <v>48460</v>
      </c>
      <c r="V79" s="231">
        <f t="shared" si="27"/>
        <v>48641</v>
      </c>
      <c r="W79" s="231">
        <f t="shared" si="28"/>
        <v>48825</v>
      </c>
      <c r="X79" s="231">
        <f t="shared" si="29"/>
        <v>49006</v>
      </c>
      <c r="Y79" s="231">
        <f t="shared" si="30"/>
        <v>49190</v>
      </c>
      <c r="Z79" s="201">
        <f>C79*6</f>
        <v>72000000</v>
      </c>
    </row>
    <row r="80" spans="1:26" x14ac:dyDescent="0.3">
      <c r="A80" s="162">
        <v>77</v>
      </c>
      <c r="B80" s="163" t="s">
        <v>803</v>
      </c>
      <c r="C80" s="187">
        <v>9300000</v>
      </c>
      <c r="D80" s="187"/>
      <c r="E80" s="220"/>
      <c r="F80" s="231">
        <v>45757</v>
      </c>
      <c r="G80" s="231">
        <f>EDATE(F80,3)</f>
        <v>45848</v>
      </c>
      <c r="H80" s="231">
        <f>EDATE(G80,3)</f>
        <v>45940</v>
      </c>
      <c r="I80" s="231">
        <f t="shared" si="33"/>
        <v>46122</v>
      </c>
      <c r="J80" s="231">
        <f t="shared" si="22"/>
        <v>46305</v>
      </c>
      <c r="K80" s="231">
        <f t="shared" si="22"/>
        <v>46487</v>
      </c>
      <c r="L80" s="231">
        <f t="shared" si="22"/>
        <v>46670</v>
      </c>
      <c r="M80" s="231">
        <f t="shared" si="22"/>
        <v>46853</v>
      </c>
      <c r="N80" s="231">
        <f t="shared" si="22"/>
        <v>47036</v>
      </c>
      <c r="O80" s="231">
        <f t="shared" si="22"/>
        <v>47218</v>
      </c>
      <c r="P80" s="231">
        <f t="shared" si="22"/>
        <v>47401</v>
      </c>
      <c r="Q80" s="231">
        <f t="shared" si="22"/>
        <v>47583</v>
      </c>
      <c r="R80" s="231">
        <f t="shared" si="23"/>
        <v>47766</v>
      </c>
      <c r="S80" s="231">
        <f t="shared" si="24"/>
        <v>47948</v>
      </c>
      <c r="T80" s="231">
        <f t="shared" si="25"/>
        <v>48131</v>
      </c>
      <c r="U80" s="231">
        <f t="shared" si="26"/>
        <v>48314</v>
      </c>
      <c r="V80" s="231">
        <f t="shared" si="27"/>
        <v>48497</v>
      </c>
      <c r="W80" s="231">
        <f t="shared" si="28"/>
        <v>48679</v>
      </c>
      <c r="X80" s="231">
        <f t="shared" si="29"/>
        <v>48862</v>
      </c>
      <c r="Y80" s="231">
        <f t="shared" si="30"/>
        <v>49044</v>
      </c>
      <c r="Z80" s="201">
        <f>C80*6</f>
        <v>55800000</v>
      </c>
    </row>
    <row r="81" spans="1:26" x14ac:dyDescent="0.3">
      <c r="A81" s="162">
        <v>78</v>
      </c>
      <c r="B81" s="163" t="s">
        <v>835</v>
      </c>
      <c r="C81" s="187">
        <v>6250000</v>
      </c>
      <c r="D81" s="187"/>
      <c r="E81" s="220"/>
      <c r="F81" s="231">
        <v>45855</v>
      </c>
      <c r="G81" s="231">
        <f>EDATE(F81,6)</f>
        <v>46039</v>
      </c>
      <c r="H81" s="231">
        <f t="shared" ref="H81:H90" si="36">EDATE(G81,6)</f>
        <v>46220</v>
      </c>
      <c r="I81" s="231">
        <f t="shared" si="33"/>
        <v>46404</v>
      </c>
      <c r="J81" s="231">
        <f t="shared" si="22"/>
        <v>46585</v>
      </c>
      <c r="K81" s="231">
        <f t="shared" si="22"/>
        <v>46769</v>
      </c>
      <c r="L81" s="231">
        <f t="shared" si="22"/>
        <v>46951</v>
      </c>
      <c r="M81" s="231">
        <f t="shared" si="22"/>
        <v>47135</v>
      </c>
      <c r="N81" s="231">
        <f t="shared" si="22"/>
        <v>47316</v>
      </c>
      <c r="O81" s="231">
        <f t="shared" si="22"/>
        <v>47500</v>
      </c>
      <c r="P81" s="231">
        <f t="shared" si="22"/>
        <v>47681</v>
      </c>
      <c r="Q81" s="231">
        <f t="shared" si="22"/>
        <v>47865</v>
      </c>
      <c r="R81" s="231">
        <f t="shared" si="23"/>
        <v>48046</v>
      </c>
      <c r="S81" s="231">
        <f t="shared" si="24"/>
        <v>48230</v>
      </c>
      <c r="T81" s="231">
        <f t="shared" si="25"/>
        <v>48412</v>
      </c>
      <c r="U81" s="231">
        <f t="shared" si="26"/>
        <v>48596</v>
      </c>
      <c r="V81" s="231">
        <f t="shared" si="27"/>
        <v>48777</v>
      </c>
      <c r="W81" s="231">
        <f t="shared" si="28"/>
        <v>48961</v>
      </c>
      <c r="X81" s="231">
        <f t="shared" si="29"/>
        <v>49142</v>
      </c>
      <c r="Y81" s="231">
        <f t="shared" si="30"/>
        <v>49326</v>
      </c>
      <c r="Z81" s="201">
        <f>C81*6</f>
        <v>37500000</v>
      </c>
    </row>
    <row r="82" spans="1:26" x14ac:dyDescent="0.3">
      <c r="A82" s="162">
        <v>79</v>
      </c>
      <c r="B82" s="163" t="s">
        <v>831</v>
      </c>
      <c r="C82" s="187">
        <v>9100000</v>
      </c>
      <c r="D82" s="187"/>
      <c r="E82" s="220" t="s">
        <v>17</v>
      </c>
      <c r="F82" s="231">
        <v>45887</v>
      </c>
      <c r="G82" s="231">
        <f>EDATE(F82,6)</f>
        <v>46071</v>
      </c>
      <c r="H82" s="231">
        <f t="shared" si="36"/>
        <v>46252</v>
      </c>
      <c r="I82" s="231">
        <f t="shared" si="33"/>
        <v>46436</v>
      </c>
      <c r="J82" s="231">
        <f t="shared" si="22"/>
        <v>46617</v>
      </c>
      <c r="K82" s="231">
        <f t="shared" si="22"/>
        <v>46801</v>
      </c>
      <c r="L82" s="231">
        <f t="shared" si="22"/>
        <v>46983</v>
      </c>
      <c r="M82" s="231">
        <f t="shared" si="22"/>
        <v>47167</v>
      </c>
      <c r="N82" s="231">
        <f t="shared" si="22"/>
        <v>47348</v>
      </c>
      <c r="O82" s="231">
        <f t="shared" si="22"/>
        <v>47532</v>
      </c>
      <c r="P82" s="231">
        <f t="shared" si="22"/>
        <v>47713</v>
      </c>
      <c r="Q82" s="231">
        <f t="shared" si="22"/>
        <v>47897</v>
      </c>
      <c r="R82" s="231">
        <f t="shared" si="23"/>
        <v>48078</v>
      </c>
      <c r="S82" s="231">
        <f t="shared" si="24"/>
        <v>48262</v>
      </c>
      <c r="T82" s="231">
        <f t="shared" si="25"/>
        <v>48444</v>
      </c>
      <c r="U82" s="231">
        <f t="shared" si="26"/>
        <v>48628</v>
      </c>
      <c r="V82" s="231">
        <f t="shared" si="27"/>
        <v>48809</v>
      </c>
      <c r="W82" s="231">
        <f t="shared" si="28"/>
        <v>48993</v>
      </c>
      <c r="X82" s="231">
        <f t="shared" si="29"/>
        <v>49174</v>
      </c>
      <c r="Y82" s="231">
        <f t="shared" si="30"/>
        <v>49358</v>
      </c>
      <c r="Z82" s="201">
        <f t="shared" ref="Z82:Z88" si="37">C82*6</f>
        <v>54600000</v>
      </c>
    </row>
    <row r="83" spans="1:26" x14ac:dyDescent="0.3">
      <c r="A83" s="162">
        <v>80</v>
      </c>
      <c r="B83" s="163" t="s">
        <v>833</v>
      </c>
      <c r="C83" s="187">
        <v>9300000</v>
      </c>
      <c r="D83" s="187"/>
      <c r="E83" s="220" t="s">
        <v>17</v>
      </c>
      <c r="F83" s="231">
        <v>45884</v>
      </c>
      <c r="G83" s="231">
        <f>EDATE(F83,6)</f>
        <v>46068</v>
      </c>
      <c r="H83" s="231">
        <f t="shared" si="36"/>
        <v>46249</v>
      </c>
      <c r="I83" s="231">
        <f t="shared" si="33"/>
        <v>46433</v>
      </c>
      <c r="J83" s="231">
        <f t="shared" si="33"/>
        <v>46614</v>
      </c>
      <c r="K83" s="231">
        <f t="shared" si="33"/>
        <v>46798</v>
      </c>
      <c r="L83" s="231">
        <f t="shared" si="33"/>
        <v>46980</v>
      </c>
      <c r="M83" s="231">
        <f t="shared" si="33"/>
        <v>47164</v>
      </c>
      <c r="N83" s="231">
        <f t="shared" si="33"/>
        <v>47345</v>
      </c>
      <c r="O83" s="231">
        <f t="shared" si="33"/>
        <v>47529</v>
      </c>
      <c r="P83" s="231">
        <f t="shared" si="33"/>
        <v>47710</v>
      </c>
      <c r="Q83" s="231">
        <f t="shared" si="33"/>
        <v>47894</v>
      </c>
      <c r="R83" s="231">
        <f t="shared" si="23"/>
        <v>48075</v>
      </c>
      <c r="S83" s="231">
        <f t="shared" si="24"/>
        <v>48259</v>
      </c>
      <c r="T83" s="231">
        <f t="shared" si="25"/>
        <v>48441</v>
      </c>
      <c r="U83" s="231">
        <f t="shared" si="26"/>
        <v>48625</v>
      </c>
      <c r="V83" s="231">
        <f t="shared" si="27"/>
        <v>48806</v>
      </c>
      <c r="W83" s="231">
        <f t="shared" si="28"/>
        <v>48990</v>
      </c>
      <c r="X83" s="231">
        <f t="shared" si="29"/>
        <v>49171</v>
      </c>
      <c r="Y83" s="231">
        <f t="shared" si="30"/>
        <v>49355</v>
      </c>
      <c r="Z83" s="201">
        <f t="shared" si="37"/>
        <v>55800000</v>
      </c>
    </row>
    <row r="84" spans="1:26" x14ac:dyDescent="0.3">
      <c r="A84" s="162">
        <v>81</v>
      </c>
      <c r="B84" s="163" t="s">
        <v>972</v>
      </c>
      <c r="C84" s="187">
        <v>6400000</v>
      </c>
      <c r="D84" s="187"/>
      <c r="E84" s="220" t="s">
        <v>1004</v>
      </c>
      <c r="F84" s="231">
        <v>45873</v>
      </c>
      <c r="G84" s="231">
        <f>EDATE(F84,3)</f>
        <v>45965</v>
      </c>
      <c r="H84" s="231">
        <f>EDATE(G84,3)</f>
        <v>46057</v>
      </c>
      <c r="I84" s="231">
        <f t="shared" si="33"/>
        <v>46238</v>
      </c>
      <c r="J84" s="231">
        <f t="shared" si="33"/>
        <v>46422</v>
      </c>
      <c r="K84" s="231">
        <f t="shared" si="33"/>
        <v>46603</v>
      </c>
      <c r="L84" s="231">
        <f t="shared" si="33"/>
        <v>46787</v>
      </c>
      <c r="M84" s="231">
        <f t="shared" si="33"/>
        <v>46969</v>
      </c>
      <c r="N84" s="231">
        <f t="shared" si="33"/>
        <v>47153</v>
      </c>
      <c r="O84" s="231">
        <f t="shared" si="33"/>
        <v>47334</v>
      </c>
      <c r="P84" s="231">
        <f t="shared" si="33"/>
        <v>47518</v>
      </c>
      <c r="Q84" s="231">
        <f t="shared" si="33"/>
        <v>47699</v>
      </c>
      <c r="R84" s="231">
        <f t="shared" si="23"/>
        <v>47883</v>
      </c>
      <c r="S84" s="231">
        <f t="shared" si="24"/>
        <v>48064</v>
      </c>
      <c r="T84" s="231">
        <f t="shared" si="25"/>
        <v>48248</v>
      </c>
      <c r="U84" s="231">
        <f t="shared" si="26"/>
        <v>48430</v>
      </c>
      <c r="V84" s="231">
        <f t="shared" si="27"/>
        <v>48614</v>
      </c>
      <c r="W84" s="231">
        <f t="shared" si="28"/>
        <v>48795</v>
      </c>
      <c r="X84" s="231">
        <f t="shared" si="29"/>
        <v>48979</v>
      </c>
      <c r="Y84" s="231">
        <f t="shared" si="30"/>
        <v>49160</v>
      </c>
      <c r="Z84" s="201">
        <f t="shared" si="37"/>
        <v>38400000</v>
      </c>
    </row>
    <row r="85" spans="1:26" x14ac:dyDescent="0.3">
      <c r="A85" s="162">
        <v>82</v>
      </c>
      <c r="B85" s="163" t="s">
        <v>808</v>
      </c>
      <c r="C85" s="187">
        <v>13400000</v>
      </c>
      <c r="D85" s="187"/>
      <c r="E85" s="220" t="s">
        <v>17</v>
      </c>
      <c r="F85" s="231">
        <v>45884</v>
      </c>
      <c r="G85" s="231">
        <f t="shared" ref="G85:G90" si="38">EDATE(F85,6)</f>
        <v>46068</v>
      </c>
      <c r="H85" s="231">
        <f t="shared" si="36"/>
        <v>46249</v>
      </c>
      <c r="I85" s="231">
        <f t="shared" si="33"/>
        <v>46433</v>
      </c>
      <c r="J85" s="231">
        <f t="shared" si="33"/>
        <v>46614</v>
      </c>
      <c r="K85" s="231">
        <f t="shared" si="33"/>
        <v>46798</v>
      </c>
      <c r="L85" s="231">
        <f t="shared" si="33"/>
        <v>46980</v>
      </c>
      <c r="M85" s="231">
        <f t="shared" si="33"/>
        <v>47164</v>
      </c>
      <c r="N85" s="231">
        <f t="shared" si="33"/>
        <v>47345</v>
      </c>
      <c r="O85" s="231">
        <f t="shared" si="33"/>
        <v>47529</v>
      </c>
      <c r="P85" s="231">
        <f t="shared" si="33"/>
        <v>47710</v>
      </c>
      <c r="Q85" s="231">
        <f t="shared" si="33"/>
        <v>47894</v>
      </c>
      <c r="R85" s="231">
        <f t="shared" si="23"/>
        <v>48075</v>
      </c>
      <c r="S85" s="231">
        <f t="shared" si="24"/>
        <v>48259</v>
      </c>
      <c r="T85" s="231">
        <f t="shared" si="25"/>
        <v>48441</v>
      </c>
      <c r="U85" s="231">
        <f t="shared" si="26"/>
        <v>48625</v>
      </c>
      <c r="V85" s="231">
        <f t="shared" si="27"/>
        <v>48806</v>
      </c>
      <c r="W85" s="231">
        <f t="shared" si="28"/>
        <v>48990</v>
      </c>
      <c r="X85" s="231">
        <f t="shared" si="29"/>
        <v>49171</v>
      </c>
      <c r="Y85" s="231">
        <f t="shared" si="30"/>
        <v>49355</v>
      </c>
      <c r="Z85" s="201">
        <f t="shared" si="37"/>
        <v>80400000</v>
      </c>
    </row>
    <row r="86" spans="1:26" x14ac:dyDescent="0.3">
      <c r="A86" s="162">
        <v>83</v>
      </c>
      <c r="B86" s="163" t="s">
        <v>834</v>
      </c>
      <c r="C86" s="187">
        <v>6800000</v>
      </c>
      <c r="D86" s="187"/>
      <c r="E86" s="220" t="s">
        <v>17</v>
      </c>
      <c r="F86" s="231">
        <v>45891</v>
      </c>
      <c r="G86" s="231">
        <f t="shared" si="38"/>
        <v>46075</v>
      </c>
      <c r="H86" s="231">
        <f t="shared" si="36"/>
        <v>46256</v>
      </c>
      <c r="I86" s="231">
        <f t="shared" si="33"/>
        <v>46440</v>
      </c>
      <c r="J86" s="231">
        <f t="shared" si="33"/>
        <v>46621</v>
      </c>
      <c r="K86" s="231">
        <f t="shared" si="33"/>
        <v>46805</v>
      </c>
      <c r="L86" s="231">
        <f t="shared" si="33"/>
        <v>46987</v>
      </c>
      <c r="M86" s="231">
        <f t="shared" si="33"/>
        <v>47171</v>
      </c>
      <c r="N86" s="231">
        <f t="shared" si="33"/>
        <v>47352</v>
      </c>
      <c r="O86" s="231">
        <f t="shared" si="33"/>
        <v>47536</v>
      </c>
      <c r="P86" s="231">
        <f t="shared" si="33"/>
        <v>47717</v>
      </c>
      <c r="Q86" s="231">
        <f t="shared" si="33"/>
        <v>47901</v>
      </c>
      <c r="R86" s="231">
        <f t="shared" si="23"/>
        <v>48082</v>
      </c>
      <c r="S86" s="231">
        <f t="shared" si="24"/>
        <v>48266</v>
      </c>
      <c r="T86" s="231">
        <f t="shared" si="25"/>
        <v>48448</v>
      </c>
      <c r="U86" s="231">
        <f t="shared" si="26"/>
        <v>48632</v>
      </c>
      <c r="V86" s="231">
        <f t="shared" si="27"/>
        <v>48813</v>
      </c>
      <c r="W86" s="231">
        <f t="shared" si="28"/>
        <v>48997</v>
      </c>
      <c r="X86" s="231">
        <f t="shared" si="29"/>
        <v>49178</v>
      </c>
      <c r="Y86" s="231">
        <f t="shared" si="30"/>
        <v>49362</v>
      </c>
      <c r="Z86" s="201">
        <f t="shared" si="37"/>
        <v>40800000</v>
      </c>
    </row>
    <row r="87" spans="1:26" x14ac:dyDescent="0.3">
      <c r="A87" s="162" t="s">
        <v>1137</v>
      </c>
      <c r="B87" s="163" t="s">
        <v>392</v>
      </c>
      <c r="C87" s="187">
        <v>12600000</v>
      </c>
      <c r="D87" s="187"/>
      <c r="E87" s="220" t="s">
        <v>17</v>
      </c>
      <c r="F87" s="231">
        <v>45884</v>
      </c>
      <c r="G87" s="231">
        <f t="shared" si="38"/>
        <v>46068</v>
      </c>
      <c r="H87" s="231">
        <f t="shared" si="36"/>
        <v>46249</v>
      </c>
      <c r="I87" s="231">
        <f t="shared" si="33"/>
        <v>46433</v>
      </c>
      <c r="J87" s="231">
        <f t="shared" si="33"/>
        <v>46614</v>
      </c>
      <c r="K87" s="231">
        <f t="shared" si="33"/>
        <v>46798</v>
      </c>
      <c r="L87" s="231">
        <f t="shared" si="33"/>
        <v>46980</v>
      </c>
      <c r="M87" s="231">
        <f t="shared" si="33"/>
        <v>47164</v>
      </c>
      <c r="N87" s="231">
        <f t="shared" si="33"/>
        <v>47345</v>
      </c>
      <c r="O87" s="231">
        <f t="shared" si="33"/>
        <v>47529</v>
      </c>
      <c r="P87" s="231">
        <f t="shared" si="33"/>
        <v>47710</v>
      </c>
      <c r="Q87" s="231">
        <f t="shared" si="33"/>
        <v>47894</v>
      </c>
      <c r="R87" s="231">
        <f t="shared" si="23"/>
        <v>48075</v>
      </c>
      <c r="S87" s="231">
        <f t="shared" si="24"/>
        <v>48259</v>
      </c>
      <c r="T87" s="231">
        <f t="shared" si="25"/>
        <v>48441</v>
      </c>
      <c r="U87" s="231">
        <f t="shared" si="26"/>
        <v>48625</v>
      </c>
      <c r="V87" s="231">
        <f t="shared" si="27"/>
        <v>48806</v>
      </c>
      <c r="W87" s="231">
        <f t="shared" si="28"/>
        <v>48990</v>
      </c>
      <c r="X87" s="231">
        <f t="shared" si="29"/>
        <v>49171</v>
      </c>
      <c r="Y87" s="231">
        <f t="shared" si="30"/>
        <v>49355</v>
      </c>
      <c r="Z87" s="201">
        <f t="shared" si="37"/>
        <v>75600000</v>
      </c>
    </row>
    <row r="88" spans="1:26" x14ac:dyDescent="0.3">
      <c r="A88" s="162">
        <v>85</v>
      </c>
      <c r="B88" s="163" t="s">
        <v>882</v>
      </c>
      <c r="C88" s="187">
        <v>6500000</v>
      </c>
      <c r="D88" s="187"/>
      <c r="E88" s="220" t="s">
        <v>17</v>
      </c>
      <c r="F88" s="231">
        <v>45905</v>
      </c>
      <c r="G88" s="231">
        <f t="shared" si="38"/>
        <v>46086</v>
      </c>
      <c r="H88" s="231">
        <f t="shared" si="36"/>
        <v>46270</v>
      </c>
      <c r="I88" s="231">
        <f t="shared" si="33"/>
        <v>46451</v>
      </c>
      <c r="J88" s="231">
        <f t="shared" si="33"/>
        <v>46635</v>
      </c>
      <c r="K88" s="231">
        <f t="shared" si="33"/>
        <v>46817</v>
      </c>
      <c r="L88" s="231">
        <f t="shared" si="33"/>
        <v>47001</v>
      </c>
      <c r="M88" s="231">
        <f t="shared" si="33"/>
        <v>47182</v>
      </c>
      <c r="N88" s="231">
        <f t="shared" si="33"/>
        <v>47366</v>
      </c>
      <c r="O88" s="231">
        <f t="shared" si="33"/>
        <v>47547</v>
      </c>
      <c r="P88" s="231">
        <f t="shared" si="33"/>
        <v>47731</v>
      </c>
      <c r="Q88" s="231">
        <f t="shared" si="33"/>
        <v>47912</v>
      </c>
      <c r="R88" s="231">
        <f t="shared" si="23"/>
        <v>48096</v>
      </c>
      <c r="S88" s="231">
        <f t="shared" si="24"/>
        <v>48278</v>
      </c>
      <c r="T88" s="231">
        <f t="shared" si="25"/>
        <v>48462</v>
      </c>
      <c r="U88" s="231">
        <f t="shared" si="26"/>
        <v>48643</v>
      </c>
      <c r="V88" s="231">
        <f t="shared" si="27"/>
        <v>48827</v>
      </c>
      <c r="W88" s="231">
        <f t="shared" si="28"/>
        <v>49008</v>
      </c>
      <c r="X88" s="231">
        <f t="shared" si="29"/>
        <v>49192</v>
      </c>
      <c r="Y88" s="231">
        <f t="shared" si="30"/>
        <v>49373</v>
      </c>
      <c r="Z88" s="201">
        <f t="shared" si="37"/>
        <v>39000000</v>
      </c>
    </row>
    <row r="89" spans="1:26" x14ac:dyDescent="0.3">
      <c r="A89" s="162">
        <v>86</v>
      </c>
      <c r="B89" s="234" t="s">
        <v>1037</v>
      </c>
      <c r="C89" s="187">
        <v>8800000</v>
      </c>
      <c r="D89" s="187"/>
      <c r="E89" s="220" t="s">
        <v>17</v>
      </c>
      <c r="F89" s="231">
        <v>45827</v>
      </c>
      <c r="G89" s="231">
        <f t="shared" si="38"/>
        <v>46010</v>
      </c>
      <c r="H89" s="231">
        <f t="shared" si="36"/>
        <v>46192</v>
      </c>
      <c r="I89" s="231">
        <f t="shared" si="33"/>
        <v>46375</v>
      </c>
      <c r="J89" s="231">
        <f t="shared" si="33"/>
        <v>46557</v>
      </c>
      <c r="K89" s="231">
        <f t="shared" si="33"/>
        <v>46740</v>
      </c>
      <c r="L89" s="231">
        <f t="shared" si="33"/>
        <v>46923</v>
      </c>
      <c r="M89" s="231">
        <f t="shared" si="33"/>
        <v>47106</v>
      </c>
      <c r="N89" s="231">
        <f t="shared" si="33"/>
        <v>47288</v>
      </c>
      <c r="O89" s="231">
        <f t="shared" si="33"/>
        <v>47471</v>
      </c>
      <c r="P89" s="231">
        <f t="shared" si="33"/>
        <v>47653</v>
      </c>
      <c r="Q89" s="231">
        <f t="shared" si="33"/>
        <v>47836</v>
      </c>
      <c r="R89" s="231">
        <f t="shared" si="23"/>
        <v>48018</v>
      </c>
      <c r="S89" s="231">
        <f t="shared" si="24"/>
        <v>48201</v>
      </c>
      <c r="T89" s="231">
        <f t="shared" si="25"/>
        <v>48384</v>
      </c>
      <c r="U89" s="231">
        <f t="shared" si="26"/>
        <v>48567</v>
      </c>
      <c r="V89" s="231">
        <f t="shared" si="27"/>
        <v>48749</v>
      </c>
      <c r="W89" s="231">
        <f t="shared" si="28"/>
        <v>48932</v>
      </c>
      <c r="X89" s="231">
        <f t="shared" si="29"/>
        <v>49114</v>
      </c>
      <c r="Y89" s="231">
        <f t="shared" si="30"/>
        <v>49297</v>
      </c>
      <c r="Z89" s="201">
        <f>C89*6</f>
        <v>52800000</v>
      </c>
    </row>
    <row r="90" spans="1:26" x14ac:dyDescent="0.3">
      <c r="A90" s="162">
        <v>87</v>
      </c>
      <c r="B90" s="234" t="s">
        <v>1129</v>
      </c>
      <c r="C90" s="187">
        <v>9000000</v>
      </c>
      <c r="D90" s="187"/>
      <c r="E90" s="220" t="s">
        <v>17</v>
      </c>
      <c r="F90" s="231">
        <v>45952</v>
      </c>
      <c r="G90" s="231">
        <f t="shared" si="38"/>
        <v>46134</v>
      </c>
      <c r="H90" s="231">
        <f t="shared" si="36"/>
        <v>46317</v>
      </c>
      <c r="I90" s="231">
        <f t="shared" si="33"/>
        <v>46499</v>
      </c>
      <c r="J90" s="231">
        <f t="shared" si="33"/>
        <v>46682</v>
      </c>
      <c r="K90" s="231">
        <f t="shared" si="33"/>
        <v>46865</v>
      </c>
      <c r="L90" s="231">
        <f t="shared" si="33"/>
        <v>47048</v>
      </c>
      <c r="M90" s="231">
        <f t="shared" si="33"/>
        <v>47230</v>
      </c>
      <c r="N90" s="231">
        <f t="shared" si="33"/>
        <v>47413</v>
      </c>
      <c r="O90" s="231">
        <f t="shared" si="33"/>
        <v>47595</v>
      </c>
      <c r="P90" s="231">
        <f t="shared" si="33"/>
        <v>47778</v>
      </c>
      <c r="Q90" s="231">
        <f t="shared" si="33"/>
        <v>47960</v>
      </c>
      <c r="R90" s="231">
        <f t="shared" si="23"/>
        <v>48143</v>
      </c>
      <c r="S90" s="231">
        <f t="shared" si="24"/>
        <v>48326</v>
      </c>
      <c r="T90" s="231">
        <f t="shared" si="25"/>
        <v>48509</v>
      </c>
      <c r="U90" s="231">
        <f t="shared" si="26"/>
        <v>48691</v>
      </c>
      <c r="V90" s="231">
        <f t="shared" si="27"/>
        <v>48874</v>
      </c>
      <c r="W90" s="231">
        <f t="shared" si="28"/>
        <v>49056</v>
      </c>
      <c r="X90" s="231">
        <f t="shared" si="29"/>
        <v>49239</v>
      </c>
      <c r="Y90" s="231">
        <f t="shared" si="30"/>
        <v>49421</v>
      </c>
      <c r="Z90" s="201">
        <f t="shared" ref="Z90:Z91" si="39">C90*6</f>
        <v>54000000</v>
      </c>
    </row>
    <row r="91" spans="1:26" x14ac:dyDescent="0.3">
      <c r="A91" s="162">
        <v>88</v>
      </c>
      <c r="B91" s="234" t="s">
        <v>889</v>
      </c>
      <c r="C91" s="187">
        <v>10600000</v>
      </c>
      <c r="D91" s="187"/>
      <c r="E91" s="220" t="s">
        <v>1004</v>
      </c>
      <c r="F91" s="231">
        <v>45977</v>
      </c>
      <c r="G91" s="231">
        <f>EDATE(F91,3)</f>
        <v>46069</v>
      </c>
      <c r="H91" s="231">
        <f>EDATE(G91,3)</f>
        <v>46158</v>
      </c>
      <c r="I91" s="231">
        <f>EDATE(H91,6)</f>
        <v>46342</v>
      </c>
      <c r="J91" s="231">
        <f t="shared" si="33"/>
        <v>46523</v>
      </c>
      <c r="K91" s="231">
        <f t="shared" si="33"/>
        <v>46707</v>
      </c>
      <c r="L91" s="231">
        <f t="shared" si="33"/>
        <v>46889</v>
      </c>
      <c r="M91" s="231">
        <f t="shared" si="33"/>
        <v>47073</v>
      </c>
      <c r="N91" s="231">
        <f t="shared" si="33"/>
        <v>47254</v>
      </c>
      <c r="O91" s="231">
        <f t="shared" si="33"/>
        <v>47438</v>
      </c>
      <c r="P91" s="231">
        <f t="shared" si="33"/>
        <v>47619</v>
      </c>
      <c r="Q91" s="231">
        <f t="shared" si="33"/>
        <v>47803</v>
      </c>
      <c r="R91" s="231">
        <f t="shared" si="23"/>
        <v>47984</v>
      </c>
      <c r="S91" s="231">
        <f t="shared" si="24"/>
        <v>48168</v>
      </c>
      <c r="T91" s="231">
        <f t="shared" si="25"/>
        <v>48350</v>
      </c>
      <c r="U91" s="231">
        <f t="shared" si="26"/>
        <v>48534</v>
      </c>
      <c r="V91" s="231">
        <f t="shared" si="27"/>
        <v>48715</v>
      </c>
      <c r="W91" s="231">
        <f t="shared" si="28"/>
        <v>48899</v>
      </c>
      <c r="X91" s="231">
        <f t="shared" si="29"/>
        <v>49080</v>
      </c>
      <c r="Y91" s="231">
        <f t="shared" si="30"/>
        <v>49264</v>
      </c>
      <c r="Z91" s="201">
        <f t="shared" si="39"/>
        <v>63600000</v>
      </c>
    </row>
  </sheetData>
  <phoneticPr fontId="30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93212-344E-4288-8D1E-646D88DABF7E}">
  <dimension ref="A1:AG22"/>
  <sheetViews>
    <sheetView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O23" sqref="O23"/>
    </sheetView>
  </sheetViews>
  <sheetFormatPr defaultRowHeight="14.4" x14ac:dyDescent="0.3"/>
  <cols>
    <col min="1" max="1" width="9.44140625" customWidth="1"/>
    <col min="2" max="2" width="27.77734375" bestFit="1" customWidth="1"/>
    <col min="3" max="3" width="18.44140625" bestFit="1" customWidth="1"/>
    <col min="4" max="4" width="12.33203125" customWidth="1"/>
    <col min="5" max="5" width="10.109375" bestFit="1" customWidth="1"/>
    <col min="6" max="6" width="11.44140625" bestFit="1" customWidth="1"/>
    <col min="7" max="7" width="11.44140625" customWidth="1"/>
    <col min="8" max="8" width="11" customWidth="1"/>
    <col min="9" max="9" width="9.109375" bestFit="1" customWidth="1"/>
    <col min="32" max="32" width="12.21875" customWidth="1"/>
  </cols>
  <sheetData>
    <row r="1" spans="1:33" ht="41.4" x14ac:dyDescent="0.3">
      <c r="A1" s="223" t="s">
        <v>24</v>
      </c>
      <c r="B1" s="223" t="s">
        <v>363</v>
      </c>
      <c r="C1" s="223" t="s">
        <v>1048</v>
      </c>
      <c r="D1" s="223" t="s">
        <v>1049</v>
      </c>
      <c r="E1" s="223" t="s">
        <v>1050</v>
      </c>
      <c r="F1" s="223" t="s">
        <v>1081</v>
      </c>
      <c r="G1" s="223" t="s">
        <v>1080</v>
      </c>
      <c r="H1" s="223" t="s">
        <v>1082</v>
      </c>
      <c r="I1" s="223" t="s">
        <v>981</v>
      </c>
      <c r="J1" s="223" t="s">
        <v>982</v>
      </c>
      <c r="K1" s="223" t="s">
        <v>983</v>
      </c>
      <c r="L1" s="223" t="s">
        <v>984</v>
      </c>
      <c r="M1" s="223" t="s">
        <v>985</v>
      </c>
      <c r="N1" s="223" t="s">
        <v>986</v>
      </c>
      <c r="O1" s="223" t="s">
        <v>987</v>
      </c>
      <c r="P1" s="223" t="s">
        <v>988</v>
      </c>
      <c r="Q1" s="223" t="s">
        <v>989</v>
      </c>
      <c r="R1" s="223" t="s">
        <v>1038</v>
      </c>
      <c r="S1" s="223" t="s">
        <v>1039</v>
      </c>
      <c r="T1" s="223" t="s">
        <v>1040</v>
      </c>
      <c r="U1" s="223" t="s">
        <v>1041</v>
      </c>
      <c r="V1" s="223" t="s">
        <v>1042</v>
      </c>
      <c r="W1" s="223" t="s">
        <v>1042</v>
      </c>
      <c r="X1" s="223" t="s">
        <v>1043</v>
      </c>
      <c r="Y1" s="223" t="s">
        <v>1044</v>
      </c>
      <c r="Z1" s="223" t="s">
        <v>1045</v>
      </c>
      <c r="AA1" s="223" t="s">
        <v>1084</v>
      </c>
      <c r="AB1" s="223" t="s">
        <v>1085</v>
      </c>
      <c r="AC1" s="223" t="s">
        <v>1086</v>
      </c>
      <c r="AD1" s="223" t="s">
        <v>1087</v>
      </c>
      <c r="AE1" s="223" t="s">
        <v>1088</v>
      </c>
      <c r="AF1" s="247" t="s">
        <v>1083</v>
      </c>
      <c r="AG1" s="223" t="s">
        <v>53</v>
      </c>
    </row>
    <row r="2" spans="1:33" x14ac:dyDescent="0.3">
      <c r="A2" s="223"/>
      <c r="B2" s="223">
        <f>SUBTOTAL(3,B4:B50)</f>
        <v>19</v>
      </c>
      <c r="C2" s="223">
        <f>SUBTOTAL(3,C4:C50)</f>
        <v>19</v>
      </c>
      <c r="D2" s="223"/>
      <c r="E2" s="223"/>
      <c r="F2" s="223">
        <f t="shared" ref="F2:X2" si="0">SUBTOTAL(3,F4:F50)</f>
        <v>19</v>
      </c>
      <c r="G2" s="223">
        <f t="shared" ref="G2" si="1">SUBTOTAL(3,G4:G50)</f>
        <v>19</v>
      </c>
      <c r="H2" s="223">
        <f t="shared" si="0"/>
        <v>19</v>
      </c>
      <c r="I2" s="223">
        <f t="shared" si="0"/>
        <v>19</v>
      </c>
      <c r="J2" s="223">
        <f t="shared" si="0"/>
        <v>19</v>
      </c>
      <c r="K2" s="223">
        <f t="shared" si="0"/>
        <v>14</v>
      </c>
      <c r="L2" s="223">
        <f t="shared" si="0"/>
        <v>14</v>
      </c>
      <c r="M2" s="223">
        <f t="shared" si="0"/>
        <v>14</v>
      </c>
      <c r="N2" s="223">
        <f t="shared" si="0"/>
        <v>14</v>
      </c>
      <c r="O2" s="223">
        <f t="shared" si="0"/>
        <v>14</v>
      </c>
      <c r="P2" s="223">
        <f t="shared" si="0"/>
        <v>14</v>
      </c>
      <c r="Q2" s="223">
        <f t="shared" si="0"/>
        <v>14</v>
      </c>
      <c r="R2" s="223">
        <f t="shared" si="0"/>
        <v>14</v>
      </c>
      <c r="S2" s="223">
        <f t="shared" si="0"/>
        <v>14</v>
      </c>
      <c r="T2" s="223">
        <f t="shared" si="0"/>
        <v>14</v>
      </c>
      <c r="U2" s="223">
        <f t="shared" si="0"/>
        <v>14</v>
      </c>
      <c r="V2" s="223">
        <f t="shared" si="0"/>
        <v>14</v>
      </c>
      <c r="W2" s="223">
        <f t="shared" si="0"/>
        <v>14</v>
      </c>
      <c r="X2" s="223">
        <f t="shared" si="0"/>
        <v>14</v>
      </c>
      <c r="Y2" s="223">
        <f t="shared" ref="Y2:AB2" si="2">SUBTOTAL(3,Y4:Y50)</f>
        <v>14</v>
      </c>
      <c r="Z2" s="223">
        <f t="shared" si="2"/>
        <v>14</v>
      </c>
      <c r="AA2" s="223">
        <f t="shared" si="2"/>
        <v>14</v>
      </c>
      <c r="AB2" s="223">
        <f t="shared" si="2"/>
        <v>14</v>
      </c>
      <c r="AC2" s="223">
        <f t="shared" ref="AC2:AE2" si="3">SUBTOTAL(3,AC4:AC50)</f>
        <v>14</v>
      </c>
      <c r="AD2" s="223">
        <f t="shared" si="3"/>
        <v>14</v>
      </c>
      <c r="AE2" s="223">
        <f t="shared" si="3"/>
        <v>14</v>
      </c>
      <c r="AF2" s="247">
        <f>SUBTOTAL(9,AF4:AF50)</f>
        <v>322024200</v>
      </c>
      <c r="AG2" s="17"/>
    </row>
    <row r="3" spans="1:33" x14ac:dyDescent="0.3">
      <c r="A3" s="41"/>
      <c r="B3" s="41" t="s">
        <v>0</v>
      </c>
      <c r="C3" s="41" t="s">
        <v>0</v>
      </c>
      <c r="D3" s="41"/>
      <c r="E3" s="41"/>
      <c r="F3" s="41" t="s">
        <v>0</v>
      </c>
      <c r="G3" s="41" t="s">
        <v>0</v>
      </c>
      <c r="H3" s="41" t="s">
        <v>0</v>
      </c>
      <c r="I3" s="41" t="s">
        <v>0</v>
      </c>
      <c r="J3" s="41" t="s">
        <v>0</v>
      </c>
      <c r="K3" s="41" t="s">
        <v>0</v>
      </c>
      <c r="L3" s="41" t="s">
        <v>0</v>
      </c>
      <c r="M3" s="41" t="s">
        <v>0</v>
      </c>
      <c r="N3" s="41" t="s">
        <v>0</v>
      </c>
      <c r="O3" s="41" t="s">
        <v>0</v>
      </c>
      <c r="P3" s="41" t="s">
        <v>0</v>
      </c>
      <c r="Q3" s="41" t="s">
        <v>0</v>
      </c>
      <c r="R3" s="41" t="s">
        <v>0</v>
      </c>
      <c r="S3" s="41" t="s">
        <v>0</v>
      </c>
      <c r="T3" s="41" t="s">
        <v>0</v>
      </c>
      <c r="U3" s="41" t="s">
        <v>0</v>
      </c>
      <c r="V3" s="41" t="s">
        <v>0</v>
      </c>
      <c r="W3" s="41" t="s">
        <v>0</v>
      </c>
      <c r="X3" s="41" t="s">
        <v>0</v>
      </c>
      <c r="Y3" s="41" t="s">
        <v>0</v>
      </c>
      <c r="Z3" s="41" t="s">
        <v>0</v>
      </c>
      <c r="AA3" s="41" t="s">
        <v>0</v>
      </c>
      <c r="AB3" s="41" t="s">
        <v>0</v>
      </c>
      <c r="AC3" s="41" t="s">
        <v>0</v>
      </c>
      <c r="AD3" s="41" t="s">
        <v>0</v>
      </c>
      <c r="AE3" s="41" t="s">
        <v>0</v>
      </c>
      <c r="AF3" s="41" t="s">
        <v>0</v>
      </c>
      <c r="AG3" s="41" t="s">
        <v>0</v>
      </c>
    </row>
    <row r="4" spans="1:33" x14ac:dyDescent="0.3">
      <c r="A4" s="224" t="s">
        <v>1137</v>
      </c>
      <c r="B4" s="224" t="s">
        <v>1051</v>
      </c>
      <c r="C4" s="224" t="s">
        <v>1052</v>
      </c>
      <c r="D4" s="224" t="s">
        <v>1053</v>
      </c>
      <c r="E4" s="248" t="s">
        <v>1054</v>
      </c>
      <c r="F4" s="225">
        <v>6820000</v>
      </c>
      <c r="G4" s="224" t="s">
        <v>77</v>
      </c>
      <c r="H4" s="249">
        <v>44701</v>
      </c>
      <c r="I4" s="249">
        <v>44774</v>
      </c>
      <c r="J4" s="249">
        <f t="shared" ref="J4:X13" si="4">EDATE(I4,3)</f>
        <v>44866</v>
      </c>
      <c r="K4" s="249">
        <f t="shared" si="4"/>
        <v>44958</v>
      </c>
      <c r="L4" s="249">
        <f t="shared" si="4"/>
        <v>45047</v>
      </c>
      <c r="M4" s="249">
        <f t="shared" si="4"/>
        <v>45139</v>
      </c>
      <c r="N4" s="249">
        <f t="shared" si="4"/>
        <v>45231</v>
      </c>
      <c r="O4" s="249">
        <f t="shared" si="4"/>
        <v>45323</v>
      </c>
      <c r="P4" s="249">
        <f t="shared" si="4"/>
        <v>45413</v>
      </c>
      <c r="Q4" s="249">
        <f t="shared" si="4"/>
        <v>45505</v>
      </c>
      <c r="R4" s="249">
        <f t="shared" si="4"/>
        <v>45597</v>
      </c>
      <c r="S4" s="249">
        <f t="shared" ref="S4:X4" si="5">EDATE(R4,3)</f>
        <v>45689</v>
      </c>
      <c r="T4" s="249">
        <f t="shared" si="5"/>
        <v>45778</v>
      </c>
      <c r="U4" s="249">
        <f t="shared" si="5"/>
        <v>45870</v>
      </c>
      <c r="V4" s="249">
        <f t="shared" si="5"/>
        <v>45962</v>
      </c>
      <c r="W4" s="249">
        <f t="shared" si="5"/>
        <v>46054</v>
      </c>
      <c r="X4" s="249">
        <f t="shared" si="5"/>
        <v>46143</v>
      </c>
      <c r="Y4" s="249">
        <f t="shared" ref="Y4:AB9" si="6">EDATE(X4,3)</f>
        <v>46235</v>
      </c>
      <c r="Z4" s="249">
        <f t="shared" si="6"/>
        <v>46327</v>
      </c>
      <c r="AA4" s="249">
        <f t="shared" si="6"/>
        <v>46419</v>
      </c>
      <c r="AB4" s="249">
        <f t="shared" si="6"/>
        <v>46508</v>
      </c>
      <c r="AC4" s="249">
        <f t="shared" ref="AC4:AE4" si="7">EDATE(AB4,3)</f>
        <v>46600</v>
      </c>
      <c r="AD4" s="249">
        <f t="shared" si="7"/>
        <v>46692</v>
      </c>
      <c r="AE4" s="249">
        <f t="shared" si="7"/>
        <v>46784</v>
      </c>
      <c r="AF4" s="227">
        <f t="shared" ref="AF4:AF10" si="8">F4*3</f>
        <v>20460000</v>
      </c>
      <c r="AG4" s="17" t="s">
        <v>1137</v>
      </c>
    </row>
    <row r="5" spans="1:33" x14ac:dyDescent="0.3">
      <c r="A5" s="224">
        <v>2</v>
      </c>
      <c r="B5" s="224" t="s">
        <v>189</v>
      </c>
      <c r="C5" s="224" t="s">
        <v>1055</v>
      </c>
      <c r="D5" s="224" t="s">
        <v>1056</v>
      </c>
      <c r="E5" s="248" t="s">
        <v>1057</v>
      </c>
      <c r="F5" s="225">
        <v>6985000</v>
      </c>
      <c r="G5" s="224" t="s">
        <v>77</v>
      </c>
      <c r="H5" s="249">
        <v>44713</v>
      </c>
      <c r="I5" s="249">
        <f>H5+3*30+2</f>
        <v>44805</v>
      </c>
      <c r="J5" s="249">
        <f>I5+3*30+1</f>
        <v>44896</v>
      </c>
      <c r="K5" s="249">
        <f t="shared" si="4"/>
        <v>44986</v>
      </c>
      <c r="L5" s="249">
        <f t="shared" si="4"/>
        <v>45078</v>
      </c>
      <c r="M5" s="249">
        <f t="shared" si="4"/>
        <v>45170</v>
      </c>
      <c r="N5" s="249">
        <f t="shared" si="4"/>
        <v>45261</v>
      </c>
      <c r="O5" s="249">
        <f t="shared" si="4"/>
        <v>45352</v>
      </c>
      <c r="P5" s="249">
        <f>EDATE(O5,3)</f>
        <v>45444</v>
      </c>
      <c r="Q5" s="249">
        <f t="shared" si="4"/>
        <v>45536</v>
      </c>
      <c r="R5" s="249">
        <f t="shared" si="4"/>
        <v>45627</v>
      </c>
      <c r="S5" s="249">
        <f t="shared" si="4"/>
        <v>45717</v>
      </c>
      <c r="T5" s="249">
        <f t="shared" si="4"/>
        <v>45809</v>
      </c>
      <c r="U5" s="249">
        <f t="shared" si="4"/>
        <v>45901</v>
      </c>
      <c r="V5" s="249">
        <f t="shared" si="4"/>
        <v>45992</v>
      </c>
      <c r="W5" s="249">
        <f t="shared" si="4"/>
        <v>46082</v>
      </c>
      <c r="X5" s="249">
        <f t="shared" si="4"/>
        <v>46174</v>
      </c>
      <c r="Y5" s="249">
        <f t="shared" si="6"/>
        <v>46266</v>
      </c>
      <c r="Z5" s="249">
        <f t="shared" si="6"/>
        <v>46357</v>
      </c>
      <c r="AA5" s="249">
        <f t="shared" si="6"/>
        <v>46447</v>
      </c>
      <c r="AB5" s="249">
        <f t="shared" si="6"/>
        <v>46539</v>
      </c>
      <c r="AC5" s="249">
        <f t="shared" ref="AC5:AE5" si="9">EDATE(AB5,3)</f>
        <v>46631</v>
      </c>
      <c r="AD5" s="249">
        <f t="shared" si="9"/>
        <v>46722</v>
      </c>
      <c r="AE5" s="249">
        <f t="shared" si="9"/>
        <v>46813</v>
      </c>
      <c r="AF5" s="227">
        <f t="shared" si="8"/>
        <v>20955000</v>
      </c>
      <c r="AG5" s="17"/>
    </row>
    <row r="6" spans="1:33" x14ac:dyDescent="0.3">
      <c r="A6" s="224">
        <v>3</v>
      </c>
      <c r="B6" s="224" t="s">
        <v>257</v>
      </c>
      <c r="C6" s="224" t="s">
        <v>1058</v>
      </c>
      <c r="D6" s="224" t="s">
        <v>1059</v>
      </c>
      <c r="E6" s="248" t="s">
        <v>1060</v>
      </c>
      <c r="F6" s="225">
        <v>10736000</v>
      </c>
      <c r="G6" s="224" t="s">
        <v>77</v>
      </c>
      <c r="H6" s="248" t="s">
        <v>390</v>
      </c>
      <c r="I6" s="249">
        <v>44743</v>
      </c>
      <c r="J6" s="249">
        <v>44835</v>
      </c>
      <c r="K6" s="249">
        <f t="shared" si="4"/>
        <v>44927</v>
      </c>
      <c r="L6" s="249">
        <f t="shared" si="4"/>
        <v>45017</v>
      </c>
      <c r="M6" s="249">
        <f t="shared" si="4"/>
        <v>45108</v>
      </c>
      <c r="N6" s="249">
        <f t="shared" si="4"/>
        <v>45200</v>
      </c>
      <c r="O6" s="249">
        <f t="shared" si="4"/>
        <v>45292</v>
      </c>
      <c r="P6" s="249">
        <f t="shared" si="4"/>
        <v>45383</v>
      </c>
      <c r="Q6" s="249">
        <f t="shared" si="4"/>
        <v>45474</v>
      </c>
      <c r="R6" s="249">
        <f t="shared" si="4"/>
        <v>45566</v>
      </c>
      <c r="S6" s="249">
        <f t="shared" si="4"/>
        <v>45658</v>
      </c>
      <c r="T6" s="249">
        <f t="shared" si="4"/>
        <v>45748</v>
      </c>
      <c r="U6" s="249">
        <f t="shared" si="4"/>
        <v>45839</v>
      </c>
      <c r="V6" s="249">
        <f t="shared" si="4"/>
        <v>45931</v>
      </c>
      <c r="W6" s="249">
        <f t="shared" si="4"/>
        <v>46023</v>
      </c>
      <c r="X6" s="250">
        <f t="shared" si="4"/>
        <v>46113</v>
      </c>
      <c r="Y6" s="249">
        <f t="shared" si="6"/>
        <v>46204</v>
      </c>
      <c r="Z6" s="249">
        <f t="shared" si="6"/>
        <v>46296</v>
      </c>
      <c r="AA6" s="249">
        <f t="shared" si="6"/>
        <v>46388</v>
      </c>
      <c r="AB6" s="249">
        <f t="shared" si="6"/>
        <v>46478</v>
      </c>
      <c r="AC6" s="249">
        <f t="shared" ref="AC6:AE6" si="10">EDATE(AB6,3)</f>
        <v>46569</v>
      </c>
      <c r="AD6" s="249">
        <f t="shared" si="10"/>
        <v>46661</v>
      </c>
      <c r="AE6" s="249">
        <f t="shared" si="10"/>
        <v>46753</v>
      </c>
      <c r="AF6" s="227">
        <f t="shared" si="8"/>
        <v>32208000</v>
      </c>
      <c r="AG6" s="17"/>
    </row>
    <row r="7" spans="1:33" x14ac:dyDescent="0.3">
      <c r="A7" s="224">
        <v>4</v>
      </c>
      <c r="B7" s="224" t="s">
        <v>1061</v>
      </c>
      <c r="C7" s="224" t="s">
        <v>1062</v>
      </c>
      <c r="D7" s="224" t="s">
        <v>1063</v>
      </c>
      <c r="E7" s="248" t="s">
        <v>1064</v>
      </c>
      <c r="F7" s="225">
        <v>11000000</v>
      </c>
      <c r="G7" s="224" t="s">
        <v>77</v>
      </c>
      <c r="H7" s="249">
        <v>44828</v>
      </c>
      <c r="I7" s="249">
        <v>44896</v>
      </c>
      <c r="J7" s="249">
        <f t="shared" ref="J7:K13" si="11">EDATE(I7,3)</f>
        <v>44986</v>
      </c>
      <c r="K7" s="249">
        <f t="shared" si="11"/>
        <v>45078</v>
      </c>
      <c r="L7" s="249">
        <f t="shared" si="4"/>
        <v>45170</v>
      </c>
      <c r="M7" s="249">
        <f t="shared" si="4"/>
        <v>45261</v>
      </c>
      <c r="N7" s="249">
        <f t="shared" si="4"/>
        <v>45352</v>
      </c>
      <c r="O7" s="249">
        <f t="shared" si="4"/>
        <v>45444</v>
      </c>
      <c r="P7" s="249">
        <f t="shared" si="4"/>
        <v>45536</v>
      </c>
      <c r="Q7" s="249">
        <f t="shared" si="4"/>
        <v>45627</v>
      </c>
      <c r="R7" s="249">
        <f t="shared" si="4"/>
        <v>45717</v>
      </c>
      <c r="S7" s="249">
        <f t="shared" si="4"/>
        <v>45809</v>
      </c>
      <c r="T7" s="249">
        <f t="shared" si="4"/>
        <v>45901</v>
      </c>
      <c r="U7" s="249">
        <f t="shared" si="4"/>
        <v>45992</v>
      </c>
      <c r="V7" s="249">
        <f t="shared" si="4"/>
        <v>46082</v>
      </c>
      <c r="W7" s="249">
        <f t="shared" si="4"/>
        <v>46174</v>
      </c>
      <c r="X7" s="249">
        <f t="shared" si="4"/>
        <v>46266</v>
      </c>
      <c r="Y7" s="249">
        <f t="shared" si="6"/>
        <v>46357</v>
      </c>
      <c r="Z7" s="249">
        <f t="shared" si="6"/>
        <v>46447</v>
      </c>
      <c r="AA7" s="249">
        <f t="shared" si="6"/>
        <v>46539</v>
      </c>
      <c r="AB7" s="249">
        <f t="shared" si="6"/>
        <v>46631</v>
      </c>
      <c r="AC7" s="249">
        <f t="shared" ref="AC7:AE7" si="12">EDATE(AB7,3)</f>
        <v>46722</v>
      </c>
      <c r="AD7" s="249">
        <f t="shared" si="12"/>
        <v>46813</v>
      </c>
      <c r="AE7" s="249">
        <f t="shared" si="12"/>
        <v>46905</v>
      </c>
      <c r="AF7" s="227">
        <f t="shared" si="8"/>
        <v>33000000</v>
      </c>
      <c r="AG7" s="17"/>
    </row>
    <row r="8" spans="1:33" x14ac:dyDescent="0.3">
      <c r="A8" s="224">
        <v>5</v>
      </c>
      <c r="B8" s="224" t="s">
        <v>1065</v>
      </c>
      <c r="C8" s="224" t="s">
        <v>380</v>
      </c>
      <c r="D8" s="224" t="s">
        <v>1066</v>
      </c>
      <c r="E8" s="248" t="s">
        <v>1067</v>
      </c>
      <c r="F8" s="225">
        <v>11550000</v>
      </c>
      <c r="G8" s="224" t="s">
        <v>77</v>
      </c>
      <c r="H8" s="249">
        <v>44824</v>
      </c>
      <c r="I8" s="249">
        <v>44896</v>
      </c>
      <c r="J8" s="249">
        <f t="shared" si="11"/>
        <v>44986</v>
      </c>
      <c r="K8" s="249">
        <f t="shared" si="11"/>
        <v>45078</v>
      </c>
      <c r="L8" s="249">
        <f t="shared" si="4"/>
        <v>45170</v>
      </c>
      <c r="M8" s="249">
        <f t="shared" si="4"/>
        <v>45261</v>
      </c>
      <c r="N8" s="249">
        <f t="shared" si="4"/>
        <v>45352</v>
      </c>
      <c r="O8" s="249">
        <f t="shared" si="4"/>
        <v>45444</v>
      </c>
      <c r="P8" s="249">
        <f t="shared" si="4"/>
        <v>45536</v>
      </c>
      <c r="Q8" s="249">
        <f t="shared" si="4"/>
        <v>45627</v>
      </c>
      <c r="R8" s="249">
        <f t="shared" si="4"/>
        <v>45717</v>
      </c>
      <c r="S8" s="249">
        <f t="shared" si="4"/>
        <v>45809</v>
      </c>
      <c r="T8" s="249">
        <f t="shared" si="4"/>
        <v>45901</v>
      </c>
      <c r="U8" s="249">
        <f t="shared" si="4"/>
        <v>45992</v>
      </c>
      <c r="V8" s="249">
        <f t="shared" si="4"/>
        <v>46082</v>
      </c>
      <c r="W8" s="249">
        <f t="shared" si="4"/>
        <v>46174</v>
      </c>
      <c r="X8" s="249">
        <f t="shared" si="4"/>
        <v>46266</v>
      </c>
      <c r="Y8" s="249">
        <f t="shared" si="6"/>
        <v>46357</v>
      </c>
      <c r="Z8" s="249">
        <f t="shared" si="6"/>
        <v>46447</v>
      </c>
      <c r="AA8" s="249">
        <f t="shared" si="6"/>
        <v>46539</v>
      </c>
      <c r="AB8" s="249">
        <f t="shared" si="6"/>
        <v>46631</v>
      </c>
      <c r="AC8" s="249">
        <f t="shared" ref="AC8:AE8" si="13">EDATE(AB8,3)</f>
        <v>46722</v>
      </c>
      <c r="AD8" s="249">
        <f t="shared" si="13"/>
        <v>46813</v>
      </c>
      <c r="AE8" s="249">
        <f t="shared" si="13"/>
        <v>46905</v>
      </c>
      <c r="AF8" s="227">
        <f t="shared" si="8"/>
        <v>34650000</v>
      </c>
      <c r="AG8" s="17"/>
    </row>
    <row r="9" spans="1:33" x14ac:dyDescent="0.3">
      <c r="A9" s="224">
        <v>6</v>
      </c>
      <c r="B9" s="224" t="s">
        <v>1068</v>
      </c>
      <c r="C9" s="224" t="s">
        <v>381</v>
      </c>
      <c r="D9" s="224" t="s">
        <v>1069</v>
      </c>
      <c r="E9" s="248" t="s">
        <v>1067</v>
      </c>
      <c r="F9" s="225">
        <v>11330000</v>
      </c>
      <c r="G9" s="224" t="s">
        <v>77</v>
      </c>
      <c r="H9" s="248" t="s">
        <v>1070</v>
      </c>
      <c r="I9" s="249">
        <v>44835</v>
      </c>
      <c r="J9" s="249">
        <f t="shared" si="11"/>
        <v>44927</v>
      </c>
      <c r="K9" s="249">
        <f t="shared" si="11"/>
        <v>45017</v>
      </c>
      <c r="L9" s="249">
        <f t="shared" si="4"/>
        <v>45108</v>
      </c>
      <c r="M9" s="249">
        <f t="shared" si="4"/>
        <v>45200</v>
      </c>
      <c r="N9" s="249">
        <f t="shared" si="4"/>
        <v>45292</v>
      </c>
      <c r="O9" s="249">
        <f t="shared" si="4"/>
        <v>45383</v>
      </c>
      <c r="P9" s="249">
        <f t="shared" si="4"/>
        <v>45474</v>
      </c>
      <c r="Q9" s="249">
        <f t="shared" si="4"/>
        <v>45566</v>
      </c>
      <c r="R9" s="249">
        <f t="shared" si="4"/>
        <v>45658</v>
      </c>
      <c r="S9" s="249">
        <f t="shared" si="4"/>
        <v>45748</v>
      </c>
      <c r="T9" s="249">
        <f t="shared" si="4"/>
        <v>45839</v>
      </c>
      <c r="U9" s="249">
        <f t="shared" si="4"/>
        <v>45931</v>
      </c>
      <c r="V9" s="249">
        <f t="shared" si="4"/>
        <v>46023</v>
      </c>
      <c r="W9" s="250">
        <f t="shared" si="4"/>
        <v>46113</v>
      </c>
      <c r="X9" s="249">
        <f t="shared" si="4"/>
        <v>46204</v>
      </c>
      <c r="Y9" s="249">
        <f t="shared" si="6"/>
        <v>46296</v>
      </c>
      <c r="Z9" s="249">
        <f t="shared" si="6"/>
        <v>46388</v>
      </c>
      <c r="AA9" s="249">
        <f t="shared" si="6"/>
        <v>46478</v>
      </c>
      <c r="AB9" s="249">
        <f t="shared" si="6"/>
        <v>46569</v>
      </c>
      <c r="AC9" s="249">
        <f t="shared" ref="AC9:AE9" si="14">EDATE(AB9,3)</f>
        <v>46661</v>
      </c>
      <c r="AD9" s="249">
        <f t="shared" si="14"/>
        <v>46753</v>
      </c>
      <c r="AE9" s="249">
        <f t="shared" si="14"/>
        <v>46844</v>
      </c>
      <c r="AF9" s="227">
        <f t="shared" si="8"/>
        <v>33990000</v>
      </c>
      <c r="AG9" s="17"/>
    </row>
    <row r="10" spans="1:33" x14ac:dyDescent="0.3">
      <c r="A10" s="224" t="s">
        <v>1137</v>
      </c>
      <c r="B10" s="224" t="s">
        <v>1071</v>
      </c>
      <c r="C10" s="224" t="s">
        <v>419</v>
      </c>
      <c r="D10" s="224" t="s">
        <v>1072</v>
      </c>
      <c r="E10" s="248" t="s">
        <v>1073</v>
      </c>
      <c r="F10" s="225">
        <v>7920000.0000000009</v>
      </c>
      <c r="G10" s="224" t="s">
        <v>77</v>
      </c>
      <c r="H10" s="251">
        <v>44797</v>
      </c>
      <c r="I10" s="249">
        <v>44866</v>
      </c>
      <c r="J10" s="249">
        <f t="shared" si="11"/>
        <v>44958</v>
      </c>
      <c r="K10" s="249">
        <f t="shared" si="11"/>
        <v>45047</v>
      </c>
      <c r="L10" s="249">
        <f t="shared" si="4"/>
        <v>45139</v>
      </c>
      <c r="M10" s="249">
        <f t="shared" si="4"/>
        <v>45231</v>
      </c>
      <c r="N10" s="249">
        <f t="shared" si="4"/>
        <v>45323</v>
      </c>
      <c r="O10" s="249">
        <f>EDATE(N10,3)</f>
        <v>45413</v>
      </c>
      <c r="P10" s="249">
        <f>EDATE(O10,3)</f>
        <v>45505</v>
      </c>
      <c r="Q10" s="249">
        <f>EDATE(P10,3)</f>
        <v>45597</v>
      </c>
      <c r="R10" s="249">
        <f t="shared" si="4"/>
        <v>45689</v>
      </c>
      <c r="S10" s="226">
        <f t="shared" si="4"/>
        <v>45778</v>
      </c>
      <c r="T10" s="249">
        <f>EDATE(S10,3)</f>
        <v>45870</v>
      </c>
      <c r="U10" s="249">
        <f>EDATE(T10,3)</f>
        <v>45962</v>
      </c>
      <c r="V10" s="249">
        <f>EDATE(U10,3)</f>
        <v>46054</v>
      </c>
      <c r="W10" s="249">
        <f>EDATE(V10,3)</f>
        <v>46143</v>
      </c>
      <c r="X10" s="249">
        <f>EDATE(W10,3)</f>
        <v>46235</v>
      </c>
      <c r="Y10" s="249">
        <f t="shared" ref="Y10:AB13" si="15">EDATE(X10,3)</f>
        <v>46327</v>
      </c>
      <c r="Z10" s="249">
        <f t="shared" si="15"/>
        <v>46419</v>
      </c>
      <c r="AA10" s="249">
        <f t="shared" si="15"/>
        <v>46508</v>
      </c>
      <c r="AB10" s="249">
        <f t="shared" si="15"/>
        <v>46600</v>
      </c>
      <c r="AC10" s="249">
        <f t="shared" ref="AC10:AE10" si="16">EDATE(AB10,3)</f>
        <v>46692</v>
      </c>
      <c r="AD10" s="249">
        <f t="shared" si="16"/>
        <v>46784</v>
      </c>
      <c r="AE10" s="249">
        <f t="shared" si="16"/>
        <v>46874</v>
      </c>
      <c r="AF10" s="227">
        <f t="shared" si="8"/>
        <v>23760000.000000004</v>
      </c>
      <c r="AG10" s="17" t="s">
        <v>1137</v>
      </c>
    </row>
    <row r="11" spans="1:33" x14ac:dyDescent="0.3">
      <c r="A11" s="224">
        <v>8</v>
      </c>
      <c r="B11" s="224" t="s">
        <v>313</v>
      </c>
      <c r="C11" s="224" t="s">
        <v>1074</v>
      </c>
      <c r="D11" s="224" t="s">
        <v>1075</v>
      </c>
      <c r="E11" s="248" t="s">
        <v>1076</v>
      </c>
      <c r="F11" s="225">
        <v>6050000</v>
      </c>
      <c r="G11" s="224" t="s">
        <v>77</v>
      </c>
      <c r="H11" s="251">
        <v>45488</v>
      </c>
      <c r="I11" s="249">
        <v>45566</v>
      </c>
      <c r="J11" s="249">
        <f t="shared" si="11"/>
        <v>45658</v>
      </c>
      <c r="K11" s="249">
        <f t="shared" si="11"/>
        <v>45748</v>
      </c>
      <c r="L11" s="249">
        <f t="shared" si="4"/>
        <v>45839</v>
      </c>
      <c r="M11" s="249">
        <f t="shared" si="4"/>
        <v>45931</v>
      </c>
      <c r="N11" s="249">
        <f t="shared" si="4"/>
        <v>46023</v>
      </c>
      <c r="O11" s="250">
        <f t="shared" si="4"/>
        <v>46113</v>
      </c>
      <c r="P11" s="249">
        <f t="shared" si="4"/>
        <v>46204</v>
      </c>
      <c r="Q11" s="249">
        <f t="shared" si="4"/>
        <v>46296</v>
      </c>
      <c r="R11" s="249">
        <f t="shared" si="4"/>
        <v>46388</v>
      </c>
      <c r="S11" s="249">
        <f t="shared" si="4"/>
        <v>46478</v>
      </c>
      <c r="T11" s="249">
        <f t="shared" si="4"/>
        <v>46569</v>
      </c>
      <c r="U11" s="249">
        <f t="shared" si="4"/>
        <v>46661</v>
      </c>
      <c r="V11" s="249">
        <f t="shared" si="4"/>
        <v>46753</v>
      </c>
      <c r="W11" s="249">
        <f t="shared" si="4"/>
        <v>46844</v>
      </c>
      <c r="X11" s="249">
        <f t="shared" si="4"/>
        <v>46935</v>
      </c>
      <c r="Y11" s="249">
        <f t="shared" si="15"/>
        <v>47027</v>
      </c>
      <c r="Z11" s="249">
        <f t="shared" si="15"/>
        <v>47119</v>
      </c>
      <c r="AA11" s="249">
        <f t="shared" si="15"/>
        <v>47209</v>
      </c>
      <c r="AB11" s="249">
        <f t="shared" si="15"/>
        <v>47300</v>
      </c>
      <c r="AC11" s="249">
        <f t="shared" ref="AC11:AE11" si="17">EDATE(AB11,3)</f>
        <v>47392</v>
      </c>
      <c r="AD11" s="249">
        <f t="shared" si="17"/>
        <v>47484</v>
      </c>
      <c r="AE11" s="249">
        <f t="shared" si="17"/>
        <v>47574</v>
      </c>
      <c r="AF11" s="227">
        <f t="shared" ref="AF11:AF13" si="18">F11*3</f>
        <v>18150000</v>
      </c>
      <c r="AG11" s="17"/>
    </row>
    <row r="12" spans="1:33" x14ac:dyDescent="0.3">
      <c r="A12" s="224">
        <v>9</v>
      </c>
      <c r="B12" s="224" t="s">
        <v>14</v>
      </c>
      <c r="C12" s="224" t="s">
        <v>1077</v>
      </c>
      <c r="D12" s="224" t="s">
        <v>1078</v>
      </c>
      <c r="E12" s="248" t="s">
        <v>1079</v>
      </c>
      <c r="F12" s="225">
        <v>5500000</v>
      </c>
      <c r="G12" s="224" t="s">
        <v>77</v>
      </c>
      <c r="H12" s="251">
        <v>45488</v>
      </c>
      <c r="I12" s="249">
        <v>45566</v>
      </c>
      <c r="J12" s="249">
        <f t="shared" si="11"/>
        <v>45658</v>
      </c>
      <c r="K12" s="249">
        <f t="shared" si="11"/>
        <v>45748</v>
      </c>
      <c r="L12" s="249">
        <f t="shared" si="4"/>
        <v>45839</v>
      </c>
      <c r="M12" s="249">
        <f t="shared" si="4"/>
        <v>45931</v>
      </c>
      <c r="N12" s="249">
        <f t="shared" si="4"/>
        <v>46023</v>
      </c>
      <c r="O12" s="250">
        <f t="shared" si="4"/>
        <v>46113</v>
      </c>
      <c r="P12" s="249">
        <f t="shared" si="4"/>
        <v>46204</v>
      </c>
      <c r="Q12" s="249">
        <f t="shared" si="4"/>
        <v>46296</v>
      </c>
      <c r="R12" s="249">
        <f t="shared" si="4"/>
        <v>46388</v>
      </c>
      <c r="S12" s="249">
        <f t="shared" si="4"/>
        <v>46478</v>
      </c>
      <c r="T12" s="249">
        <f t="shared" si="4"/>
        <v>46569</v>
      </c>
      <c r="U12" s="249">
        <f t="shared" si="4"/>
        <v>46661</v>
      </c>
      <c r="V12" s="249">
        <f t="shared" si="4"/>
        <v>46753</v>
      </c>
      <c r="W12" s="249">
        <f t="shared" si="4"/>
        <v>46844</v>
      </c>
      <c r="X12" s="249">
        <f t="shared" si="4"/>
        <v>46935</v>
      </c>
      <c r="Y12" s="249">
        <f t="shared" si="15"/>
        <v>47027</v>
      </c>
      <c r="Z12" s="249">
        <f t="shared" si="15"/>
        <v>47119</v>
      </c>
      <c r="AA12" s="249">
        <f t="shared" si="15"/>
        <v>47209</v>
      </c>
      <c r="AB12" s="249">
        <f t="shared" si="15"/>
        <v>47300</v>
      </c>
      <c r="AC12" s="249">
        <f t="shared" ref="AC12:AE13" si="19">EDATE(AB12,3)</f>
        <v>47392</v>
      </c>
      <c r="AD12" s="249">
        <f t="shared" si="19"/>
        <v>47484</v>
      </c>
      <c r="AE12" s="249">
        <f t="shared" si="19"/>
        <v>47574</v>
      </c>
      <c r="AF12" s="227">
        <f t="shared" si="18"/>
        <v>16500000</v>
      </c>
      <c r="AG12" s="17"/>
    </row>
    <row r="13" spans="1:33" x14ac:dyDescent="0.3">
      <c r="A13" s="224" t="s">
        <v>1137</v>
      </c>
      <c r="B13" s="278" t="s">
        <v>392</v>
      </c>
      <c r="C13" s="278" t="s">
        <v>1255</v>
      </c>
      <c r="D13" s="278" t="s">
        <v>1262</v>
      </c>
      <c r="E13" s="279" t="s">
        <v>1269</v>
      </c>
      <c r="F13" s="280">
        <v>5830000</v>
      </c>
      <c r="G13" s="224" t="s">
        <v>77</v>
      </c>
      <c r="H13" s="292">
        <v>46107</v>
      </c>
      <c r="I13" s="293">
        <v>46296</v>
      </c>
      <c r="J13" s="249">
        <f t="shared" si="11"/>
        <v>46388</v>
      </c>
      <c r="K13" s="249">
        <f t="shared" ref="K13" si="20">EDATE(J13,3)</f>
        <v>46478</v>
      </c>
      <c r="L13" s="249">
        <f t="shared" si="4"/>
        <v>46569</v>
      </c>
      <c r="M13" s="249">
        <f t="shared" si="4"/>
        <v>46661</v>
      </c>
      <c r="N13" s="249">
        <f t="shared" si="4"/>
        <v>46753</v>
      </c>
      <c r="O13" s="249">
        <f t="shared" si="4"/>
        <v>46844</v>
      </c>
      <c r="P13" s="249">
        <f t="shared" si="4"/>
        <v>46935</v>
      </c>
      <c r="Q13" s="249">
        <f t="shared" si="4"/>
        <v>47027</v>
      </c>
      <c r="R13" s="249">
        <f t="shared" si="4"/>
        <v>47119</v>
      </c>
      <c r="S13" s="249">
        <f t="shared" si="4"/>
        <v>47209</v>
      </c>
      <c r="T13" s="249">
        <f t="shared" si="4"/>
        <v>47300</v>
      </c>
      <c r="U13" s="249">
        <f t="shared" si="4"/>
        <v>47392</v>
      </c>
      <c r="V13" s="249">
        <f t="shared" si="4"/>
        <v>47484</v>
      </c>
      <c r="W13" s="249">
        <f t="shared" si="4"/>
        <v>47574</v>
      </c>
      <c r="X13" s="249">
        <f t="shared" si="4"/>
        <v>47665</v>
      </c>
      <c r="Y13" s="249">
        <f t="shared" si="15"/>
        <v>47757</v>
      </c>
      <c r="Z13" s="249">
        <f t="shared" si="15"/>
        <v>47849</v>
      </c>
      <c r="AA13" s="249">
        <f t="shared" si="15"/>
        <v>47939</v>
      </c>
      <c r="AB13" s="249">
        <f t="shared" si="15"/>
        <v>48030</v>
      </c>
      <c r="AC13" s="249">
        <f t="shared" si="19"/>
        <v>48122</v>
      </c>
      <c r="AD13" s="249">
        <f t="shared" si="19"/>
        <v>48214</v>
      </c>
      <c r="AE13" s="249">
        <f t="shared" si="19"/>
        <v>48305</v>
      </c>
      <c r="AF13" s="227">
        <f t="shared" si="18"/>
        <v>17490000</v>
      </c>
    </row>
    <row r="14" spans="1:33" x14ac:dyDescent="0.3">
      <c r="A14" s="224">
        <v>11</v>
      </c>
      <c r="B14" s="278" t="s">
        <v>415</v>
      </c>
      <c r="C14" s="278" t="s">
        <v>1256</v>
      </c>
      <c r="D14" s="278" t="s">
        <v>1263</v>
      </c>
      <c r="E14" s="279" t="s">
        <v>1270</v>
      </c>
      <c r="F14" s="280">
        <v>4682700</v>
      </c>
      <c r="G14" s="224" t="s">
        <v>77</v>
      </c>
      <c r="H14" s="292">
        <v>46066</v>
      </c>
      <c r="I14" s="293" t="s">
        <v>777</v>
      </c>
      <c r="J14" s="293" t="s">
        <v>777</v>
      </c>
    </row>
    <row r="15" spans="1:33" x14ac:dyDescent="0.3">
      <c r="A15" s="224">
        <v>12</v>
      </c>
      <c r="B15" s="278" t="s">
        <v>1119</v>
      </c>
      <c r="C15" s="278" t="s">
        <v>1257</v>
      </c>
      <c r="D15" s="278" t="s">
        <v>1264</v>
      </c>
      <c r="E15" s="279" t="s">
        <v>1271</v>
      </c>
      <c r="F15" s="280">
        <v>7700000</v>
      </c>
      <c r="G15" s="224" t="s">
        <v>77</v>
      </c>
      <c r="H15" s="292">
        <v>46114</v>
      </c>
      <c r="I15" s="293" t="s">
        <v>777</v>
      </c>
      <c r="J15" s="293" t="s">
        <v>777</v>
      </c>
    </row>
    <row r="16" spans="1:33" x14ac:dyDescent="0.3">
      <c r="A16" s="224">
        <v>13</v>
      </c>
      <c r="B16" s="278" t="s">
        <v>420</v>
      </c>
      <c r="C16" s="278" t="s">
        <v>1258</v>
      </c>
      <c r="D16" s="278" t="s">
        <v>1265</v>
      </c>
      <c r="E16" s="279" t="s">
        <v>1272</v>
      </c>
      <c r="F16" s="280">
        <v>6500000</v>
      </c>
      <c r="G16" s="224" t="s">
        <v>77</v>
      </c>
      <c r="H16" s="292">
        <v>46107</v>
      </c>
      <c r="I16" s="293">
        <v>46296</v>
      </c>
      <c r="J16" s="249">
        <f t="shared" ref="J16" si="21">EDATE(I16,3)</f>
        <v>46388</v>
      </c>
      <c r="K16" s="249">
        <f t="shared" ref="K16:K19" si="22">EDATE(J16,3)</f>
        <v>46478</v>
      </c>
      <c r="L16" s="249">
        <f t="shared" ref="L16:L19" si="23">EDATE(K16,3)</f>
        <v>46569</v>
      </c>
      <c r="M16" s="249">
        <f t="shared" ref="M16:M19" si="24">EDATE(L16,3)</f>
        <v>46661</v>
      </c>
      <c r="N16" s="249">
        <f t="shared" ref="N16:N19" si="25">EDATE(M16,3)</f>
        <v>46753</v>
      </c>
      <c r="O16" s="249">
        <f t="shared" ref="O16:O19" si="26">EDATE(N16,3)</f>
        <v>46844</v>
      </c>
      <c r="P16" s="249">
        <f t="shared" ref="P16:P19" si="27">EDATE(O16,3)</f>
        <v>46935</v>
      </c>
      <c r="Q16" s="249">
        <f t="shared" ref="Q16:Q19" si="28">EDATE(P16,3)</f>
        <v>47027</v>
      </c>
      <c r="R16" s="249">
        <f t="shared" ref="R16:R19" si="29">EDATE(Q16,3)</f>
        <v>47119</v>
      </c>
      <c r="S16" s="249">
        <f t="shared" ref="S16:S19" si="30">EDATE(R16,3)</f>
        <v>47209</v>
      </c>
      <c r="T16" s="249">
        <f t="shared" ref="T16:T19" si="31">EDATE(S16,3)</f>
        <v>47300</v>
      </c>
      <c r="U16" s="249">
        <f t="shared" ref="U16:U19" si="32">EDATE(T16,3)</f>
        <v>47392</v>
      </c>
      <c r="V16" s="249">
        <f t="shared" ref="V16:V19" si="33">EDATE(U16,3)</f>
        <v>47484</v>
      </c>
      <c r="W16" s="249">
        <f t="shared" ref="W16:W19" si="34">EDATE(V16,3)</f>
        <v>47574</v>
      </c>
      <c r="X16" s="249">
        <f t="shared" ref="X16:X19" si="35">EDATE(W16,3)</f>
        <v>47665</v>
      </c>
      <c r="Y16" s="249">
        <f t="shared" ref="Y16:Y19" si="36">EDATE(X16,3)</f>
        <v>47757</v>
      </c>
      <c r="Z16" s="249">
        <f t="shared" ref="Z16:Z19" si="37">EDATE(Y16,3)</f>
        <v>47849</v>
      </c>
      <c r="AA16" s="249">
        <f t="shared" ref="AA16:AA19" si="38">EDATE(Z16,3)</f>
        <v>47939</v>
      </c>
      <c r="AB16" s="249">
        <f t="shared" ref="AB16:AB19" si="39">EDATE(AA16,3)</f>
        <v>48030</v>
      </c>
      <c r="AC16" s="249">
        <f t="shared" ref="AC16:AC19" si="40">EDATE(AB16,3)</f>
        <v>48122</v>
      </c>
      <c r="AD16" s="249">
        <f t="shared" ref="AD16:AD19" si="41">EDATE(AC16,3)</f>
        <v>48214</v>
      </c>
      <c r="AE16" s="249">
        <f t="shared" ref="AE16:AE19" si="42">EDATE(AD16,3)</f>
        <v>48305</v>
      </c>
      <c r="AF16" s="227">
        <f t="shared" ref="AF16:AF19" si="43">F16*3</f>
        <v>19500000</v>
      </c>
    </row>
    <row r="17" spans="1:32" x14ac:dyDescent="0.3">
      <c r="A17" s="224">
        <v>14</v>
      </c>
      <c r="B17" s="278" t="s">
        <v>251</v>
      </c>
      <c r="C17" s="278" t="s">
        <v>1259</v>
      </c>
      <c r="D17" s="278" t="s">
        <v>1266</v>
      </c>
      <c r="E17" s="279" t="s">
        <v>1272</v>
      </c>
      <c r="F17" s="280">
        <v>6600000</v>
      </c>
      <c r="G17" s="224" t="s">
        <v>77</v>
      </c>
      <c r="H17" s="292">
        <v>46108</v>
      </c>
      <c r="I17" s="293">
        <v>46296</v>
      </c>
      <c r="J17" s="249">
        <f t="shared" ref="J17:J18" si="44">EDATE(I17,3)</f>
        <v>46388</v>
      </c>
      <c r="K17" s="249">
        <f t="shared" si="22"/>
        <v>46478</v>
      </c>
      <c r="L17" s="249">
        <f t="shared" si="23"/>
        <v>46569</v>
      </c>
      <c r="M17" s="249">
        <f t="shared" si="24"/>
        <v>46661</v>
      </c>
      <c r="N17" s="249">
        <f t="shared" si="25"/>
        <v>46753</v>
      </c>
      <c r="O17" s="249">
        <f t="shared" si="26"/>
        <v>46844</v>
      </c>
      <c r="P17" s="249">
        <f t="shared" si="27"/>
        <v>46935</v>
      </c>
      <c r="Q17" s="249">
        <f t="shared" si="28"/>
        <v>47027</v>
      </c>
      <c r="R17" s="249">
        <f t="shared" si="29"/>
        <v>47119</v>
      </c>
      <c r="S17" s="249">
        <f t="shared" si="30"/>
        <v>47209</v>
      </c>
      <c r="T17" s="249">
        <f t="shared" si="31"/>
        <v>47300</v>
      </c>
      <c r="U17" s="249">
        <f t="shared" si="32"/>
        <v>47392</v>
      </c>
      <c r="V17" s="249">
        <f t="shared" si="33"/>
        <v>47484</v>
      </c>
      <c r="W17" s="249">
        <f t="shared" si="34"/>
        <v>47574</v>
      </c>
      <c r="X17" s="249">
        <f t="shared" si="35"/>
        <v>47665</v>
      </c>
      <c r="Y17" s="249">
        <f t="shared" si="36"/>
        <v>47757</v>
      </c>
      <c r="Z17" s="249">
        <f t="shared" si="37"/>
        <v>47849</v>
      </c>
      <c r="AA17" s="249">
        <f t="shared" si="38"/>
        <v>47939</v>
      </c>
      <c r="AB17" s="249">
        <f t="shared" si="39"/>
        <v>48030</v>
      </c>
      <c r="AC17" s="249">
        <f t="shared" si="40"/>
        <v>48122</v>
      </c>
      <c r="AD17" s="249">
        <f t="shared" si="41"/>
        <v>48214</v>
      </c>
      <c r="AE17" s="249">
        <f t="shared" si="42"/>
        <v>48305</v>
      </c>
      <c r="AF17" s="227">
        <f t="shared" si="43"/>
        <v>19800000</v>
      </c>
    </row>
    <row r="18" spans="1:32" x14ac:dyDescent="0.3">
      <c r="A18" s="224">
        <v>15</v>
      </c>
      <c r="B18" s="278" t="s">
        <v>195</v>
      </c>
      <c r="C18" s="278" t="s">
        <v>1260</v>
      </c>
      <c r="D18" s="278" t="s">
        <v>1267</v>
      </c>
      <c r="E18" s="279" t="s">
        <v>1271</v>
      </c>
      <c r="F18" s="280">
        <v>5577000</v>
      </c>
      <c r="G18" s="224" t="s">
        <v>77</v>
      </c>
      <c r="H18" s="292">
        <v>46010</v>
      </c>
      <c r="I18" s="293">
        <v>46357</v>
      </c>
      <c r="J18" s="249">
        <f t="shared" si="44"/>
        <v>46447</v>
      </c>
      <c r="K18" s="249">
        <f t="shared" si="22"/>
        <v>46539</v>
      </c>
      <c r="L18" s="249">
        <f t="shared" si="23"/>
        <v>46631</v>
      </c>
      <c r="M18" s="249">
        <f t="shared" si="24"/>
        <v>46722</v>
      </c>
      <c r="N18" s="249">
        <f t="shared" si="25"/>
        <v>46813</v>
      </c>
      <c r="O18" s="249">
        <f t="shared" si="26"/>
        <v>46905</v>
      </c>
      <c r="P18" s="249">
        <f t="shared" si="27"/>
        <v>46997</v>
      </c>
      <c r="Q18" s="249">
        <f t="shared" si="28"/>
        <v>47088</v>
      </c>
      <c r="R18" s="249">
        <f t="shared" si="29"/>
        <v>47178</v>
      </c>
      <c r="S18" s="249">
        <f t="shared" si="30"/>
        <v>47270</v>
      </c>
      <c r="T18" s="249">
        <f t="shared" si="31"/>
        <v>47362</v>
      </c>
      <c r="U18" s="249">
        <f t="shared" si="32"/>
        <v>47453</v>
      </c>
      <c r="V18" s="249">
        <f t="shared" si="33"/>
        <v>47543</v>
      </c>
      <c r="W18" s="249">
        <f t="shared" si="34"/>
        <v>47635</v>
      </c>
      <c r="X18" s="249">
        <f t="shared" si="35"/>
        <v>47727</v>
      </c>
      <c r="Y18" s="249">
        <f t="shared" si="36"/>
        <v>47818</v>
      </c>
      <c r="Z18" s="249">
        <f t="shared" si="37"/>
        <v>47908</v>
      </c>
      <c r="AA18" s="249">
        <f t="shared" si="38"/>
        <v>48000</v>
      </c>
      <c r="AB18" s="249">
        <f t="shared" si="39"/>
        <v>48092</v>
      </c>
      <c r="AC18" s="249">
        <f t="shared" si="40"/>
        <v>48183</v>
      </c>
      <c r="AD18" s="249">
        <f t="shared" si="41"/>
        <v>48274</v>
      </c>
      <c r="AE18" s="249">
        <f t="shared" si="42"/>
        <v>48366</v>
      </c>
      <c r="AF18" s="227">
        <f t="shared" si="43"/>
        <v>16731000</v>
      </c>
    </row>
    <row r="19" spans="1:32" x14ac:dyDescent="0.3">
      <c r="A19" s="224">
        <v>16</v>
      </c>
      <c r="B19" s="278" t="s">
        <v>19</v>
      </c>
      <c r="C19" s="278" t="s">
        <v>1261</v>
      </c>
      <c r="D19" s="278" t="s">
        <v>1268</v>
      </c>
      <c r="E19" s="279" t="s">
        <v>1271</v>
      </c>
      <c r="F19" s="280">
        <v>4943400</v>
      </c>
      <c r="G19" s="224" t="s">
        <v>77</v>
      </c>
      <c r="H19" s="292">
        <v>46010</v>
      </c>
      <c r="I19" s="293">
        <v>46357</v>
      </c>
      <c r="J19" s="249">
        <f t="shared" ref="J19" si="45">EDATE(I19,3)</f>
        <v>46447</v>
      </c>
      <c r="K19" s="249">
        <f t="shared" si="22"/>
        <v>46539</v>
      </c>
      <c r="L19" s="249">
        <f t="shared" si="23"/>
        <v>46631</v>
      </c>
      <c r="M19" s="249">
        <f t="shared" si="24"/>
        <v>46722</v>
      </c>
      <c r="N19" s="249">
        <f t="shared" si="25"/>
        <v>46813</v>
      </c>
      <c r="O19" s="249">
        <f t="shared" si="26"/>
        <v>46905</v>
      </c>
      <c r="P19" s="249">
        <f t="shared" si="27"/>
        <v>46997</v>
      </c>
      <c r="Q19" s="249">
        <f t="shared" si="28"/>
        <v>47088</v>
      </c>
      <c r="R19" s="249">
        <f t="shared" si="29"/>
        <v>47178</v>
      </c>
      <c r="S19" s="249">
        <f t="shared" si="30"/>
        <v>47270</v>
      </c>
      <c r="T19" s="249">
        <f t="shared" si="31"/>
        <v>47362</v>
      </c>
      <c r="U19" s="249">
        <f t="shared" si="32"/>
        <v>47453</v>
      </c>
      <c r="V19" s="249">
        <f t="shared" si="33"/>
        <v>47543</v>
      </c>
      <c r="W19" s="249">
        <f t="shared" si="34"/>
        <v>47635</v>
      </c>
      <c r="X19" s="249">
        <f t="shared" si="35"/>
        <v>47727</v>
      </c>
      <c r="Y19" s="249">
        <f t="shared" si="36"/>
        <v>47818</v>
      </c>
      <c r="Z19" s="249">
        <f t="shared" si="37"/>
        <v>47908</v>
      </c>
      <c r="AA19" s="249">
        <f t="shared" si="38"/>
        <v>48000</v>
      </c>
      <c r="AB19" s="249">
        <f t="shared" si="39"/>
        <v>48092</v>
      </c>
      <c r="AC19" s="249">
        <f t="shared" si="40"/>
        <v>48183</v>
      </c>
      <c r="AD19" s="249">
        <f t="shared" si="41"/>
        <v>48274</v>
      </c>
      <c r="AE19" s="249">
        <f t="shared" si="42"/>
        <v>48366</v>
      </c>
      <c r="AF19" s="227">
        <f t="shared" si="43"/>
        <v>14830200</v>
      </c>
    </row>
    <row r="20" spans="1:32" x14ac:dyDescent="0.3">
      <c r="A20" s="224">
        <v>17</v>
      </c>
      <c r="B20" s="278" t="s">
        <v>808</v>
      </c>
      <c r="C20" s="278" t="s">
        <v>1289</v>
      </c>
      <c r="D20" s="278" t="s">
        <v>1290</v>
      </c>
      <c r="E20" s="279" t="s">
        <v>1291</v>
      </c>
      <c r="F20" s="280">
        <v>8778000</v>
      </c>
      <c r="G20" s="224" t="s">
        <v>77</v>
      </c>
      <c r="H20" s="294" t="s">
        <v>777</v>
      </c>
      <c r="I20" s="293" t="s">
        <v>777</v>
      </c>
      <c r="J20" s="293" t="s">
        <v>777</v>
      </c>
    </row>
    <row r="21" spans="1:32" x14ac:dyDescent="0.3">
      <c r="A21" s="224">
        <v>18</v>
      </c>
      <c r="B21" s="278" t="s">
        <v>1248</v>
      </c>
      <c r="C21" s="278" t="s">
        <v>1248</v>
      </c>
      <c r="D21" s="278" t="s">
        <v>1292</v>
      </c>
      <c r="E21" s="294" t="s">
        <v>1293</v>
      </c>
      <c r="F21" s="280">
        <v>13500000</v>
      </c>
      <c r="G21" s="224" t="s">
        <v>77</v>
      </c>
      <c r="H21" s="294" t="s">
        <v>777</v>
      </c>
      <c r="I21" s="293" t="s">
        <v>777</v>
      </c>
      <c r="J21" s="293" t="s">
        <v>777</v>
      </c>
    </row>
    <row r="22" spans="1:32" x14ac:dyDescent="0.3">
      <c r="A22" s="224">
        <v>19</v>
      </c>
      <c r="B22" s="278" t="s">
        <v>742</v>
      </c>
      <c r="C22" s="278" t="s">
        <v>1294</v>
      </c>
      <c r="D22" s="278" t="s">
        <v>1295</v>
      </c>
      <c r="E22" s="279" t="s">
        <v>1296</v>
      </c>
      <c r="F22" s="280">
        <v>7000000</v>
      </c>
      <c r="G22" s="224" t="s">
        <v>77</v>
      </c>
      <c r="H22" s="294" t="s">
        <v>777</v>
      </c>
      <c r="I22" s="293" t="s">
        <v>777</v>
      </c>
      <c r="J22" s="293" t="s">
        <v>777</v>
      </c>
    </row>
  </sheetData>
  <phoneticPr fontId="3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7CFB-57FF-4B3C-845A-AF9FA2575408}">
  <dimension ref="A1:AA16"/>
  <sheetViews>
    <sheetView zoomScale="70" zoomScaleNormal="7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H14" sqref="H14"/>
    </sheetView>
  </sheetViews>
  <sheetFormatPr defaultRowHeight="14.4" x14ac:dyDescent="0.3"/>
  <cols>
    <col min="1" max="1" width="3.44140625" customWidth="1"/>
    <col min="2" max="2" width="15.77734375" customWidth="1"/>
    <col min="3" max="3" width="18.6640625" bestFit="1" customWidth="1"/>
    <col min="4" max="4" width="22" bestFit="1" customWidth="1"/>
    <col min="5" max="5" width="27.6640625" customWidth="1"/>
    <col min="6" max="7" width="14.88671875" customWidth="1"/>
    <col min="8" max="8" width="15.21875" customWidth="1"/>
    <col min="9" max="9" width="14" bestFit="1" customWidth="1"/>
    <col min="10" max="10" width="13.21875" customWidth="1"/>
    <col min="11" max="11" width="12.77734375" customWidth="1"/>
    <col min="12" max="24" width="12.21875" customWidth="1"/>
    <col min="25" max="25" width="15.109375" customWidth="1"/>
  </cols>
  <sheetData>
    <row r="1" spans="1:27" ht="61.8" customHeight="1" x14ac:dyDescent="0.3">
      <c r="A1" s="223" t="s">
        <v>24</v>
      </c>
      <c r="B1" s="223" t="s">
        <v>363</v>
      </c>
      <c r="C1" s="223" t="s">
        <v>1089</v>
      </c>
      <c r="D1" s="223" t="s">
        <v>1090</v>
      </c>
      <c r="E1" s="223" t="s">
        <v>1050</v>
      </c>
      <c r="F1" s="223" t="s">
        <v>363</v>
      </c>
      <c r="G1" s="223" t="s">
        <v>1091</v>
      </c>
      <c r="H1" s="223" t="s">
        <v>1124</v>
      </c>
      <c r="I1" s="223" t="s">
        <v>1092</v>
      </c>
      <c r="J1" s="223" t="s">
        <v>1093</v>
      </c>
      <c r="K1" s="223" t="s">
        <v>981</v>
      </c>
      <c r="L1" s="223" t="s">
        <v>982</v>
      </c>
      <c r="M1" s="223" t="s">
        <v>983</v>
      </c>
      <c r="N1" s="223" t="s">
        <v>984</v>
      </c>
      <c r="O1" s="223" t="s">
        <v>985</v>
      </c>
      <c r="P1" s="223" t="s">
        <v>986</v>
      </c>
      <c r="Q1" s="223" t="s">
        <v>986</v>
      </c>
      <c r="R1" s="223" t="s">
        <v>986</v>
      </c>
      <c r="S1" s="223" t="s">
        <v>987</v>
      </c>
      <c r="T1" s="223" t="s">
        <v>987</v>
      </c>
      <c r="U1" s="223" t="s">
        <v>988</v>
      </c>
      <c r="V1" s="223" t="s">
        <v>989</v>
      </c>
      <c r="W1" s="223" t="s">
        <v>1038</v>
      </c>
      <c r="X1" s="223" t="s">
        <v>1039</v>
      </c>
      <c r="Y1" s="252" t="s">
        <v>1094</v>
      </c>
    </row>
    <row r="2" spans="1:27" x14ac:dyDescent="0.3">
      <c r="A2" s="41"/>
      <c r="B2" s="41">
        <f t="shared" ref="B2:T2" si="0">SUBTOTAL(3,B4:B49)</f>
        <v>12</v>
      </c>
      <c r="C2" s="41">
        <f t="shared" si="0"/>
        <v>12</v>
      </c>
      <c r="D2" s="41">
        <f t="shared" si="0"/>
        <v>12</v>
      </c>
      <c r="E2" s="41">
        <f t="shared" si="0"/>
        <v>12</v>
      </c>
      <c r="F2" s="41">
        <f>SUBTOTAL(3,F4:F49)</f>
        <v>6</v>
      </c>
      <c r="G2" s="41"/>
      <c r="H2" s="41">
        <f t="shared" si="0"/>
        <v>12</v>
      </c>
      <c r="I2" s="41">
        <f t="shared" si="0"/>
        <v>12</v>
      </c>
      <c r="J2" s="41">
        <f t="shared" si="0"/>
        <v>12</v>
      </c>
      <c r="K2" s="41">
        <f t="shared" si="0"/>
        <v>12</v>
      </c>
      <c r="L2" s="41">
        <f t="shared" si="0"/>
        <v>11</v>
      </c>
      <c r="M2" s="41">
        <f t="shared" si="0"/>
        <v>11</v>
      </c>
      <c r="N2" s="41">
        <f t="shared" si="0"/>
        <v>11</v>
      </c>
      <c r="O2" s="41">
        <f t="shared" si="0"/>
        <v>11</v>
      </c>
      <c r="P2" s="41">
        <f t="shared" si="0"/>
        <v>11</v>
      </c>
      <c r="Q2" s="41">
        <f t="shared" si="0"/>
        <v>11</v>
      </c>
      <c r="R2" s="41">
        <f t="shared" si="0"/>
        <v>11</v>
      </c>
      <c r="S2" s="41">
        <f t="shared" si="0"/>
        <v>11</v>
      </c>
      <c r="T2" s="41">
        <f t="shared" si="0"/>
        <v>11</v>
      </c>
      <c r="U2" s="41">
        <f t="shared" ref="U2:X2" si="1">SUBTOTAL(3,U4:U49)</f>
        <v>11</v>
      </c>
      <c r="V2" s="41">
        <f t="shared" si="1"/>
        <v>11</v>
      </c>
      <c r="W2" s="41">
        <f t="shared" si="1"/>
        <v>11</v>
      </c>
      <c r="X2" s="41">
        <f t="shared" si="1"/>
        <v>11</v>
      </c>
      <c r="Y2" s="247">
        <f>SUBTOTAL(9,Y4:Y49)</f>
        <v>470820000</v>
      </c>
    </row>
    <row r="3" spans="1:27" x14ac:dyDescent="0.3">
      <c r="A3" s="224"/>
      <c r="B3" s="41" t="s">
        <v>0</v>
      </c>
      <c r="C3" s="224" t="s">
        <v>0</v>
      </c>
      <c r="D3" s="41" t="s">
        <v>0</v>
      </c>
      <c r="E3" s="41" t="s">
        <v>0</v>
      </c>
      <c r="F3" s="224" t="s">
        <v>0</v>
      </c>
      <c r="G3" s="41"/>
      <c r="H3" s="224" t="s">
        <v>0</v>
      </c>
      <c r="I3" s="224" t="s">
        <v>0</v>
      </c>
      <c r="J3" s="224" t="s">
        <v>0</v>
      </c>
      <c r="K3" s="224" t="s">
        <v>0</v>
      </c>
      <c r="L3" s="224" t="s">
        <v>0</v>
      </c>
      <c r="M3" s="224" t="s">
        <v>0</v>
      </c>
      <c r="N3" s="224" t="s">
        <v>0</v>
      </c>
      <c r="O3" s="224" t="s">
        <v>0</v>
      </c>
      <c r="P3" s="224" t="s">
        <v>0</v>
      </c>
      <c r="Q3" s="224" t="s">
        <v>0</v>
      </c>
      <c r="R3" s="224" t="s">
        <v>0</v>
      </c>
      <c r="S3" s="224" t="s">
        <v>0</v>
      </c>
      <c r="T3" s="224" t="s">
        <v>0</v>
      </c>
      <c r="U3" s="224" t="s">
        <v>0</v>
      </c>
      <c r="V3" s="224" t="s">
        <v>0</v>
      </c>
      <c r="W3" s="224" t="s">
        <v>0</v>
      </c>
      <c r="X3" s="224" t="s">
        <v>0</v>
      </c>
      <c r="Y3" s="224" t="s">
        <v>0</v>
      </c>
    </row>
    <row r="4" spans="1:27" x14ac:dyDescent="0.3">
      <c r="A4" s="224">
        <v>1</v>
      </c>
      <c r="B4" s="41" t="s">
        <v>254</v>
      </c>
      <c r="C4" s="224" t="s">
        <v>1095</v>
      </c>
      <c r="D4" s="41" t="s">
        <v>1096</v>
      </c>
      <c r="E4" s="253" t="s">
        <v>1097</v>
      </c>
      <c r="F4" s="224" t="s">
        <v>1095</v>
      </c>
      <c r="G4" s="41"/>
      <c r="H4" s="254">
        <v>6500000</v>
      </c>
      <c r="I4" s="224">
        <v>6</v>
      </c>
      <c r="J4" s="249">
        <v>44666</v>
      </c>
      <c r="K4" s="249">
        <f>EDATE(J4,6)</f>
        <v>44849</v>
      </c>
      <c r="L4" s="249">
        <f t="shared" ref="L4:T6" si="2">EDATE(K4,6)</f>
        <v>45031</v>
      </c>
      <c r="M4" s="249">
        <f t="shared" si="2"/>
        <v>45214</v>
      </c>
      <c r="N4" s="249">
        <f t="shared" si="2"/>
        <v>45397</v>
      </c>
      <c r="O4" s="249">
        <f t="shared" si="2"/>
        <v>45580</v>
      </c>
      <c r="P4" s="249">
        <f t="shared" si="2"/>
        <v>45762</v>
      </c>
      <c r="Q4" s="249">
        <f t="shared" si="2"/>
        <v>45945</v>
      </c>
      <c r="R4" s="250">
        <f t="shared" si="2"/>
        <v>46127</v>
      </c>
      <c r="S4" s="249">
        <f t="shared" si="2"/>
        <v>46310</v>
      </c>
      <c r="T4" s="249">
        <f t="shared" si="2"/>
        <v>46492</v>
      </c>
      <c r="U4" s="249">
        <f t="shared" ref="U4:U6" si="3">EDATE(T4,6)</f>
        <v>46675</v>
      </c>
      <c r="V4" s="249">
        <f t="shared" ref="V4:V6" si="4">EDATE(U4,6)</f>
        <v>46858</v>
      </c>
      <c r="W4" s="249">
        <f t="shared" ref="W4:W6" si="5">EDATE(V4,6)</f>
        <v>47041</v>
      </c>
      <c r="X4" s="249">
        <f t="shared" ref="X4:X6" si="6">EDATE(W4,6)</f>
        <v>47223</v>
      </c>
      <c r="Y4" s="227">
        <f>I4*H4</f>
        <v>39000000</v>
      </c>
      <c r="Z4" s="288" t="s">
        <v>1279</v>
      </c>
    </row>
    <row r="5" spans="1:27" ht="27.6" x14ac:dyDescent="0.3">
      <c r="A5" s="224">
        <v>2</v>
      </c>
      <c r="B5" s="41" t="s">
        <v>14</v>
      </c>
      <c r="C5" s="224" t="s">
        <v>18</v>
      </c>
      <c r="D5" s="41" t="s">
        <v>1098</v>
      </c>
      <c r="E5" s="253" t="s">
        <v>1099</v>
      </c>
      <c r="F5" s="224" t="s">
        <v>18</v>
      </c>
      <c r="G5" s="41"/>
      <c r="H5" s="254">
        <v>5500000</v>
      </c>
      <c r="I5" s="224">
        <v>6</v>
      </c>
      <c r="J5" s="249">
        <v>44743</v>
      </c>
      <c r="K5" s="249">
        <f>EDATE(J5,6)</f>
        <v>44927</v>
      </c>
      <c r="L5" s="249">
        <f t="shared" si="2"/>
        <v>45108</v>
      </c>
      <c r="M5" s="249">
        <f t="shared" si="2"/>
        <v>45292</v>
      </c>
      <c r="N5" s="249">
        <f t="shared" si="2"/>
        <v>45474</v>
      </c>
      <c r="O5" s="249">
        <f t="shared" si="2"/>
        <v>45658</v>
      </c>
      <c r="P5" s="249">
        <f t="shared" si="2"/>
        <v>45839</v>
      </c>
      <c r="Q5" s="249">
        <f t="shared" si="2"/>
        <v>46023</v>
      </c>
      <c r="R5" s="249">
        <f t="shared" si="2"/>
        <v>46204</v>
      </c>
      <c r="S5" s="249">
        <f t="shared" si="2"/>
        <v>46388</v>
      </c>
      <c r="T5" s="249">
        <f t="shared" si="2"/>
        <v>46569</v>
      </c>
      <c r="U5" s="249">
        <f t="shared" si="3"/>
        <v>46753</v>
      </c>
      <c r="V5" s="249">
        <f t="shared" si="4"/>
        <v>46935</v>
      </c>
      <c r="W5" s="249">
        <f t="shared" si="5"/>
        <v>47119</v>
      </c>
      <c r="X5" s="249">
        <f t="shared" si="6"/>
        <v>47300</v>
      </c>
      <c r="Y5" s="227">
        <f t="shared" ref="Y5:Y6" si="7">I5*H5</f>
        <v>33000000</v>
      </c>
      <c r="Z5" s="289" t="s">
        <v>1280</v>
      </c>
    </row>
    <row r="6" spans="1:27" ht="41.4" x14ac:dyDescent="0.3">
      <c r="A6" s="224">
        <v>3</v>
      </c>
      <c r="B6" s="41" t="s">
        <v>428</v>
      </c>
      <c r="C6" s="224" t="s">
        <v>1246</v>
      </c>
      <c r="D6" s="41" t="s">
        <v>1101</v>
      </c>
      <c r="E6" s="41" t="s">
        <v>1102</v>
      </c>
      <c r="F6" s="224" t="s">
        <v>1103</v>
      </c>
      <c r="G6" s="41" t="s">
        <v>1100</v>
      </c>
      <c r="H6" s="254">
        <v>7000000</v>
      </c>
      <c r="I6" s="224">
        <v>6</v>
      </c>
      <c r="J6" s="249">
        <v>44835</v>
      </c>
      <c r="K6" s="249">
        <v>44927</v>
      </c>
      <c r="L6" s="226">
        <f t="shared" si="2"/>
        <v>45108</v>
      </c>
      <c r="M6" s="226">
        <f t="shared" si="2"/>
        <v>45292</v>
      </c>
      <c r="N6" s="226">
        <f t="shared" si="2"/>
        <v>45474</v>
      </c>
      <c r="O6" s="249">
        <f t="shared" si="2"/>
        <v>45658</v>
      </c>
      <c r="P6" s="249">
        <f t="shared" si="2"/>
        <v>45839</v>
      </c>
      <c r="Q6" s="249">
        <f t="shared" si="2"/>
        <v>46023</v>
      </c>
      <c r="R6" s="249">
        <f t="shared" si="2"/>
        <v>46204</v>
      </c>
      <c r="S6" s="249">
        <f t="shared" si="2"/>
        <v>46388</v>
      </c>
      <c r="T6" s="249">
        <f t="shared" si="2"/>
        <v>46569</v>
      </c>
      <c r="U6" s="249">
        <f t="shared" si="3"/>
        <v>46753</v>
      </c>
      <c r="V6" s="249">
        <f t="shared" si="4"/>
        <v>46935</v>
      </c>
      <c r="W6" s="249">
        <f t="shared" si="5"/>
        <v>47119</v>
      </c>
      <c r="X6" s="249">
        <f t="shared" si="6"/>
        <v>47300</v>
      </c>
      <c r="Y6" s="227">
        <f t="shared" si="7"/>
        <v>42000000</v>
      </c>
      <c r="Z6" s="289" t="s">
        <v>1280</v>
      </c>
    </row>
    <row r="7" spans="1:27" ht="27.6" x14ac:dyDescent="0.3">
      <c r="A7" s="224">
        <v>4</v>
      </c>
      <c r="B7" s="41" t="s">
        <v>484</v>
      </c>
      <c r="C7" s="224" t="s">
        <v>1247</v>
      </c>
      <c r="D7" s="41" t="s">
        <v>1105</v>
      </c>
      <c r="E7" s="253" t="s">
        <v>1106</v>
      </c>
      <c r="F7" s="224" t="s">
        <v>1107</v>
      </c>
      <c r="G7" s="41" t="s">
        <v>1104</v>
      </c>
      <c r="H7" s="254">
        <v>6500000</v>
      </c>
      <c r="I7" s="224">
        <v>3</v>
      </c>
      <c r="J7" s="249">
        <v>45474</v>
      </c>
      <c r="K7" s="249">
        <f>EDATE(J7,3)</f>
        <v>45566</v>
      </c>
      <c r="L7" s="249">
        <f>EDATE(K7,3)</f>
        <v>45658</v>
      </c>
      <c r="M7" s="249">
        <f t="shared" ref="M7:T7" si="8">EDATE(L7,3)</f>
        <v>45748</v>
      </c>
      <c r="N7" s="249">
        <f t="shared" si="8"/>
        <v>45839</v>
      </c>
      <c r="O7" s="249">
        <f t="shared" si="8"/>
        <v>45931</v>
      </c>
      <c r="P7" s="249">
        <f t="shared" si="8"/>
        <v>46023</v>
      </c>
      <c r="Q7" s="250">
        <f t="shared" si="8"/>
        <v>46113</v>
      </c>
      <c r="R7" s="249">
        <f t="shared" si="8"/>
        <v>46204</v>
      </c>
      <c r="S7" s="249">
        <f t="shared" si="8"/>
        <v>46296</v>
      </c>
      <c r="T7" s="249">
        <f t="shared" si="8"/>
        <v>46388</v>
      </c>
      <c r="U7" s="249">
        <f t="shared" ref="U7" si="9">EDATE(T7,3)</f>
        <v>46478</v>
      </c>
      <c r="V7" s="249">
        <f t="shared" ref="V7" si="10">EDATE(U7,3)</f>
        <v>46569</v>
      </c>
      <c r="W7" s="249">
        <f t="shared" ref="W7" si="11">EDATE(V7,3)</f>
        <v>46661</v>
      </c>
      <c r="X7" s="249">
        <f t="shared" ref="X7" si="12">EDATE(W7,3)</f>
        <v>46753</v>
      </c>
      <c r="Y7" s="227">
        <f>I7*H7</f>
        <v>19500000</v>
      </c>
      <c r="Z7" s="289" t="s">
        <v>1281</v>
      </c>
    </row>
    <row r="8" spans="1:27" ht="27.6" x14ac:dyDescent="0.3">
      <c r="A8" s="224">
        <v>5</v>
      </c>
      <c r="B8" s="41" t="s">
        <v>1108</v>
      </c>
      <c r="C8" s="224" t="s">
        <v>1109</v>
      </c>
      <c r="D8" s="41" t="s">
        <v>1110</v>
      </c>
      <c r="E8" s="253" t="s">
        <v>1111</v>
      </c>
      <c r="F8" s="224" t="s">
        <v>1109</v>
      </c>
      <c r="G8" s="41"/>
      <c r="H8" s="254">
        <v>6820000.0000000009</v>
      </c>
      <c r="I8" s="224">
        <v>6</v>
      </c>
      <c r="J8" s="249">
        <v>45627</v>
      </c>
      <c r="K8" s="249">
        <f>EDATE(J8,6)</f>
        <v>45809</v>
      </c>
      <c r="L8" s="249">
        <f t="shared" ref="L8:T14" si="13">EDATE(K8,6)</f>
        <v>45992</v>
      </c>
      <c r="M8" s="249">
        <f t="shared" si="13"/>
        <v>46174</v>
      </c>
      <c r="N8" s="249">
        <f t="shared" si="13"/>
        <v>46357</v>
      </c>
      <c r="O8" s="249">
        <f t="shared" si="13"/>
        <v>46539</v>
      </c>
      <c r="P8" s="249">
        <f t="shared" si="13"/>
        <v>46722</v>
      </c>
      <c r="Q8" s="249">
        <f t="shared" si="13"/>
        <v>46905</v>
      </c>
      <c r="R8" s="249">
        <f t="shared" si="13"/>
        <v>47088</v>
      </c>
      <c r="S8" s="249">
        <f t="shared" si="13"/>
        <v>47270</v>
      </c>
      <c r="T8" s="249">
        <f t="shared" si="13"/>
        <v>47453</v>
      </c>
      <c r="U8" s="249">
        <f t="shared" ref="U8:U9" si="14">EDATE(T8,6)</f>
        <v>47635</v>
      </c>
      <c r="V8" s="249">
        <f t="shared" ref="V8:V14" si="15">EDATE(U8,6)</f>
        <v>47818</v>
      </c>
      <c r="W8" s="249">
        <f t="shared" ref="W8:W14" si="16">EDATE(V8,6)</f>
        <v>48000</v>
      </c>
      <c r="X8" s="249">
        <f t="shared" ref="X8:X14" si="17">EDATE(W8,6)</f>
        <v>48183</v>
      </c>
      <c r="Y8" s="227">
        <f>H8*6</f>
        <v>40920000.000000007</v>
      </c>
      <c r="Z8" s="289" t="s">
        <v>1282</v>
      </c>
    </row>
    <row r="9" spans="1:27" ht="27.6" x14ac:dyDescent="0.3">
      <c r="A9" s="224">
        <v>6</v>
      </c>
      <c r="B9" s="41" t="s">
        <v>251</v>
      </c>
      <c r="C9" s="224" t="s">
        <v>1112</v>
      </c>
      <c r="D9" s="41" t="s">
        <v>1113</v>
      </c>
      <c r="E9" s="253" t="s">
        <v>1114</v>
      </c>
      <c r="F9" s="224" t="s">
        <v>1115</v>
      </c>
      <c r="G9" s="41" t="s">
        <v>1112</v>
      </c>
      <c r="H9" s="254">
        <v>7000000</v>
      </c>
      <c r="I9" s="224">
        <v>6</v>
      </c>
      <c r="J9" s="249">
        <v>45915</v>
      </c>
      <c r="K9" s="250">
        <v>46143</v>
      </c>
      <c r="L9" s="226">
        <v>46357</v>
      </c>
      <c r="M9" s="226">
        <f t="shared" si="13"/>
        <v>46539</v>
      </c>
      <c r="N9" s="226">
        <f t="shared" si="13"/>
        <v>46722</v>
      </c>
      <c r="O9" s="226">
        <f t="shared" si="13"/>
        <v>46905</v>
      </c>
      <c r="P9" s="226">
        <f t="shared" si="13"/>
        <v>47088</v>
      </c>
      <c r="Q9" s="226">
        <f t="shared" si="13"/>
        <v>47270</v>
      </c>
      <c r="R9" s="226">
        <f t="shared" si="13"/>
        <v>47453</v>
      </c>
      <c r="S9" s="226">
        <f t="shared" si="13"/>
        <v>47635</v>
      </c>
      <c r="T9" s="226">
        <f t="shared" si="13"/>
        <v>47818</v>
      </c>
      <c r="U9" s="226">
        <f t="shared" si="14"/>
        <v>48000</v>
      </c>
      <c r="V9" s="226">
        <f t="shared" si="15"/>
        <v>48183</v>
      </c>
      <c r="W9" s="226">
        <f t="shared" si="16"/>
        <v>48366</v>
      </c>
      <c r="X9" s="226">
        <f t="shared" si="17"/>
        <v>48549</v>
      </c>
      <c r="Y9" s="227">
        <f t="shared" ref="Y9:Y15" si="18">H9*6</f>
        <v>42000000</v>
      </c>
      <c r="Z9" s="289" t="s">
        <v>1282</v>
      </c>
    </row>
    <row r="10" spans="1:27" ht="27.6" x14ac:dyDescent="0.3">
      <c r="A10" s="224">
        <v>7</v>
      </c>
      <c r="B10" s="41" t="s">
        <v>704</v>
      </c>
      <c r="C10" s="224" t="s">
        <v>1116</v>
      </c>
      <c r="D10" s="41" t="s">
        <v>1117</v>
      </c>
      <c r="E10" s="253" t="s">
        <v>1118</v>
      </c>
      <c r="F10" s="224"/>
      <c r="G10" s="283" t="s">
        <v>1116</v>
      </c>
      <c r="H10" s="254">
        <v>8000000</v>
      </c>
      <c r="I10" s="224">
        <v>6</v>
      </c>
      <c r="J10" s="249" t="s">
        <v>784</v>
      </c>
      <c r="K10" s="250">
        <v>46023</v>
      </c>
      <c r="L10" s="226">
        <v>46266</v>
      </c>
      <c r="M10" s="226">
        <f t="shared" si="13"/>
        <v>46447</v>
      </c>
      <c r="N10" s="226">
        <f t="shared" si="13"/>
        <v>46631</v>
      </c>
      <c r="O10" s="226">
        <f t="shared" si="13"/>
        <v>46813</v>
      </c>
      <c r="P10" s="226">
        <f t="shared" si="13"/>
        <v>46997</v>
      </c>
      <c r="Q10" s="226">
        <f t="shared" si="13"/>
        <v>47178</v>
      </c>
      <c r="R10" s="226">
        <f t="shared" si="13"/>
        <v>47362</v>
      </c>
      <c r="S10" s="226">
        <f t="shared" si="13"/>
        <v>47543</v>
      </c>
      <c r="T10" s="226">
        <f t="shared" si="13"/>
        <v>47727</v>
      </c>
      <c r="U10" s="226">
        <f t="shared" ref="U10:U14" si="19">EDATE(T10,6)</f>
        <v>47908</v>
      </c>
      <c r="V10" s="226">
        <f t="shared" si="15"/>
        <v>48092</v>
      </c>
      <c r="W10" s="226">
        <f t="shared" si="16"/>
        <v>48274</v>
      </c>
      <c r="X10" s="226">
        <f t="shared" si="17"/>
        <v>48458</v>
      </c>
      <c r="Y10" s="227">
        <f t="shared" si="18"/>
        <v>48000000</v>
      </c>
      <c r="Z10" s="289" t="s">
        <v>1283</v>
      </c>
      <c r="AA10" s="91" t="s">
        <v>1284</v>
      </c>
    </row>
    <row r="11" spans="1:27" ht="27.6" x14ac:dyDescent="0.3">
      <c r="A11" s="224">
        <v>8</v>
      </c>
      <c r="B11" s="41" t="s">
        <v>1119</v>
      </c>
      <c r="C11" s="224" t="s">
        <v>1120</v>
      </c>
      <c r="D11" s="41" t="s">
        <v>1121</v>
      </c>
      <c r="E11" s="253" t="s">
        <v>1118</v>
      </c>
      <c r="F11" s="224"/>
      <c r="G11" s="283" t="s">
        <v>1120</v>
      </c>
      <c r="H11" s="254">
        <v>7400000</v>
      </c>
      <c r="I11" s="224">
        <v>6</v>
      </c>
      <c r="J11" s="249" t="s">
        <v>784</v>
      </c>
      <c r="K11" s="250">
        <v>46023</v>
      </c>
      <c r="L11" s="226">
        <v>46266</v>
      </c>
      <c r="M11" s="226">
        <f t="shared" si="13"/>
        <v>46447</v>
      </c>
      <c r="N11" s="226">
        <f t="shared" si="13"/>
        <v>46631</v>
      </c>
      <c r="O11" s="226">
        <f t="shared" si="13"/>
        <v>46813</v>
      </c>
      <c r="P11" s="226">
        <f t="shared" si="13"/>
        <v>46997</v>
      </c>
      <c r="Q11" s="226">
        <f t="shared" si="13"/>
        <v>47178</v>
      </c>
      <c r="R11" s="226">
        <f t="shared" si="13"/>
        <v>47362</v>
      </c>
      <c r="S11" s="226">
        <f t="shared" si="13"/>
        <v>47543</v>
      </c>
      <c r="T11" s="226">
        <f t="shared" si="13"/>
        <v>47727</v>
      </c>
      <c r="U11" s="226">
        <f t="shared" si="19"/>
        <v>47908</v>
      </c>
      <c r="V11" s="226">
        <f t="shared" si="15"/>
        <v>48092</v>
      </c>
      <c r="W11" s="226">
        <f t="shared" si="16"/>
        <v>48274</v>
      </c>
      <c r="X11" s="226">
        <f t="shared" si="17"/>
        <v>48458</v>
      </c>
      <c r="Y11" s="227">
        <f t="shared" si="18"/>
        <v>44400000</v>
      </c>
      <c r="Z11" s="289" t="s">
        <v>1283</v>
      </c>
      <c r="AA11" s="91" t="s">
        <v>1284</v>
      </c>
    </row>
    <row r="12" spans="1:27" ht="27.6" x14ac:dyDescent="0.3">
      <c r="A12" s="224">
        <v>9</v>
      </c>
      <c r="B12" s="41" t="s">
        <v>415</v>
      </c>
      <c r="C12" s="224" t="s">
        <v>1122</v>
      </c>
      <c r="D12" s="41" t="s">
        <v>1123</v>
      </c>
      <c r="E12" s="253" t="s">
        <v>1118</v>
      </c>
      <c r="F12" s="224"/>
      <c r="G12" s="283" t="s">
        <v>1122</v>
      </c>
      <c r="H12" s="254">
        <v>6400000</v>
      </c>
      <c r="I12" s="224">
        <v>6</v>
      </c>
      <c r="J12" s="249" t="s">
        <v>784</v>
      </c>
      <c r="K12" s="250">
        <v>46023</v>
      </c>
      <c r="L12" s="226">
        <v>46266</v>
      </c>
      <c r="M12" s="226">
        <f t="shared" si="13"/>
        <v>46447</v>
      </c>
      <c r="N12" s="226">
        <f t="shared" si="13"/>
        <v>46631</v>
      </c>
      <c r="O12" s="226">
        <f t="shared" si="13"/>
        <v>46813</v>
      </c>
      <c r="P12" s="226">
        <f t="shared" si="13"/>
        <v>46997</v>
      </c>
      <c r="Q12" s="226">
        <f t="shared" si="13"/>
        <v>47178</v>
      </c>
      <c r="R12" s="226">
        <f t="shared" si="13"/>
        <v>47362</v>
      </c>
      <c r="S12" s="226">
        <f t="shared" si="13"/>
        <v>47543</v>
      </c>
      <c r="T12" s="226">
        <f t="shared" si="13"/>
        <v>47727</v>
      </c>
      <c r="U12" s="226">
        <f t="shared" si="19"/>
        <v>47908</v>
      </c>
      <c r="V12" s="226">
        <f t="shared" si="15"/>
        <v>48092</v>
      </c>
      <c r="W12" s="226">
        <f t="shared" si="16"/>
        <v>48274</v>
      </c>
      <c r="X12" s="226">
        <f t="shared" si="17"/>
        <v>48458</v>
      </c>
      <c r="Y12" s="227">
        <f t="shared" si="18"/>
        <v>38400000</v>
      </c>
      <c r="Z12" s="289" t="s">
        <v>1283</v>
      </c>
      <c r="AA12" s="91" t="s">
        <v>1284</v>
      </c>
    </row>
    <row r="13" spans="1:27" ht="27.6" x14ac:dyDescent="0.3">
      <c r="A13" s="281">
        <v>10</v>
      </c>
      <c r="B13" s="41" t="s">
        <v>722</v>
      </c>
      <c r="C13" s="224" t="s">
        <v>1273</v>
      </c>
      <c r="D13" s="41" t="s">
        <v>1274</v>
      </c>
      <c r="E13" s="282">
        <v>45890</v>
      </c>
      <c r="F13" s="224"/>
      <c r="G13" s="224" t="s">
        <v>1273</v>
      </c>
      <c r="H13" s="254">
        <v>5600000</v>
      </c>
      <c r="I13" s="224">
        <v>6</v>
      </c>
      <c r="J13" s="249" t="s">
        <v>784</v>
      </c>
      <c r="K13" s="249">
        <v>46143</v>
      </c>
      <c r="L13" s="249">
        <f t="shared" ref="L13:L14" si="20">EDATE(K13,6)</f>
        <v>46327</v>
      </c>
      <c r="M13" s="249">
        <f t="shared" si="13"/>
        <v>46508</v>
      </c>
      <c r="N13" s="249">
        <f t="shared" si="13"/>
        <v>46692</v>
      </c>
      <c r="O13" s="249">
        <f t="shared" si="13"/>
        <v>46874</v>
      </c>
      <c r="P13" s="249">
        <f t="shared" si="13"/>
        <v>47058</v>
      </c>
      <c r="Q13" s="249">
        <f t="shared" si="13"/>
        <v>47239</v>
      </c>
      <c r="R13" s="249">
        <f t="shared" si="13"/>
        <v>47423</v>
      </c>
      <c r="S13" s="249">
        <f t="shared" si="13"/>
        <v>47604</v>
      </c>
      <c r="T13" s="249">
        <f t="shared" si="13"/>
        <v>47788</v>
      </c>
      <c r="U13" s="249">
        <f t="shared" si="19"/>
        <v>47969</v>
      </c>
      <c r="V13" s="249">
        <f t="shared" si="15"/>
        <v>48153</v>
      </c>
      <c r="W13" s="249">
        <f t="shared" si="16"/>
        <v>48335</v>
      </c>
      <c r="X13" s="249">
        <f t="shared" si="17"/>
        <v>48519</v>
      </c>
      <c r="Y13" s="227">
        <f t="shared" si="18"/>
        <v>33600000</v>
      </c>
      <c r="Z13" s="289" t="s">
        <v>1285</v>
      </c>
    </row>
    <row r="14" spans="1:27" ht="27.6" x14ac:dyDescent="0.3">
      <c r="A14" s="224">
        <v>11</v>
      </c>
      <c r="B14" s="41" t="s">
        <v>571</v>
      </c>
      <c r="C14" s="224" t="s">
        <v>1275</v>
      </c>
      <c r="D14" s="41" t="s">
        <v>1276</v>
      </c>
      <c r="E14" s="282">
        <v>46223</v>
      </c>
      <c r="F14" s="224"/>
      <c r="G14" s="224" t="s">
        <v>1275</v>
      </c>
      <c r="H14" s="254">
        <v>8500000</v>
      </c>
      <c r="I14" s="224">
        <v>6</v>
      </c>
      <c r="J14" s="249" t="s">
        <v>784</v>
      </c>
      <c r="K14" s="249">
        <v>46279</v>
      </c>
      <c r="L14" s="249">
        <f t="shared" si="20"/>
        <v>46460</v>
      </c>
      <c r="M14" s="249">
        <f t="shared" si="13"/>
        <v>46644</v>
      </c>
      <c r="N14" s="249">
        <f t="shared" si="13"/>
        <v>46826</v>
      </c>
      <c r="O14" s="249">
        <f t="shared" si="13"/>
        <v>47010</v>
      </c>
      <c r="P14" s="249">
        <f t="shared" si="13"/>
        <v>47191</v>
      </c>
      <c r="Q14" s="249">
        <f t="shared" si="13"/>
        <v>47375</v>
      </c>
      <c r="R14" s="249">
        <f t="shared" si="13"/>
        <v>47556</v>
      </c>
      <c r="S14" s="249">
        <f t="shared" si="13"/>
        <v>47740</v>
      </c>
      <c r="T14" s="249">
        <f t="shared" si="13"/>
        <v>47921</v>
      </c>
      <c r="U14" s="249">
        <f t="shared" si="19"/>
        <v>48105</v>
      </c>
      <c r="V14" s="249">
        <f t="shared" si="15"/>
        <v>48287</v>
      </c>
      <c r="W14" s="249">
        <f t="shared" si="16"/>
        <v>48471</v>
      </c>
      <c r="X14" s="249">
        <f t="shared" si="17"/>
        <v>48652</v>
      </c>
      <c r="Y14" s="227">
        <f>H14*6</f>
        <v>51000000</v>
      </c>
      <c r="Z14" s="290" t="s">
        <v>1286</v>
      </c>
      <c r="AA14" s="291" t="s">
        <v>1287</v>
      </c>
    </row>
    <row r="15" spans="1:27" x14ac:dyDescent="0.3">
      <c r="A15" s="281">
        <v>12</v>
      </c>
      <c r="B15" s="284" t="s">
        <v>808</v>
      </c>
      <c r="C15" s="285" t="s">
        <v>1277</v>
      </c>
      <c r="D15" s="284" t="s">
        <v>1278</v>
      </c>
      <c r="E15" s="286">
        <v>46234</v>
      </c>
      <c r="F15" s="224"/>
      <c r="G15" s="285" t="s">
        <v>1277</v>
      </c>
      <c r="H15" s="287">
        <v>6500000</v>
      </c>
      <c r="I15" s="224">
        <v>6</v>
      </c>
      <c r="J15" s="249" t="s">
        <v>784</v>
      </c>
      <c r="K15" s="249" t="s">
        <v>784</v>
      </c>
      <c r="L15" s="249"/>
      <c r="M15" s="249"/>
      <c r="N15" s="249"/>
      <c r="O15" s="249"/>
      <c r="P15" s="249"/>
      <c r="Q15" s="249"/>
      <c r="R15" s="249"/>
      <c r="S15" s="249"/>
      <c r="T15" s="249"/>
      <c r="U15" s="227"/>
      <c r="Y15" s="227">
        <f t="shared" si="18"/>
        <v>39000000</v>
      </c>
    </row>
    <row r="16" spans="1:27" x14ac:dyDescent="0.3">
      <c r="B16" s="37"/>
      <c r="D16" s="37"/>
      <c r="E16" s="37"/>
      <c r="G16" s="37"/>
    </row>
  </sheetData>
  <phoneticPr fontId="3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7473D-E32A-44E5-920F-F56996F673C9}">
  <dimension ref="A1:R92"/>
  <sheetViews>
    <sheetView zoomScale="55" zoomScaleNormal="5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M40" sqref="M40"/>
    </sheetView>
  </sheetViews>
  <sheetFormatPr defaultRowHeight="14.4" x14ac:dyDescent="0.3"/>
  <cols>
    <col min="1" max="1" width="4.77734375" bestFit="1" customWidth="1"/>
    <col min="2" max="2" width="18.21875" customWidth="1"/>
    <col min="3" max="3" width="20.77734375" customWidth="1"/>
    <col min="4" max="4" width="13.21875" customWidth="1"/>
    <col min="5" max="5" width="13.77734375" customWidth="1"/>
    <col min="6" max="6" width="17.44140625" customWidth="1"/>
    <col min="7" max="7" width="22.77734375" customWidth="1"/>
    <col min="8" max="8" width="20.21875" customWidth="1"/>
    <col min="9" max="9" width="19.44140625" customWidth="1"/>
    <col min="10" max="10" width="21.44140625" customWidth="1"/>
    <col min="11" max="12" width="23.77734375" customWidth="1"/>
    <col min="13" max="13" width="22.21875" customWidth="1"/>
    <col min="14" max="14" width="18.77734375" customWidth="1"/>
    <col min="15" max="15" width="19.5546875" bestFit="1" customWidth="1"/>
    <col min="16" max="16" width="25.5546875" customWidth="1"/>
    <col min="17" max="17" width="22" bestFit="1" customWidth="1"/>
    <col min="18" max="18" width="13.77734375" customWidth="1"/>
    <col min="19" max="19" width="22.44140625" customWidth="1"/>
  </cols>
  <sheetData>
    <row r="1" spans="1:18" ht="43.2" x14ac:dyDescent="0.3">
      <c r="A1" s="255" t="s">
        <v>240</v>
      </c>
      <c r="B1" s="255" t="s">
        <v>363</v>
      </c>
      <c r="C1" s="256" t="s">
        <v>1152</v>
      </c>
      <c r="D1" s="256" t="s">
        <v>1138</v>
      </c>
      <c r="E1" s="257" t="s">
        <v>1139</v>
      </c>
      <c r="F1" s="257" t="s">
        <v>1140</v>
      </c>
      <c r="G1" s="258" t="s">
        <v>1153</v>
      </c>
      <c r="H1" s="257" t="s">
        <v>1141</v>
      </c>
      <c r="I1" s="257" t="s">
        <v>1142</v>
      </c>
      <c r="J1" s="257" t="s">
        <v>1154</v>
      </c>
      <c r="K1" s="255" t="s">
        <v>1143</v>
      </c>
      <c r="L1" s="255" t="s">
        <v>1144</v>
      </c>
      <c r="M1" s="255" t="s">
        <v>1145</v>
      </c>
      <c r="N1" s="255" t="s">
        <v>1146</v>
      </c>
      <c r="O1" s="255" t="s">
        <v>1147</v>
      </c>
      <c r="P1" s="255" t="s">
        <v>1148</v>
      </c>
      <c r="Q1" s="259" t="s">
        <v>1155</v>
      </c>
      <c r="R1" s="255" t="s">
        <v>1149</v>
      </c>
    </row>
    <row r="2" spans="1:18" x14ac:dyDescent="0.3">
      <c r="A2" s="255"/>
      <c r="B2" s="255" t="s">
        <v>1150</v>
      </c>
      <c r="C2" s="256">
        <f t="shared" ref="C2:Q2" si="0">SUBTOTAL(9,C4:C197)</f>
        <v>8690100143.0370846</v>
      </c>
      <c r="D2" s="256">
        <f t="shared" si="0"/>
        <v>0</v>
      </c>
      <c r="E2" s="256">
        <f t="shared" si="0"/>
        <v>0</v>
      </c>
      <c r="F2" s="256">
        <f t="shared" si="0"/>
        <v>65175751.072778143</v>
      </c>
      <c r="G2" s="256">
        <f t="shared" si="0"/>
        <v>8755275894.1098633</v>
      </c>
      <c r="H2" s="256">
        <f t="shared" si="0"/>
        <v>383116909.09090906</v>
      </c>
      <c r="I2" s="256">
        <f t="shared" si="0"/>
        <v>667080000</v>
      </c>
      <c r="J2" s="256">
        <f t="shared" si="0"/>
        <v>9805472803.2007713</v>
      </c>
      <c r="K2" s="256">
        <f t="shared" si="0"/>
        <v>426075000</v>
      </c>
      <c r="L2" s="256">
        <f t="shared" si="0"/>
        <v>704380000</v>
      </c>
      <c r="M2" s="256">
        <f t="shared" si="0"/>
        <v>70238100</v>
      </c>
      <c r="N2" s="256">
        <f t="shared" si="0"/>
        <v>74120000</v>
      </c>
      <c r="O2" s="256">
        <f t="shared" si="0"/>
        <v>848738100</v>
      </c>
      <c r="P2" s="256">
        <f t="shared" si="0"/>
        <v>771580090.909091</v>
      </c>
      <c r="Q2" s="256">
        <f t="shared" si="0"/>
        <v>345505090.909091</v>
      </c>
      <c r="R2" s="260">
        <f>J2/Q2</f>
        <v>28.380110919351921</v>
      </c>
    </row>
    <row r="3" spans="1:18" x14ac:dyDescent="0.3">
      <c r="A3" s="50"/>
      <c r="B3" s="50" t="s">
        <v>0</v>
      </c>
      <c r="C3" s="50" t="s">
        <v>0</v>
      </c>
      <c r="D3" s="50" t="s">
        <v>0</v>
      </c>
      <c r="E3" s="50" t="s">
        <v>0</v>
      </c>
      <c r="F3" s="50" t="s">
        <v>0</v>
      </c>
      <c r="G3" s="50" t="s">
        <v>0</v>
      </c>
      <c r="H3" s="50" t="s">
        <v>0</v>
      </c>
      <c r="I3" s="50" t="s">
        <v>0</v>
      </c>
      <c r="J3" s="50" t="s">
        <v>0</v>
      </c>
      <c r="K3" s="50" t="s">
        <v>0</v>
      </c>
      <c r="L3" s="50" t="s">
        <v>0</v>
      </c>
      <c r="M3" s="50" t="s">
        <v>0</v>
      </c>
      <c r="N3" s="50" t="s">
        <v>0</v>
      </c>
      <c r="O3" s="50" t="s">
        <v>0</v>
      </c>
      <c r="P3" s="50" t="s">
        <v>0</v>
      </c>
      <c r="Q3" s="50" t="s">
        <v>0</v>
      </c>
      <c r="R3" s="50" t="s">
        <v>0</v>
      </c>
    </row>
    <row r="4" spans="1:18" x14ac:dyDescent="0.3">
      <c r="A4" s="118">
        <v>1</v>
      </c>
      <c r="B4" s="261" t="s">
        <v>19</v>
      </c>
      <c r="C4" s="262">
        <v>131973797.76886031</v>
      </c>
      <c r="D4" s="262">
        <v>0</v>
      </c>
      <c r="E4" s="154">
        <v>0</v>
      </c>
      <c r="F4" s="154">
        <f t="shared" ref="F4:F67" si="1">(C4*12%+(C4/2)*12%)/24</f>
        <v>989803.48326645233</v>
      </c>
      <c r="G4" s="154">
        <f t="shared" ref="G4:G67" si="2">SUM(C4:F4)</f>
        <v>132963601.25212677</v>
      </c>
      <c r="H4" s="154">
        <f t="shared" ref="H4:H67" si="3">M4*6/1.1</f>
        <v>26963999.999999996</v>
      </c>
      <c r="I4" s="154">
        <f t="shared" ref="I4:I67" si="4">N4*9</f>
        <v>0</v>
      </c>
      <c r="J4" s="154">
        <f t="shared" ref="J4:J67" si="5">G4+H4+I4</f>
        <v>159927601.25212675</v>
      </c>
      <c r="K4" s="154">
        <v>7000000</v>
      </c>
      <c r="L4" s="154">
        <v>7120000</v>
      </c>
      <c r="M4" s="154">
        <v>4943400</v>
      </c>
      <c r="N4" s="154">
        <v>0</v>
      </c>
      <c r="O4" s="154">
        <f>SUM(L4:N4)</f>
        <v>12063400</v>
      </c>
      <c r="P4" s="154">
        <f>O4/1.1</f>
        <v>10966727.272727272</v>
      </c>
      <c r="Q4" s="154">
        <f>P4-K4</f>
        <v>3966727.2727272715</v>
      </c>
      <c r="R4" s="154">
        <f t="shared" ref="R4:R67" si="6">J4/Q4</f>
        <v>40.317266667584789</v>
      </c>
    </row>
    <row r="5" spans="1:18" x14ac:dyDescent="0.3">
      <c r="A5" s="118">
        <v>2</v>
      </c>
      <c r="B5" s="261" t="s">
        <v>14</v>
      </c>
      <c r="C5" s="262">
        <f>103604978.276535+70000000</f>
        <v>173604978.276535</v>
      </c>
      <c r="D5" s="262">
        <v>0</v>
      </c>
      <c r="E5" s="154">
        <v>0</v>
      </c>
      <c r="F5" s="154">
        <f t="shared" si="1"/>
        <v>1302037.3370740125</v>
      </c>
      <c r="G5" s="154">
        <f t="shared" si="2"/>
        <v>174907015.61360902</v>
      </c>
      <c r="H5" s="154">
        <f t="shared" si="3"/>
        <v>29999999.999999996</v>
      </c>
      <c r="I5" s="154">
        <f t="shared" si="4"/>
        <v>49500000</v>
      </c>
      <c r="J5" s="154">
        <f t="shared" si="5"/>
        <v>254407015.61360902</v>
      </c>
      <c r="K5" s="154">
        <v>6500000</v>
      </c>
      <c r="L5" s="154">
        <f>8300000*70%</f>
        <v>5810000</v>
      </c>
      <c r="M5" s="154">
        <v>5500000</v>
      </c>
      <c r="N5" s="154">
        <v>5500000</v>
      </c>
      <c r="O5" s="154">
        <f t="shared" ref="O5:O68" si="7">SUM(L5:N5)</f>
        <v>16810000</v>
      </c>
      <c r="P5" s="154">
        <f t="shared" ref="P5:P68" si="8">O5/1.1</f>
        <v>15281818.18181818</v>
      </c>
      <c r="Q5" s="154">
        <f t="shared" ref="Q5:Q68" si="9">P5-K5</f>
        <v>8781818.1818181798</v>
      </c>
      <c r="R5" s="154">
        <f t="shared" si="6"/>
        <v>28.969742978775361</v>
      </c>
    </row>
    <row r="6" spans="1:18" x14ac:dyDescent="0.3">
      <c r="A6" s="118">
        <v>3</v>
      </c>
      <c r="B6" s="261" t="s">
        <v>29</v>
      </c>
      <c r="C6" s="262">
        <v>95327892.000000015</v>
      </c>
      <c r="D6" s="263">
        <v>0</v>
      </c>
      <c r="E6" s="154">
        <v>0</v>
      </c>
      <c r="F6" s="154">
        <f t="shared" si="1"/>
        <v>714959.19000000006</v>
      </c>
      <c r="G6" s="154">
        <f t="shared" si="2"/>
        <v>96042851.190000013</v>
      </c>
      <c r="H6" s="154">
        <f t="shared" si="3"/>
        <v>0</v>
      </c>
      <c r="I6" s="154">
        <f t="shared" si="4"/>
        <v>0</v>
      </c>
      <c r="J6" s="154">
        <f t="shared" si="5"/>
        <v>96042851.190000013</v>
      </c>
      <c r="K6" s="154">
        <v>5875000</v>
      </c>
      <c r="L6" s="154">
        <v>8300000</v>
      </c>
      <c r="M6" s="154">
        <v>0</v>
      </c>
      <c r="N6" s="154">
        <v>0</v>
      </c>
      <c r="O6" s="154">
        <f t="shared" si="7"/>
        <v>8300000</v>
      </c>
      <c r="P6" s="154">
        <f t="shared" si="8"/>
        <v>7545454.5454545449</v>
      </c>
      <c r="Q6" s="154">
        <f t="shared" si="9"/>
        <v>1670454.5454545449</v>
      </c>
      <c r="R6" s="154">
        <f t="shared" si="6"/>
        <v>57.495040168163293</v>
      </c>
    </row>
    <row r="7" spans="1:18" ht="24" x14ac:dyDescent="0.3">
      <c r="A7" s="118">
        <v>4</v>
      </c>
      <c r="B7" s="2" t="s">
        <v>971</v>
      </c>
      <c r="C7" s="262">
        <v>37000000</v>
      </c>
      <c r="D7" s="262">
        <v>0</v>
      </c>
      <c r="E7" s="154">
        <v>0</v>
      </c>
      <c r="F7" s="154">
        <f t="shared" si="1"/>
        <v>277500</v>
      </c>
      <c r="G7" s="154">
        <f t="shared" si="2"/>
        <v>37277500</v>
      </c>
      <c r="H7" s="154">
        <f t="shared" si="3"/>
        <v>0</v>
      </c>
      <c r="I7" s="154">
        <f t="shared" si="4"/>
        <v>0</v>
      </c>
      <c r="J7" s="154">
        <f t="shared" si="5"/>
        <v>37277500</v>
      </c>
      <c r="K7" s="154">
        <v>4000000</v>
      </c>
      <c r="L7" s="154">
        <v>6300000</v>
      </c>
      <c r="M7" s="154">
        <v>0</v>
      </c>
      <c r="N7" s="154">
        <v>0</v>
      </c>
      <c r="O7" s="154">
        <f t="shared" si="7"/>
        <v>6300000</v>
      </c>
      <c r="P7" s="154">
        <f t="shared" si="8"/>
        <v>5727272.7272727266</v>
      </c>
      <c r="Q7" s="154">
        <f t="shared" si="9"/>
        <v>1727272.7272727266</v>
      </c>
      <c r="R7" s="154">
        <f t="shared" si="6"/>
        <v>21.581710526315799</v>
      </c>
    </row>
    <row r="8" spans="1:18" x14ac:dyDescent="0.3">
      <c r="A8" s="118">
        <v>5</v>
      </c>
      <c r="B8" s="261" t="s">
        <v>97</v>
      </c>
      <c r="C8" s="262">
        <v>152151951.134</v>
      </c>
      <c r="D8" s="263">
        <v>0</v>
      </c>
      <c r="E8" s="262">
        <v>0</v>
      </c>
      <c r="F8" s="154">
        <f t="shared" si="1"/>
        <v>1141139.633505</v>
      </c>
      <c r="G8" s="154">
        <f t="shared" si="2"/>
        <v>153293090.76750499</v>
      </c>
      <c r="H8" s="154">
        <f t="shared" si="3"/>
        <v>0</v>
      </c>
      <c r="I8" s="154">
        <f t="shared" si="4"/>
        <v>0</v>
      </c>
      <c r="J8" s="154">
        <f t="shared" si="5"/>
        <v>153293090.76750499</v>
      </c>
      <c r="K8" s="154">
        <v>4750000</v>
      </c>
      <c r="L8" s="262">
        <v>9600000</v>
      </c>
      <c r="M8" s="262">
        <v>0</v>
      </c>
      <c r="N8" s="262">
        <v>0</v>
      </c>
      <c r="O8" s="154">
        <f t="shared" si="7"/>
        <v>9600000</v>
      </c>
      <c r="P8" s="154">
        <f t="shared" si="8"/>
        <v>8727272.7272727266</v>
      </c>
      <c r="Q8" s="154">
        <f t="shared" si="9"/>
        <v>3977272.7272727266</v>
      </c>
      <c r="R8" s="154">
        <f t="shared" si="6"/>
        <v>38.542262821544121</v>
      </c>
    </row>
    <row r="9" spans="1:18" x14ac:dyDescent="0.3">
      <c r="A9" s="118">
        <v>6</v>
      </c>
      <c r="B9" s="261" t="s">
        <v>30</v>
      </c>
      <c r="C9" s="262">
        <v>95700000.000000015</v>
      </c>
      <c r="D9" s="262">
        <v>0</v>
      </c>
      <c r="E9" s="154">
        <v>0</v>
      </c>
      <c r="F9" s="154">
        <f t="shared" si="1"/>
        <v>717750.00000000012</v>
      </c>
      <c r="G9" s="154">
        <f t="shared" si="2"/>
        <v>96417750.000000015</v>
      </c>
      <c r="H9" s="154">
        <f t="shared" si="3"/>
        <v>0</v>
      </c>
      <c r="I9" s="154">
        <f t="shared" si="4"/>
        <v>0</v>
      </c>
      <c r="J9" s="154">
        <f t="shared" si="5"/>
        <v>96417750.000000015</v>
      </c>
      <c r="K9" s="154">
        <v>7000000</v>
      </c>
      <c r="L9" s="154">
        <v>10900000</v>
      </c>
      <c r="M9" s="154">
        <v>0</v>
      </c>
      <c r="N9" s="154">
        <v>0</v>
      </c>
      <c r="O9" s="154">
        <f t="shared" si="7"/>
        <v>10900000</v>
      </c>
      <c r="P9" s="154">
        <f t="shared" si="8"/>
        <v>9909090.9090909082</v>
      </c>
      <c r="Q9" s="154">
        <f t="shared" si="9"/>
        <v>2909090.9090909082</v>
      </c>
      <c r="R9" s="154">
        <f t="shared" si="6"/>
        <v>33.143601562500017</v>
      </c>
    </row>
    <row r="10" spans="1:18" x14ac:dyDescent="0.3">
      <c r="A10" s="118">
        <v>7</v>
      </c>
      <c r="B10" s="261" t="s">
        <v>254</v>
      </c>
      <c r="C10" s="262">
        <v>208947674.09999999</v>
      </c>
      <c r="D10" s="262">
        <v>0</v>
      </c>
      <c r="E10" s="154">
        <v>0</v>
      </c>
      <c r="F10" s="154">
        <f t="shared" si="1"/>
        <v>1567107.5557500001</v>
      </c>
      <c r="G10" s="154">
        <f t="shared" si="2"/>
        <v>210514781.65575001</v>
      </c>
      <c r="H10" s="154">
        <f t="shared" si="3"/>
        <v>0</v>
      </c>
      <c r="I10" s="154">
        <f t="shared" si="4"/>
        <v>58500000</v>
      </c>
      <c r="J10" s="154">
        <f t="shared" si="5"/>
        <v>269014781.65575004</v>
      </c>
      <c r="K10" s="154">
        <v>6000000</v>
      </c>
      <c r="L10" s="154">
        <f>10800000*80%</f>
        <v>8640000</v>
      </c>
      <c r="M10" s="154">
        <v>0</v>
      </c>
      <c r="N10" s="154">
        <v>6500000</v>
      </c>
      <c r="O10" s="154">
        <f t="shared" si="7"/>
        <v>15140000</v>
      </c>
      <c r="P10" s="154">
        <f t="shared" si="8"/>
        <v>13763636.363636363</v>
      </c>
      <c r="Q10" s="154">
        <f t="shared" si="9"/>
        <v>7763636.3636363633</v>
      </c>
      <c r="R10" s="154">
        <f t="shared" si="6"/>
        <v>34.650615904136423</v>
      </c>
    </row>
    <row r="11" spans="1:18" x14ac:dyDescent="0.3">
      <c r="A11" s="118">
        <v>8</v>
      </c>
      <c r="B11" s="261" t="s">
        <v>257</v>
      </c>
      <c r="C11" s="262">
        <v>106595511.00000001</v>
      </c>
      <c r="D11" s="262">
        <v>0</v>
      </c>
      <c r="E11" s="154">
        <v>0</v>
      </c>
      <c r="F11" s="154">
        <f t="shared" si="1"/>
        <v>799466.33250000014</v>
      </c>
      <c r="G11" s="154">
        <f t="shared" si="2"/>
        <v>107394977.33250001</v>
      </c>
      <c r="H11" s="154">
        <f t="shared" si="3"/>
        <v>61090909.090909086</v>
      </c>
      <c r="I11" s="154">
        <f t="shared" si="4"/>
        <v>0</v>
      </c>
      <c r="J11" s="154">
        <f t="shared" si="5"/>
        <v>168485886.4234091</v>
      </c>
      <c r="K11" s="154">
        <v>7000000</v>
      </c>
      <c r="L11" s="154">
        <f>7400000*80%</f>
        <v>5920000</v>
      </c>
      <c r="M11" s="154">
        <v>11200000</v>
      </c>
      <c r="N11" s="154">
        <v>0</v>
      </c>
      <c r="O11" s="154">
        <f t="shared" si="7"/>
        <v>17120000</v>
      </c>
      <c r="P11" s="154">
        <f t="shared" si="8"/>
        <v>15563636.363636363</v>
      </c>
      <c r="Q11" s="154">
        <f t="shared" si="9"/>
        <v>8563636.3636363633</v>
      </c>
      <c r="R11" s="154">
        <f t="shared" si="6"/>
        <v>19.674572724601912</v>
      </c>
    </row>
    <row r="12" spans="1:18" x14ac:dyDescent="0.3">
      <c r="A12" s="118">
        <v>9</v>
      </c>
      <c r="B12" s="261" t="s">
        <v>189</v>
      </c>
      <c r="C12" s="262">
        <v>182384107.40000001</v>
      </c>
      <c r="D12" s="262">
        <v>0</v>
      </c>
      <c r="E12" s="154">
        <v>0</v>
      </c>
      <c r="F12" s="154">
        <f t="shared" si="1"/>
        <v>1367880.8055</v>
      </c>
      <c r="G12" s="154">
        <f t="shared" si="2"/>
        <v>183751988.20550001</v>
      </c>
      <c r="H12" s="154">
        <f t="shared" si="3"/>
        <v>38100000</v>
      </c>
      <c r="I12" s="154">
        <f t="shared" si="4"/>
        <v>0</v>
      </c>
      <c r="J12" s="154">
        <f t="shared" si="5"/>
        <v>221851988.20550001</v>
      </c>
      <c r="K12" s="154">
        <v>6600000</v>
      </c>
      <c r="L12" s="154">
        <f>9900000*80%</f>
        <v>7920000</v>
      </c>
      <c r="M12" s="154">
        <v>6985000</v>
      </c>
      <c r="N12" s="154">
        <v>0</v>
      </c>
      <c r="O12" s="154">
        <f t="shared" si="7"/>
        <v>14905000</v>
      </c>
      <c r="P12" s="154">
        <f t="shared" si="8"/>
        <v>13549999.999999998</v>
      </c>
      <c r="Q12" s="154">
        <f t="shared" si="9"/>
        <v>6949999.9999999981</v>
      </c>
      <c r="R12" s="154">
        <f t="shared" si="6"/>
        <v>31.921149382086341</v>
      </c>
    </row>
    <row r="13" spans="1:18" x14ac:dyDescent="0.3">
      <c r="A13" s="118">
        <v>10</v>
      </c>
      <c r="B13" s="261" t="s">
        <v>415</v>
      </c>
      <c r="C13" s="262">
        <v>201637909.856765</v>
      </c>
      <c r="D13" s="262">
        <v>0</v>
      </c>
      <c r="E13" s="262">
        <v>0</v>
      </c>
      <c r="F13" s="154">
        <f t="shared" si="1"/>
        <v>1512284.3239257375</v>
      </c>
      <c r="G13" s="154">
        <f t="shared" si="2"/>
        <v>203150194.18069074</v>
      </c>
      <c r="H13" s="154">
        <f t="shared" si="3"/>
        <v>25541999.999999996</v>
      </c>
      <c r="I13" s="154">
        <f t="shared" si="4"/>
        <v>57600000</v>
      </c>
      <c r="J13" s="154">
        <f t="shared" si="5"/>
        <v>286292194.18069077</v>
      </c>
      <c r="K13" s="154">
        <v>6000000</v>
      </c>
      <c r="L13" s="262">
        <f>11500000*0.7</f>
        <v>8049999.9999999991</v>
      </c>
      <c r="M13" s="262">
        <v>4682700</v>
      </c>
      <c r="N13" s="262">
        <v>6400000</v>
      </c>
      <c r="O13" s="154">
        <f t="shared" si="7"/>
        <v>19132700</v>
      </c>
      <c r="P13" s="154">
        <f t="shared" si="8"/>
        <v>17393363.636363637</v>
      </c>
      <c r="Q13" s="154">
        <f t="shared" si="9"/>
        <v>11393363.636363637</v>
      </c>
      <c r="R13" s="154">
        <f t="shared" si="6"/>
        <v>25.12797829667668</v>
      </c>
    </row>
    <row r="14" spans="1:18" x14ac:dyDescent="0.3">
      <c r="A14" s="118">
        <v>11</v>
      </c>
      <c r="B14" s="261" t="s">
        <v>155</v>
      </c>
      <c r="C14" s="262">
        <v>142238995.09999999</v>
      </c>
      <c r="D14" s="262">
        <v>0</v>
      </c>
      <c r="E14" s="154">
        <v>0</v>
      </c>
      <c r="F14" s="154">
        <f t="shared" si="1"/>
        <v>1066792.46325</v>
      </c>
      <c r="G14" s="154">
        <f t="shared" si="2"/>
        <v>143305787.56325001</v>
      </c>
      <c r="H14" s="154">
        <f t="shared" si="3"/>
        <v>0</v>
      </c>
      <c r="I14" s="154">
        <f t="shared" si="4"/>
        <v>0</v>
      </c>
      <c r="J14" s="154">
        <f t="shared" si="5"/>
        <v>143305787.56325001</v>
      </c>
      <c r="K14" s="154">
        <v>6500000</v>
      </c>
      <c r="L14" s="154">
        <v>11500000</v>
      </c>
      <c r="M14" s="154">
        <v>0</v>
      </c>
      <c r="N14" s="154">
        <v>0</v>
      </c>
      <c r="O14" s="154">
        <f t="shared" si="7"/>
        <v>11500000</v>
      </c>
      <c r="P14" s="154">
        <f t="shared" si="8"/>
        <v>10454545.454545453</v>
      </c>
      <c r="Q14" s="154">
        <f t="shared" si="9"/>
        <v>3954545.4545454532</v>
      </c>
      <c r="R14" s="154">
        <f t="shared" si="6"/>
        <v>36.238245130936797</v>
      </c>
    </row>
    <row r="15" spans="1:18" x14ac:dyDescent="0.3">
      <c r="A15" s="118">
        <v>12</v>
      </c>
      <c r="B15" s="261" t="s">
        <v>184</v>
      </c>
      <c r="C15" s="262">
        <v>171960657</v>
      </c>
      <c r="D15" s="262">
        <v>0</v>
      </c>
      <c r="E15" s="154">
        <v>0</v>
      </c>
      <c r="F15" s="154">
        <f t="shared" si="1"/>
        <v>1289704.9275</v>
      </c>
      <c r="G15" s="154">
        <f t="shared" si="2"/>
        <v>173250361.92750001</v>
      </c>
      <c r="H15" s="154">
        <f t="shared" si="3"/>
        <v>0</v>
      </c>
      <c r="I15" s="154">
        <f t="shared" si="4"/>
        <v>0</v>
      </c>
      <c r="J15" s="154">
        <f t="shared" si="5"/>
        <v>173250361.92750001</v>
      </c>
      <c r="K15" s="154">
        <v>7000000</v>
      </c>
      <c r="L15" s="154">
        <f>11500000</f>
        <v>11500000</v>
      </c>
      <c r="M15" s="154">
        <v>0</v>
      </c>
      <c r="N15" s="154">
        <v>0</v>
      </c>
      <c r="O15" s="154">
        <f t="shared" si="7"/>
        <v>11500000</v>
      </c>
      <c r="P15" s="154">
        <f t="shared" si="8"/>
        <v>10454545.454545453</v>
      </c>
      <c r="Q15" s="154">
        <f t="shared" si="9"/>
        <v>3454545.4545454532</v>
      </c>
      <c r="R15" s="154">
        <f t="shared" si="6"/>
        <v>50.151420557960549</v>
      </c>
    </row>
    <row r="16" spans="1:18" x14ac:dyDescent="0.3">
      <c r="A16" s="118">
        <v>13</v>
      </c>
      <c r="B16" s="261" t="s">
        <v>228</v>
      </c>
      <c r="C16" s="262">
        <v>143378936</v>
      </c>
      <c r="D16" s="262">
        <v>0</v>
      </c>
      <c r="E16" s="154">
        <v>0</v>
      </c>
      <c r="F16" s="154">
        <f t="shared" si="1"/>
        <v>1075342.02</v>
      </c>
      <c r="G16" s="154">
        <f t="shared" si="2"/>
        <v>144454278.02000001</v>
      </c>
      <c r="H16" s="154">
        <f t="shared" si="3"/>
        <v>0</v>
      </c>
      <c r="I16" s="154">
        <f t="shared" si="4"/>
        <v>0</v>
      </c>
      <c r="J16" s="154">
        <f t="shared" si="5"/>
        <v>144454278.02000001</v>
      </c>
      <c r="K16" s="154">
        <v>7000000</v>
      </c>
      <c r="L16" s="154">
        <v>11700000</v>
      </c>
      <c r="M16" s="154">
        <v>0</v>
      </c>
      <c r="N16" s="154">
        <v>0</v>
      </c>
      <c r="O16" s="154">
        <f t="shared" si="7"/>
        <v>11700000</v>
      </c>
      <c r="P16" s="154">
        <f t="shared" si="8"/>
        <v>10636363.636363635</v>
      </c>
      <c r="Q16" s="154">
        <f t="shared" si="9"/>
        <v>3636363.6363636348</v>
      </c>
      <c r="R16" s="154">
        <f t="shared" si="6"/>
        <v>39.724926455500018</v>
      </c>
    </row>
    <row r="17" spans="1:18" x14ac:dyDescent="0.3">
      <c r="A17" s="118">
        <v>14</v>
      </c>
      <c r="B17" s="50" t="s">
        <v>287</v>
      </c>
      <c r="C17" s="262">
        <v>160823909.40000001</v>
      </c>
      <c r="D17" s="262">
        <v>0</v>
      </c>
      <c r="E17" s="154">
        <v>0</v>
      </c>
      <c r="F17" s="154">
        <f t="shared" si="1"/>
        <v>1206179.3204999999</v>
      </c>
      <c r="G17" s="154">
        <f t="shared" si="2"/>
        <v>162030088.72049999</v>
      </c>
      <c r="H17" s="154">
        <f t="shared" si="3"/>
        <v>0</v>
      </c>
      <c r="I17" s="154">
        <f t="shared" si="4"/>
        <v>0</v>
      </c>
      <c r="J17" s="154">
        <f t="shared" si="5"/>
        <v>162030088.72049999</v>
      </c>
      <c r="K17" s="154">
        <v>5300000</v>
      </c>
      <c r="L17" s="154">
        <v>8800000</v>
      </c>
      <c r="M17" s="154">
        <v>0</v>
      </c>
      <c r="N17" s="154">
        <v>0</v>
      </c>
      <c r="O17" s="154">
        <f t="shared" si="7"/>
        <v>8800000</v>
      </c>
      <c r="P17" s="154">
        <f t="shared" si="8"/>
        <v>7999999.9999999991</v>
      </c>
      <c r="Q17" s="154">
        <f t="shared" si="9"/>
        <v>2699999.9999999991</v>
      </c>
      <c r="R17" s="154">
        <f t="shared" si="6"/>
        <v>60.011143970555572</v>
      </c>
    </row>
    <row r="18" spans="1:18" x14ac:dyDescent="0.3">
      <c r="A18" s="118">
        <v>15</v>
      </c>
      <c r="B18" s="50" t="s">
        <v>313</v>
      </c>
      <c r="C18" s="262">
        <v>172113955.20000002</v>
      </c>
      <c r="D18" s="262">
        <v>0</v>
      </c>
      <c r="E18" s="154">
        <v>0</v>
      </c>
      <c r="F18" s="154">
        <f t="shared" si="1"/>
        <v>1290854.6640000001</v>
      </c>
      <c r="G18" s="154">
        <f t="shared" si="2"/>
        <v>173404809.86400002</v>
      </c>
      <c r="H18" s="154">
        <f t="shared" si="3"/>
        <v>32999999.999999996</v>
      </c>
      <c r="I18" s="154">
        <f t="shared" si="4"/>
        <v>0</v>
      </c>
      <c r="J18" s="154">
        <f t="shared" si="5"/>
        <v>206404809.86400002</v>
      </c>
      <c r="K18" s="154">
        <v>6000000</v>
      </c>
      <c r="L18" s="154">
        <f>9800000*80%</f>
        <v>7840000</v>
      </c>
      <c r="M18" s="154">
        <v>6050000</v>
      </c>
      <c r="N18" s="154">
        <v>0</v>
      </c>
      <c r="O18" s="154">
        <f t="shared" si="7"/>
        <v>13890000</v>
      </c>
      <c r="P18" s="154">
        <f t="shared" si="8"/>
        <v>12627272.727272727</v>
      </c>
      <c r="Q18" s="154">
        <f t="shared" si="9"/>
        <v>6627272.7272727266</v>
      </c>
      <c r="R18" s="154">
        <f t="shared" si="6"/>
        <v>31.144758690041158</v>
      </c>
    </row>
    <row r="19" spans="1:18" x14ac:dyDescent="0.3">
      <c r="A19" s="118">
        <v>16</v>
      </c>
      <c r="B19" s="50" t="s">
        <v>344</v>
      </c>
      <c r="C19" s="262">
        <v>39693130</v>
      </c>
      <c r="D19" s="262">
        <v>0</v>
      </c>
      <c r="E19" s="154">
        <v>0</v>
      </c>
      <c r="F19" s="154">
        <f t="shared" si="1"/>
        <v>297698.47499999998</v>
      </c>
      <c r="G19" s="154">
        <f t="shared" si="2"/>
        <v>39990828.475000001</v>
      </c>
      <c r="H19" s="154">
        <f t="shared" si="3"/>
        <v>0</v>
      </c>
      <c r="I19" s="154">
        <f t="shared" si="4"/>
        <v>0</v>
      </c>
      <c r="J19" s="154">
        <f t="shared" si="5"/>
        <v>39990828.475000001</v>
      </c>
      <c r="K19" s="154">
        <v>4000000</v>
      </c>
      <c r="L19" s="154">
        <v>5800000</v>
      </c>
      <c r="M19" s="154">
        <v>0</v>
      </c>
      <c r="N19" s="154">
        <v>0</v>
      </c>
      <c r="O19" s="154">
        <f t="shared" si="7"/>
        <v>5800000</v>
      </c>
      <c r="P19" s="154">
        <f t="shared" si="8"/>
        <v>5272727.2727272725</v>
      </c>
      <c r="Q19" s="154">
        <f t="shared" si="9"/>
        <v>1272727.2727272725</v>
      </c>
      <c r="R19" s="154">
        <f t="shared" si="6"/>
        <v>31.42136523035715</v>
      </c>
    </row>
    <row r="20" spans="1:18" ht="28.8" x14ac:dyDescent="0.3">
      <c r="A20" s="118">
        <v>17</v>
      </c>
      <c r="B20" s="50" t="s">
        <v>640</v>
      </c>
      <c r="C20" s="262">
        <f>94974000+36000000</f>
        <v>130974000</v>
      </c>
      <c r="D20" s="262">
        <v>0</v>
      </c>
      <c r="E20" s="154">
        <v>0</v>
      </c>
      <c r="F20" s="154">
        <f t="shared" si="1"/>
        <v>982305</v>
      </c>
      <c r="G20" s="154">
        <f t="shared" si="2"/>
        <v>131956305</v>
      </c>
      <c r="H20" s="154">
        <f t="shared" si="3"/>
        <v>59999999.999999993</v>
      </c>
      <c r="I20" s="154">
        <f t="shared" si="4"/>
        <v>0</v>
      </c>
      <c r="J20" s="154">
        <f t="shared" si="5"/>
        <v>191956305</v>
      </c>
      <c r="K20" s="154">
        <v>6500000</v>
      </c>
      <c r="L20" s="154">
        <v>8000000</v>
      </c>
      <c r="M20" s="154">
        <v>11000000</v>
      </c>
      <c r="N20" s="154">
        <v>0</v>
      </c>
      <c r="O20" s="154">
        <f t="shared" si="7"/>
        <v>19000000</v>
      </c>
      <c r="P20" s="154">
        <f t="shared" si="8"/>
        <v>17272727.27272727</v>
      </c>
      <c r="Q20" s="154">
        <f t="shared" si="9"/>
        <v>10772727.27272727</v>
      </c>
      <c r="R20" s="154">
        <f t="shared" si="6"/>
        <v>17.81872873417722</v>
      </c>
    </row>
    <row r="21" spans="1:18" x14ac:dyDescent="0.3">
      <c r="A21" s="118">
        <v>18</v>
      </c>
      <c r="B21" s="50" t="s">
        <v>195</v>
      </c>
      <c r="C21" s="262">
        <v>172211316</v>
      </c>
      <c r="D21" s="262">
        <v>0</v>
      </c>
      <c r="E21" s="154">
        <v>0</v>
      </c>
      <c r="F21" s="154">
        <f t="shared" si="1"/>
        <v>1291584.8699999999</v>
      </c>
      <c r="G21" s="154">
        <f t="shared" si="2"/>
        <v>173502900.87</v>
      </c>
      <c r="H21" s="154">
        <f t="shared" si="3"/>
        <v>30419999.999999996</v>
      </c>
      <c r="I21" s="154">
        <f t="shared" si="4"/>
        <v>0</v>
      </c>
      <c r="J21" s="154">
        <f t="shared" si="5"/>
        <v>203922900.87</v>
      </c>
      <c r="K21" s="154">
        <v>6000000</v>
      </c>
      <c r="L21" s="154">
        <f>10300000*0.8</f>
        <v>8240000</v>
      </c>
      <c r="M21" s="154">
        <v>5577000</v>
      </c>
      <c r="N21" s="154">
        <v>0</v>
      </c>
      <c r="O21" s="154">
        <f t="shared" si="7"/>
        <v>13817000</v>
      </c>
      <c r="P21" s="154">
        <f t="shared" si="8"/>
        <v>12560909.09090909</v>
      </c>
      <c r="Q21" s="154">
        <f t="shared" si="9"/>
        <v>6560909.0909090899</v>
      </c>
      <c r="R21" s="154">
        <f t="shared" si="6"/>
        <v>31.081500756131362</v>
      </c>
    </row>
    <row r="22" spans="1:18" x14ac:dyDescent="0.3">
      <c r="A22" s="118">
        <v>19</v>
      </c>
      <c r="B22" s="50" t="s">
        <v>106</v>
      </c>
      <c r="C22" s="262">
        <v>112039400.00000001</v>
      </c>
      <c r="D22" s="262">
        <v>0</v>
      </c>
      <c r="E22" s="154">
        <v>0</v>
      </c>
      <c r="F22" s="154">
        <f t="shared" si="1"/>
        <v>840295.50000000012</v>
      </c>
      <c r="G22" s="154">
        <f t="shared" si="2"/>
        <v>112879695.50000001</v>
      </c>
      <c r="H22" s="154">
        <f t="shared" si="3"/>
        <v>0</v>
      </c>
      <c r="I22" s="154">
        <f t="shared" si="4"/>
        <v>0</v>
      </c>
      <c r="J22" s="154">
        <f t="shared" si="5"/>
        <v>112879695.50000001</v>
      </c>
      <c r="K22" s="154">
        <v>6500000</v>
      </c>
      <c r="L22" s="154">
        <v>11200000</v>
      </c>
      <c r="M22" s="154">
        <v>0</v>
      </c>
      <c r="N22" s="154">
        <v>0</v>
      </c>
      <c r="O22" s="154">
        <f t="shared" si="7"/>
        <v>11200000</v>
      </c>
      <c r="P22" s="154">
        <f t="shared" si="8"/>
        <v>10181818.181818182</v>
      </c>
      <c r="Q22" s="154">
        <f t="shared" si="9"/>
        <v>3681818.1818181816</v>
      </c>
      <c r="R22" s="154">
        <f t="shared" si="6"/>
        <v>30.658682728395068</v>
      </c>
    </row>
    <row r="23" spans="1:18" x14ac:dyDescent="0.3">
      <c r="A23" s="118">
        <v>20</v>
      </c>
      <c r="B23" s="50" t="s">
        <v>400</v>
      </c>
      <c r="C23" s="262">
        <v>166879967</v>
      </c>
      <c r="D23" s="262">
        <v>0</v>
      </c>
      <c r="E23" s="154">
        <v>0</v>
      </c>
      <c r="F23" s="154">
        <f t="shared" si="1"/>
        <v>1251599.7524999999</v>
      </c>
      <c r="G23" s="154">
        <f t="shared" si="2"/>
        <v>168131566.7525</v>
      </c>
      <c r="H23" s="154">
        <f t="shared" si="3"/>
        <v>0</v>
      </c>
      <c r="I23" s="154">
        <f t="shared" si="4"/>
        <v>0</v>
      </c>
      <c r="J23" s="154">
        <f t="shared" si="5"/>
        <v>168131566.7525</v>
      </c>
      <c r="K23" s="154">
        <v>5750000</v>
      </c>
      <c r="L23" s="154">
        <v>10700000</v>
      </c>
      <c r="M23" s="154">
        <v>0</v>
      </c>
      <c r="N23" s="154">
        <v>0</v>
      </c>
      <c r="O23" s="154">
        <f t="shared" si="7"/>
        <v>10700000</v>
      </c>
      <c r="P23" s="154">
        <f t="shared" si="8"/>
        <v>9727272.7272727266</v>
      </c>
      <c r="Q23" s="154">
        <f t="shared" si="9"/>
        <v>3977272.7272727266</v>
      </c>
      <c r="R23" s="154">
        <f t="shared" si="6"/>
        <v>42.27307964062858</v>
      </c>
    </row>
    <row r="24" spans="1:18" x14ac:dyDescent="0.3">
      <c r="A24" s="118">
        <v>21</v>
      </c>
      <c r="B24" s="50" t="s">
        <v>1151</v>
      </c>
      <c r="C24" s="262">
        <v>373000000</v>
      </c>
      <c r="D24" s="262">
        <v>0</v>
      </c>
      <c r="E24" s="154">
        <v>0</v>
      </c>
      <c r="F24" s="154">
        <f t="shared" si="1"/>
        <v>2797500</v>
      </c>
      <c r="G24" s="154">
        <f t="shared" si="2"/>
        <v>375797500</v>
      </c>
      <c r="H24" s="154">
        <f t="shared" si="3"/>
        <v>42000000</v>
      </c>
      <c r="I24" s="154">
        <f t="shared" si="4"/>
        <v>66600000</v>
      </c>
      <c r="J24" s="154">
        <f t="shared" si="5"/>
        <v>484397500</v>
      </c>
      <c r="K24" s="264">
        <v>5000000</v>
      </c>
      <c r="L24" s="154">
        <f>12600000*0.7</f>
        <v>8820000</v>
      </c>
      <c r="M24" s="154">
        <v>7700000.0000000009</v>
      </c>
      <c r="N24" s="154">
        <v>7400000</v>
      </c>
      <c r="O24" s="154">
        <f t="shared" si="7"/>
        <v>23920000</v>
      </c>
      <c r="P24" s="154">
        <f t="shared" si="8"/>
        <v>21745454.545454543</v>
      </c>
      <c r="Q24" s="154">
        <f t="shared" si="9"/>
        <v>16745454.545454543</v>
      </c>
      <c r="R24" s="154">
        <f t="shared" si="6"/>
        <v>28.927103691639527</v>
      </c>
    </row>
    <row r="25" spans="1:18" x14ac:dyDescent="0.3">
      <c r="A25" s="118">
        <v>22</v>
      </c>
      <c r="B25" s="50" t="s">
        <v>420</v>
      </c>
      <c r="C25" s="262">
        <v>176000000</v>
      </c>
      <c r="D25" s="262">
        <v>0</v>
      </c>
      <c r="E25" s="154">
        <v>0</v>
      </c>
      <c r="F25" s="154">
        <f t="shared" si="1"/>
        <v>1320000</v>
      </c>
      <c r="G25" s="154">
        <f t="shared" si="2"/>
        <v>177320000</v>
      </c>
      <c r="H25" s="154">
        <f t="shared" si="3"/>
        <v>0</v>
      </c>
      <c r="I25" s="154">
        <f t="shared" si="4"/>
        <v>0</v>
      </c>
      <c r="J25" s="154">
        <f t="shared" si="5"/>
        <v>177320000</v>
      </c>
      <c r="K25" s="154">
        <v>7000000</v>
      </c>
      <c r="L25" s="154">
        <f>12600000</f>
        <v>12600000</v>
      </c>
      <c r="M25" s="154">
        <v>0</v>
      </c>
      <c r="N25" s="154">
        <v>0</v>
      </c>
      <c r="O25" s="154">
        <f t="shared" si="7"/>
        <v>12600000</v>
      </c>
      <c r="P25" s="154">
        <f t="shared" si="8"/>
        <v>11454545.454545453</v>
      </c>
      <c r="Q25" s="154">
        <f t="shared" si="9"/>
        <v>4454545.4545454532</v>
      </c>
      <c r="R25" s="154">
        <f t="shared" si="6"/>
        <v>39.806530612244913</v>
      </c>
    </row>
    <row r="26" spans="1:18" x14ac:dyDescent="0.3">
      <c r="A26" s="118">
        <v>23</v>
      </c>
      <c r="B26" s="50" t="s">
        <v>426</v>
      </c>
      <c r="C26" s="262">
        <v>43000000</v>
      </c>
      <c r="D26" s="262">
        <v>0</v>
      </c>
      <c r="E26" s="154">
        <v>0</v>
      </c>
      <c r="F26" s="154">
        <f t="shared" si="1"/>
        <v>322500</v>
      </c>
      <c r="G26" s="154">
        <f t="shared" si="2"/>
        <v>43322500</v>
      </c>
      <c r="H26" s="154">
        <f t="shared" si="3"/>
        <v>0</v>
      </c>
      <c r="I26" s="154">
        <f t="shared" si="4"/>
        <v>0</v>
      </c>
      <c r="J26" s="154">
        <f t="shared" si="5"/>
        <v>43322500</v>
      </c>
      <c r="K26" s="154">
        <v>3000000</v>
      </c>
      <c r="L26" s="154">
        <v>5700000</v>
      </c>
      <c r="M26" s="154">
        <v>0</v>
      </c>
      <c r="N26" s="154">
        <v>0</v>
      </c>
      <c r="O26" s="154">
        <f t="shared" si="7"/>
        <v>5700000</v>
      </c>
      <c r="P26" s="154">
        <f t="shared" si="8"/>
        <v>5181818.1818181816</v>
      </c>
      <c r="Q26" s="154">
        <f t="shared" si="9"/>
        <v>2181818.1818181816</v>
      </c>
      <c r="R26" s="154">
        <f t="shared" si="6"/>
        <v>19.856145833333336</v>
      </c>
    </row>
    <row r="27" spans="1:18" x14ac:dyDescent="0.3">
      <c r="A27" s="118">
        <v>24</v>
      </c>
      <c r="B27" s="50" t="s">
        <v>428</v>
      </c>
      <c r="C27" s="262">
        <v>171000000</v>
      </c>
      <c r="D27" s="262">
        <v>0</v>
      </c>
      <c r="E27" s="154">
        <v>0</v>
      </c>
      <c r="F27" s="154">
        <f t="shared" si="1"/>
        <v>1282500</v>
      </c>
      <c r="G27" s="154">
        <f t="shared" si="2"/>
        <v>172282500</v>
      </c>
      <c r="H27" s="154">
        <f t="shared" si="3"/>
        <v>0</v>
      </c>
      <c r="I27" s="154">
        <f t="shared" si="4"/>
        <v>63000000</v>
      </c>
      <c r="J27" s="154">
        <f t="shared" si="5"/>
        <v>235282500</v>
      </c>
      <c r="K27" s="154">
        <v>8500000</v>
      </c>
      <c r="L27" s="154">
        <f>12600000*0.8</f>
        <v>10080000</v>
      </c>
      <c r="M27" s="154">
        <v>0</v>
      </c>
      <c r="N27" s="154">
        <v>7000000</v>
      </c>
      <c r="O27" s="154">
        <f t="shared" si="7"/>
        <v>17080000</v>
      </c>
      <c r="P27" s="154">
        <f t="shared" si="8"/>
        <v>15527272.727272727</v>
      </c>
      <c r="Q27" s="154">
        <f t="shared" si="9"/>
        <v>7027272.7272727266</v>
      </c>
      <c r="R27" s="154">
        <f t="shared" si="6"/>
        <v>33.481338939197933</v>
      </c>
    </row>
    <row r="28" spans="1:18" x14ac:dyDescent="0.3">
      <c r="A28" s="118">
        <v>25</v>
      </c>
      <c r="B28" s="50" t="s">
        <v>340</v>
      </c>
      <c r="C28" s="262">
        <v>162000000</v>
      </c>
      <c r="D28" s="262">
        <v>0</v>
      </c>
      <c r="E28" s="154">
        <v>0</v>
      </c>
      <c r="F28" s="154">
        <f t="shared" si="1"/>
        <v>1215000</v>
      </c>
      <c r="G28" s="154">
        <f t="shared" si="2"/>
        <v>163215000</v>
      </c>
      <c r="H28" s="154">
        <f t="shared" si="3"/>
        <v>0</v>
      </c>
      <c r="I28" s="154">
        <f t="shared" si="4"/>
        <v>0</v>
      </c>
      <c r="J28" s="154">
        <f t="shared" si="5"/>
        <v>163215000</v>
      </c>
      <c r="K28" s="154">
        <v>5000000</v>
      </c>
      <c r="L28" s="154">
        <v>10000000</v>
      </c>
      <c r="M28" s="154">
        <v>0</v>
      </c>
      <c r="N28" s="154">
        <v>0</v>
      </c>
      <c r="O28" s="154">
        <f t="shared" si="7"/>
        <v>10000000</v>
      </c>
      <c r="P28" s="154">
        <f t="shared" si="8"/>
        <v>9090909.0909090899</v>
      </c>
      <c r="Q28" s="154">
        <f t="shared" si="9"/>
        <v>4090909.0909090899</v>
      </c>
      <c r="R28" s="154">
        <f t="shared" si="6"/>
        <v>39.897000000000013</v>
      </c>
    </row>
    <row r="29" spans="1:18" x14ac:dyDescent="0.3">
      <c r="A29" s="118">
        <v>26</v>
      </c>
      <c r="B29" s="50" t="s">
        <v>449</v>
      </c>
      <c r="C29" s="262">
        <v>118000000</v>
      </c>
      <c r="D29" s="262">
        <v>0</v>
      </c>
      <c r="E29" s="154">
        <v>0</v>
      </c>
      <c r="F29" s="154">
        <f t="shared" si="1"/>
        <v>885000</v>
      </c>
      <c r="G29" s="154">
        <f t="shared" si="2"/>
        <v>118885000</v>
      </c>
      <c r="H29" s="154">
        <f t="shared" si="3"/>
        <v>0</v>
      </c>
      <c r="I29" s="154">
        <f t="shared" si="4"/>
        <v>0</v>
      </c>
      <c r="J29" s="154">
        <f t="shared" si="5"/>
        <v>118885000</v>
      </c>
      <c r="K29" s="154">
        <v>7000000</v>
      </c>
      <c r="L29" s="154">
        <v>12000000</v>
      </c>
      <c r="M29" s="154">
        <v>0</v>
      </c>
      <c r="N29" s="154">
        <v>0</v>
      </c>
      <c r="O29" s="154">
        <f t="shared" si="7"/>
        <v>12000000</v>
      </c>
      <c r="P29" s="154">
        <f t="shared" si="8"/>
        <v>10909090.909090908</v>
      </c>
      <c r="Q29" s="154">
        <f t="shared" si="9"/>
        <v>3909090.9090909082</v>
      </c>
      <c r="R29" s="154">
        <f t="shared" si="6"/>
        <v>30.412441860465123</v>
      </c>
    </row>
    <row r="30" spans="1:18" x14ac:dyDescent="0.3">
      <c r="A30" s="118">
        <v>27</v>
      </c>
      <c r="B30" s="50" t="s">
        <v>455</v>
      </c>
      <c r="C30" s="262">
        <v>85000000</v>
      </c>
      <c r="D30" s="262">
        <v>0</v>
      </c>
      <c r="E30" s="154">
        <v>0</v>
      </c>
      <c r="F30" s="154">
        <f t="shared" si="1"/>
        <v>637500</v>
      </c>
      <c r="G30" s="154">
        <f t="shared" si="2"/>
        <v>85637500</v>
      </c>
      <c r="H30" s="154">
        <f t="shared" si="3"/>
        <v>0</v>
      </c>
      <c r="I30" s="154">
        <f t="shared" si="4"/>
        <v>61380000.000000007</v>
      </c>
      <c r="J30" s="154">
        <f t="shared" si="5"/>
        <v>147017500</v>
      </c>
      <c r="K30" s="154">
        <v>5000000</v>
      </c>
      <c r="L30" s="154">
        <v>7900000</v>
      </c>
      <c r="M30" s="154">
        <v>0</v>
      </c>
      <c r="N30" s="265">
        <v>6820000.0000000009</v>
      </c>
      <c r="O30" s="154">
        <f t="shared" si="7"/>
        <v>14720000</v>
      </c>
      <c r="P30" s="154">
        <f t="shared" si="8"/>
        <v>13381818.181818182</v>
      </c>
      <c r="Q30" s="154">
        <f t="shared" si="9"/>
        <v>8381818.1818181816</v>
      </c>
      <c r="R30" s="154">
        <f t="shared" si="6"/>
        <v>17.540048806941432</v>
      </c>
    </row>
    <row r="31" spans="1:18" x14ac:dyDescent="0.3">
      <c r="A31" s="118">
        <v>28</v>
      </c>
      <c r="B31" s="50" t="s">
        <v>461</v>
      </c>
      <c r="C31" s="262">
        <v>156000000</v>
      </c>
      <c r="D31" s="262">
        <v>0</v>
      </c>
      <c r="E31" s="154">
        <v>0</v>
      </c>
      <c r="F31" s="154">
        <f t="shared" si="1"/>
        <v>1170000</v>
      </c>
      <c r="G31" s="154">
        <f t="shared" si="2"/>
        <v>157170000</v>
      </c>
      <c r="H31" s="154">
        <f t="shared" si="3"/>
        <v>0</v>
      </c>
      <c r="I31" s="154">
        <f t="shared" si="4"/>
        <v>0</v>
      </c>
      <c r="J31" s="154">
        <f t="shared" si="5"/>
        <v>157170000</v>
      </c>
      <c r="K31" s="154">
        <v>5000000</v>
      </c>
      <c r="L31" s="154">
        <v>10500000</v>
      </c>
      <c r="M31" s="154">
        <v>0</v>
      </c>
      <c r="N31" s="154">
        <v>0</v>
      </c>
      <c r="O31" s="154">
        <f t="shared" si="7"/>
        <v>10500000</v>
      </c>
      <c r="P31" s="154">
        <f t="shared" si="8"/>
        <v>9545454.5454545449</v>
      </c>
      <c r="Q31" s="154">
        <f t="shared" si="9"/>
        <v>4545454.5454545449</v>
      </c>
      <c r="R31" s="154">
        <f t="shared" si="6"/>
        <v>34.577400000000004</v>
      </c>
    </row>
    <row r="32" spans="1:18" x14ac:dyDescent="0.3">
      <c r="A32" s="118">
        <v>29</v>
      </c>
      <c r="B32" s="50" t="s">
        <v>467</v>
      </c>
      <c r="C32" s="262">
        <v>163000000</v>
      </c>
      <c r="D32" s="262">
        <v>0</v>
      </c>
      <c r="E32" s="154">
        <v>0</v>
      </c>
      <c r="F32" s="154">
        <f t="shared" si="1"/>
        <v>1222500</v>
      </c>
      <c r="G32" s="154">
        <f t="shared" si="2"/>
        <v>164222500</v>
      </c>
      <c r="H32" s="154">
        <f t="shared" si="3"/>
        <v>0</v>
      </c>
      <c r="I32" s="154">
        <f t="shared" si="4"/>
        <v>0</v>
      </c>
      <c r="J32" s="154">
        <f t="shared" si="5"/>
        <v>164222500</v>
      </c>
      <c r="K32" s="154">
        <v>5500000</v>
      </c>
      <c r="L32" s="154">
        <v>11000000</v>
      </c>
      <c r="M32" s="154">
        <v>0</v>
      </c>
      <c r="N32" s="154">
        <v>0</v>
      </c>
      <c r="O32" s="154">
        <f t="shared" si="7"/>
        <v>11000000</v>
      </c>
      <c r="P32" s="154">
        <f t="shared" si="8"/>
        <v>10000000</v>
      </c>
      <c r="Q32" s="154">
        <f t="shared" si="9"/>
        <v>4500000</v>
      </c>
      <c r="R32" s="154">
        <f t="shared" si="6"/>
        <v>36.49388888888889</v>
      </c>
    </row>
    <row r="33" spans="1:18" x14ac:dyDescent="0.3">
      <c r="A33" s="118">
        <v>30</v>
      </c>
      <c r="B33" s="50" t="s">
        <v>141</v>
      </c>
      <c r="C33" s="262">
        <v>93000000</v>
      </c>
      <c r="D33" s="262">
        <v>0</v>
      </c>
      <c r="E33" s="154">
        <v>0</v>
      </c>
      <c r="F33" s="154">
        <f t="shared" si="1"/>
        <v>697500</v>
      </c>
      <c r="G33" s="154">
        <f t="shared" si="2"/>
        <v>93697500</v>
      </c>
      <c r="H33" s="154">
        <f t="shared" si="3"/>
        <v>0</v>
      </c>
      <c r="I33" s="154">
        <f t="shared" si="4"/>
        <v>66600000</v>
      </c>
      <c r="J33" s="154">
        <f t="shared" si="5"/>
        <v>160297500</v>
      </c>
      <c r="K33" s="154">
        <v>7700000</v>
      </c>
      <c r="L33" s="154">
        <f>11400000*0.8</f>
        <v>9120000</v>
      </c>
      <c r="M33" s="154">
        <v>0</v>
      </c>
      <c r="N33" s="154">
        <v>7400000</v>
      </c>
      <c r="O33" s="154">
        <f t="shared" si="7"/>
        <v>16520000</v>
      </c>
      <c r="P33" s="154">
        <f t="shared" si="8"/>
        <v>15018181.818181816</v>
      </c>
      <c r="Q33" s="154">
        <f t="shared" si="9"/>
        <v>7318181.8181818165</v>
      </c>
      <c r="R33" s="154">
        <f t="shared" si="6"/>
        <v>21.904006211180128</v>
      </c>
    </row>
    <row r="34" spans="1:18" x14ac:dyDescent="0.3">
      <c r="A34" s="118">
        <v>31</v>
      </c>
      <c r="B34" s="50" t="s">
        <v>478</v>
      </c>
      <c r="C34" s="262">
        <v>190000000</v>
      </c>
      <c r="D34" s="262">
        <v>0</v>
      </c>
      <c r="E34" s="154">
        <v>0</v>
      </c>
      <c r="F34" s="154">
        <f t="shared" si="1"/>
        <v>1425000</v>
      </c>
      <c r="G34" s="154">
        <f t="shared" si="2"/>
        <v>191425000</v>
      </c>
      <c r="H34" s="154">
        <f t="shared" si="3"/>
        <v>0</v>
      </c>
      <c r="I34" s="154">
        <f t="shared" si="4"/>
        <v>0</v>
      </c>
      <c r="J34" s="154">
        <f t="shared" si="5"/>
        <v>191425000</v>
      </c>
      <c r="K34" s="154">
        <v>6000000</v>
      </c>
      <c r="L34" s="154">
        <v>12100000</v>
      </c>
      <c r="M34" s="154">
        <v>0</v>
      </c>
      <c r="N34" s="154">
        <v>0</v>
      </c>
      <c r="O34" s="154">
        <f t="shared" si="7"/>
        <v>12100000</v>
      </c>
      <c r="P34" s="154">
        <f t="shared" si="8"/>
        <v>11000000</v>
      </c>
      <c r="Q34" s="154">
        <f t="shared" si="9"/>
        <v>5000000</v>
      </c>
      <c r="R34" s="154">
        <f t="shared" si="6"/>
        <v>38.284999999999997</v>
      </c>
    </row>
    <row r="35" spans="1:18" x14ac:dyDescent="0.3">
      <c r="A35" s="118">
        <v>32</v>
      </c>
      <c r="B35" s="50" t="s">
        <v>493</v>
      </c>
      <c r="C35" s="262">
        <v>89000000</v>
      </c>
      <c r="D35" s="262">
        <v>0</v>
      </c>
      <c r="E35" s="154">
        <v>0</v>
      </c>
      <c r="F35" s="154">
        <f t="shared" si="1"/>
        <v>667500</v>
      </c>
      <c r="G35" s="154">
        <f t="shared" si="2"/>
        <v>89667500</v>
      </c>
      <c r="H35" s="154">
        <f t="shared" si="3"/>
        <v>0</v>
      </c>
      <c r="I35" s="154">
        <f t="shared" si="4"/>
        <v>0</v>
      </c>
      <c r="J35" s="154">
        <f t="shared" si="5"/>
        <v>89667500</v>
      </c>
      <c r="K35" s="154">
        <v>7000000</v>
      </c>
      <c r="L35" s="154">
        <v>11900000</v>
      </c>
      <c r="M35" s="154">
        <v>0</v>
      </c>
      <c r="N35" s="154">
        <v>0</v>
      </c>
      <c r="O35" s="154">
        <f t="shared" si="7"/>
        <v>11900000</v>
      </c>
      <c r="P35" s="154">
        <f t="shared" si="8"/>
        <v>10818181.818181816</v>
      </c>
      <c r="Q35" s="154">
        <f t="shared" si="9"/>
        <v>3818181.8181818165</v>
      </c>
      <c r="R35" s="154">
        <f t="shared" si="6"/>
        <v>23.484345238095248</v>
      </c>
    </row>
    <row r="36" spans="1:18" x14ac:dyDescent="0.3">
      <c r="A36" s="118">
        <v>33</v>
      </c>
      <c r="B36" s="50" t="s">
        <v>492</v>
      </c>
      <c r="C36" s="262">
        <v>118000000</v>
      </c>
      <c r="D36" s="262">
        <v>0</v>
      </c>
      <c r="E36" s="154">
        <v>0</v>
      </c>
      <c r="F36" s="154">
        <f t="shared" si="1"/>
        <v>885000</v>
      </c>
      <c r="G36" s="154">
        <f t="shared" si="2"/>
        <v>118885000</v>
      </c>
      <c r="H36" s="154">
        <f t="shared" si="3"/>
        <v>0</v>
      </c>
      <c r="I36" s="154">
        <f t="shared" si="4"/>
        <v>0</v>
      </c>
      <c r="J36" s="154">
        <f t="shared" si="5"/>
        <v>118885000</v>
      </c>
      <c r="K36" s="154">
        <v>8000000</v>
      </c>
      <c r="L36" s="154">
        <v>12600000</v>
      </c>
      <c r="M36" s="154">
        <v>0</v>
      </c>
      <c r="N36" s="154">
        <v>0</v>
      </c>
      <c r="O36" s="154">
        <f t="shared" si="7"/>
        <v>12600000</v>
      </c>
      <c r="P36" s="154">
        <f t="shared" si="8"/>
        <v>11454545.454545453</v>
      </c>
      <c r="Q36" s="154">
        <f t="shared" si="9"/>
        <v>3454545.4545454532</v>
      </c>
      <c r="R36" s="154">
        <f t="shared" si="6"/>
        <v>34.414078947368438</v>
      </c>
    </row>
    <row r="37" spans="1:18" x14ac:dyDescent="0.3">
      <c r="A37" s="118">
        <v>34</v>
      </c>
      <c r="B37" s="50" t="s">
        <v>484</v>
      </c>
      <c r="C37" s="262">
        <v>57000000</v>
      </c>
      <c r="D37" s="262">
        <v>0</v>
      </c>
      <c r="E37" s="154">
        <v>0</v>
      </c>
      <c r="F37" s="154">
        <f t="shared" si="1"/>
        <v>427500</v>
      </c>
      <c r="G37" s="154">
        <f t="shared" si="2"/>
        <v>57427500</v>
      </c>
      <c r="H37" s="154">
        <f t="shared" si="3"/>
        <v>0</v>
      </c>
      <c r="I37" s="154">
        <f t="shared" si="4"/>
        <v>58500000</v>
      </c>
      <c r="J37" s="154">
        <f t="shared" si="5"/>
        <v>115927500</v>
      </c>
      <c r="K37" s="154">
        <v>7000000</v>
      </c>
      <c r="L37" s="154">
        <f>8000000*80%</f>
        <v>6400000</v>
      </c>
      <c r="M37" s="154">
        <v>0</v>
      </c>
      <c r="N37" s="154">
        <v>6500000</v>
      </c>
      <c r="O37" s="154">
        <f t="shared" si="7"/>
        <v>12900000</v>
      </c>
      <c r="P37" s="154">
        <f t="shared" si="8"/>
        <v>11727272.727272727</v>
      </c>
      <c r="Q37" s="154">
        <f t="shared" si="9"/>
        <v>4727272.7272727266</v>
      </c>
      <c r="R37" s="154">
        <f t="shared" si="6"/>
        <v>24.523125000000004</v>
      </c>
    </row>
    <row r="38" spans="1:18" x14ac:dyDescent="0.3">
      <c r="A38" s="118">
        <v>35</v>
      </c>
      <c r="B38" s="50" t="s">
        <v>541</v>
      </c>
      <c r="C38" s="262">
        <v>126580850</v>
      </c>
      <c r="D38" s="262">
        <v>0</v>
      </c>
      <c r="E38" s="154">
        <v>0</v>
      </c>
      <c r="F38" s="154">
        <f t="shared" si="1"/>
        <v>949356.375</v>
      </c>
      <c r="G38" s="154">
        <f t="shared" si="2"/>
        <v>127530206.375</v>
      </c>
      <c r="H38" s="154">
        <f t="shared" si="3"/>
        <v>0</v>
      </c>
      <c r="I38" s="154">
        <f t="shared" si="4"/>
        <v>0</v>
      </c>
      <c r="J38" s="154">
        <f t="shared" si="5"/>
        <v>127530206.375</v>
      </c>
      <c r="K38" s="154">
        <v>6500000</v>
      </c>
      <c r="L38" s="154">
        <v>11400000</v>
      </c>
      <c r="M38" s="154">
        <v>0</v>
      </c>
      <c r="N38" s="154">
        <v>0</v>
      </c>
      <c r="O38" s="154">
        <f t="shared" si="7"/>
        <v>11400000</v>
      </c>
      <c r="P38" s="154">
        <f t="shared" si="8"/>
        <v>10363636.363636363</v>
      </c>
      <c r="Q38" s="154">
        <f t="shared" si="9"/>
        <v>3863636.3636363633</v>
      </c>
      <c r="R38" s="154">
        <f t="shared" si="6"/>
        <v>33.00781812058824</v>
      </c>
    </row>
    <row r="39" spans="1:18" x14ac:dyDescent="0.3">
      <c r="A39" s="118">
        <v>36</v>
      </c>
      <c r="B39" s="50" t="s">
        <v>550</v>
      </c>
      <c r="C39" s="262">
        <v>149839228</v>
      </c>
      <c r="D39" s="262">
        <v>0</v>
      </c>
      <c r="E39" s="154">
        <v>0</v>
      </c>
      <c r="F39" s="154">
        <f t="shared" si="1"/>
        <v>1123794.21</v>
      </c>
      <c r="G39" s="154">
        <f t="shared" si="2"/>
        <v>150963022.21000001</v>
      </c>
      <c r="H39" s="154">
        <f t="shared" si="3"/>
        <v>0</v>
      </c>
      <c r="I39" s="154">
        <f t="shared" si="4"/>
        <v>0</v>
      </c>
      <c r="J39" s="154">
        <f t="shared" si="5"/>
        <v>150963022.21000001</v>
      </c>
      <c r="K39" s="154">
        <v>6000000</v>
      </c>
      <c r="L39" s="154">
        <v>11000000</v>
      </c>
      <c r="M39" s="154">
        <v>0</v>
      </c>
      <c r="N39" s="154">
        <v>0</v>
      </c>
      <c r="O39" s="154">
        <f t="shared" si="7"/>
        <v>11000000</v>
      </c>
      <c r="P39" s="154">
        <f t="shared" si="8"/>
        <v>10000000</v>
      </c>
      <c r="Q39" s="154">
        <f t="shared" si="9"/>
        <v>4000000</v>
      </c>
      <c r="R39" s="154">
        <f t="shared" si="6"/>
        <v>37.740755552500005</v>
      </c>
    </row>
    <row r="40" spans="1:18" x14ac:dyDescent="0.3">
      <c r="A40" s="118">
        <v>37</v>
      </c>
      <c r="B40" s="50" t="s">
        <v>569</v>
      </c>
      <c r="C40" s="262">
        <v>51589494</v>
      </c>
      <c r="D40" s="262">
        <v>0</v>
      </c>
      <c r="E40" s="154">
        <v>0</v>
      </c>
      <c r="F40" s="154">
        <f t="shared" si="1"/>
        <v>386921.2049999999</v>
      </c>
      <c r="G40" s="154">
        <f t="shared" si="2"/>
        <v>51976415.204999998</v>
      </c>
      <c r="H40" s="154">
        <f t="shared" si="3"/>
        <v>0</v>
      </c>
      <c r="I40" s="154">
        <f t="shared" si="4"/>
        <v>0</v>
      </c>
      <c r="J40" s="154">
        <f t="shared" si="5"/>
        <v>51976415.204999998</v>
      </c>
      <c r="K40" s="154">
        <v>6000000</v>
      </c>
      <c r="L40" s="154">
        <v>11200000</v>
      </c>
      <c r="M40" s="154">
        <v>0</v>
      </c>
      <c r="N40" s="154">
        <v>0</v>
      </c>
      <c r="O40" s="154">
        <f t="shared" si="7"/>
        <v>11200000</v>
      </c>
      <c r="P40" s="154">
        <f t="shared" si="8"/>
        <v>10181818.181818182</v>
      </c>
      <c r="Q40" s="154">
        <f t="shared" si="9"/>
        <v>4181818.1818181816</v>
      </c>
      <c r="R40" s="154">
        <f t="shared" si="6"/>
        <v>12.429142766413044</v>
      </c>
    </row>
    <row r="41" spans="1:18" x14ac:dyDescent="0.3">
      <c r="A41" s="118">
        <v>38</v>
      </c>
      <c r="B41" s="50" t="s">
        <v>570</v>
      </c>
      <c r="C41" s="262">
        <v>35720080</v>
      </c>
      <c r="D41" s="262">
        <v>0</v>
      </c>
      <c r="E41" s="154">
        <v>0</v>
      </c>
      <c r="F41" s="154">
        <f t="shared" si="1"/>
        <v>267900.59999999998</v>
      </c>
      <c r="G41" s="154">
        <f t="shared" si="2"/>
        <v>35987980.600000001</v>
      </c>
      <c r="H41" s="154">
        <f t="shared" si="3"/>
        <v>0</v>
      </c>
      <c r="I41" s="154">
        <f t="shared" si="4"/>
        <v>0</v>
      </c>
      <c r="J41" s="154">
        <f t="shared" si="5"/>
        <v>35987980.600000001</v>
      </c>
      <c r="K41" s="154">
        <v>4000000</v>
      </c>
      <c r="L41" s="154">
        <v>7000000</v>
      </c>
      <c r="M41" s="154">
        <v>0</v>
      </c>
      <c r="N41" s="154">
        <v>0</v>
      </c>
      <c r="O41" s="154">
        <f t="shared" si="7"/>
        <v>7000000</v>
      </c>
      <c r="P41" s="154">
        <f t="shared" si="8"/>
        <v>6363636.3636363633</v>
      </c>
      <c r="Q41" s="154">
        <f t="shared" si="9"/>
        <v>2363636.3636363633</v>
      </c>
      <c r="R41" s="154">
        <f t="shared" si="6"/>
        <v>15.225684100000002</v>
      </c>
    </row>
    <row r="42" spans="1:18" x14ac:dyDescent="0.3">
      <c r="A42" s="118">
        <v>39</v>
      </c>
      <c r="B42" s="50" t="s">
        <v>571</v>
      </c>
      <c r="C42" s="262">
        <v>36671580</v>
      </c>
      <c r="D42" s="262">
        <v>0</v>
      </c>
      <c r="E42" s="154">
        <v>0</v>
      </c>
      <c r="F42" s="154">
        <f t="shared" si="1"/>
        <v>275036.84999999998</v>
      </c>
      <c r="G42" s="154">
        <f t="shared" si="2"/>
        <v>36946616.850000001</v>
      </c>
      <c r="H42" s="154">
        <f t="shared" si="3"/>
        <v>0</v>
      </c>
      <c r="I42" s="154">
        <f t="shared" si="4"/>
        <v>0</v>
      </c>
      <c r="J42" s="154">
        <f t="shared" si="5"/>
        <v>36946616.850000001</v>
      </c>
      <c r="K42" s="154">
        <v>4000000</v>
      </c>
      <c r="L42" s="154">
        <v>7000000</v>
      </c>
      <c r="M42" s="154">
        <v>0</v>
      </c>
      <c r="N42" s="154">
        <v>0</v>
      </c>
      <c r="O42" s="154">
        <f t="shared" si="7"/>
        <v>7000000</v>
      </c>
      <c r="P42" s="154">
        <f t="shared" si="8"/>
        <v>6363636.3636363633</v>
      </c>
      <c r="Q42" s="154">
        <f t="shared" si="9"/>
        <v>2363636.3636363633</v>
      </c>
      <c r="R42" s="154">
        <f t="shared" si="6"/>
        <v>15.631260975000004</v>
      </c>
    </row>
    <row r="43" spans="1:18" x14ac:dyDescent="0.3">
      <c r="A43" s="118">
        <v>40</v>
      </c>
      <c r="B43" s="50" t="s">
        <v>572</v>
      </c>
      <c r="C43" s="262">
        <v>87881750</v>
      </c>
      <c r="D43" s="262">
        <v>0</v>
      </c>
      <c r="E43" s="154">
        <v>0</v>
      </c>
      <c r="F43" s="154">
        <f t="shared" si="1"/>
        <v>659113.125</v>
      </c>
      <c r="G43" s="154">
        <f t="shared" si="2"/>
        <v>88540863.125</v>
      </c>
      <c r="H43" s="154">
        <f t="shared" si="3"/>
        <v>0</v>
      </c>
      <c r="I43" s="154">
        <f t="shared" si="4"/>
        <v>0</v>
      </c>
      <c r="J43" s="154">
        <f t="shared" si="5"/>
        <v>88540863.125</v>
      </c>
      <c r="K43" s="154">
        <v>6500000</v>
      </c>
      <c r="L43" s="154">
        <v>10100000</v>
      </c>
      <c r="M43" s="154">
        <v>0</v>
      </c>
      <c r="N43" s="154">
        <v>0</v>
      </c>
      <c r="O43" s="154">
        <f t="shared" si="7"/>
        <v>10100000</v>
      </c>
      <c r="P43" s="154">
        <f t="shared" si="8"/>
        <v>9181818.1818181816</v>
      </c>
      <c r="Q43" s="154">
        <f t="shared" si="9"/>
        <v>2681818.1818181816</v>
      </c>
      <c r="R43" s="154">
        <f t="shared" si="6"/>
        <v>33.015237097457629</v>
      </c>
    </row>
    <row r="44" spans="1:18" x14ac:dyDescent="0.3">
      <c r="A44" s="118">
        <v>41</v>
      </c>
      <c r="B44" s="50" t="s">
        <v>568</v>
      </c>
      <c r="C44" s="262">
        <v>39775776</v>
      </c>
      <c r="D44" s="262">
        <v>0</v>
      </c>
      <c r="E44" s="154">
        <v>0</v>
      </c>
      <c r="F44" s="154">
        <f t="shared" si="1"/>
        <v>298318.32</v>
      </c>
      <c r="G44" s="154">
        <f t="shared" si="2"/>
        <v>40074094.32</v>
      </c>
      <c r="H44" s="154">
        <f t="shared" si="3"/>
        <v>0</v>
      </c>
      <c r="I44" s="154">
        <f t="shared" si="4"/>
        <v>0</v>
      </c>
      <c r="J44" s="154">
        <f t="shared" si="5"/>
        <v>40074094.32</v>
      </c>
      <c r="K44" s="154">
        <v>4300000</v>
      </c>
      <c r="L44" s="154">
        <v>6400000</v>
      </c>
      <c r="M44" s="154">
        <v>0</v>
      </c>
      <c r="N44" s="154">
        <v>0</v>
      </c>
      <c r="O44" s="154">
        <f t="shared" si="7"/>
        <v>6400000</v>
      </c>
      <c r="P44" s="154">
        <f t="shared" si="8"/>
        <v>5818181.8181818174</v>
      </c>
      <c r="Q44" s="154">
        <f t="shared" si="9"/>
        <v>1518181.8181818174</v>
      </c>
      <c r="R44" s="154">
        <f t="shared" si="6"/>
        <v>26.396110031137738</v>
      </c>
    </row>
    <row r="45" spans="1:18" x14ac:dyDescent="0.3">
      <c r="A45" s="118">
        <v>42</v>
      </c>
      <c r="B45" s="50" t="s">
        <v>613</v>
      </c>
      <c r="C45" s="262">
        <v>70388694</v>
      </c>
      <c r="D45" s="262">
        <v>0</v>
      </c>
      <c r="E45" s="154">
        <v>0</v>
      </c>
      <c r="F45" s="154">
        <f t="shared" si="1"/>
        <v>527915.20499999996</v>
      </c>
      <c r="G45" s="154">
        <f t="shared" si="2"/>
        <v>70916609.204999998</v>
      </c>
      <c r="H45" s="154">
        <f t="shared" si="3"/>
        <v>0</v>
      </c>
      <c r="I45" s="154">
        <f t="shared" si="4"/>
        <v>0</v>
      </c>
      <c r="J45" s="154">
        <f t="shared" si="5"/>
        <v>70916609.204999998</v>
      </c>
      <c r="K45" s="154">
        <v>6500000</v>
      </c>
      <c r="L45" s="154">
        <v>10200000</v>
      </c>
      <c r="M45" s="154">
        <v>0</v>
      </c>
      <c r="N45" s="154">
        <v>0</v>
      </c>
      <c r="O45" s="154">
        <f t="shared" si="7"/>
        <v>10200000</v>
      </c>
      <c r="P45" s="154">
        <f t="shared" si="8"/>
        <v>9272727.2727272715</v>
      </c>
      <c r="Q45" s="154">
        <f t="shared" si="9"/>
        <v>2772727.2727272715</v>
      </c>
      <c r="R45" s="154">
        <f t="shared" si="6"/>
        <v>25.576482008360667</v>
      </c>
    </row>
    <row r="46" spans="1:18" x14ac:dyDescent="0.3">
      <c r="A46" s="118">
        <v>43</v>
      </c>
      <c r="B46" s="50" t="s">
        <v>618</v>
      </c>
      <c r="C46" s="262">
        <v>118127844</v>
      </c>
      <c r="D46" s="262">
        <v>0</v>
      </c>
      <c r="E46" s="154">
        <v>0</v>
      </c>
      <c r="F46" s="154">
        <f t="shared" si="1"/>
        <v>885958.83</v>
      </c>
      <c r="G46" s="154">
        <f t="shared" si="2"/>
        <v>119013802.83</v>
      </c>
      <c r="H46" s="154">
        <f t="shared" si="3"/>
        <v>0</v>
      </c>
      <c r="I46" s="154">
        <f t="shared" si="4"/>
        <v>0</v>
      </c>
      <c r="J46" s="154">
        <f t="shared" si="5"/>
        <v>119013802.83</v>
      </c>
      <c r="K46" s="154">
        <v>6000000</v>
      </c>
      <c r="L46" s="154">
        <v>11300000</v>
      </c>
      <c r="M46" s="154">
        <v>0</v>
      </c>
      <c r="N46" s="154">
        <v>0</v>
      </c>
      <c r="O46" s="154">
        <f t="shared" si="7"/>
        <v>11300000</v>
      </c>
      <c r="P46" s="154">
        <f t="shared" si="8"/>
        <v>10272727.272727272</v>
      </c>
      <c r="Q46" s="154">
        <f t="shared" si="9"/>
        <v>4272727.2727272715</v>
      </c>
      <c r="R46" s="154">
        <f t="shared" si="6"/>
        <v>27.85429427936171</v>
      </c>
    </row>
    <row r="47" spans="1:18" x14ac:dyDescent="0.3">
      <c r="A47" s="118">
        <v>44</v>
      </c>
      <c r="B47" s="50" t="s">
        <v>607</v>
      </c>
      <c r="C47" s="262">
        <v>158338280</v>
      </c>
      <c r="D47" s="262">
        <v>0</v>
      </c>
      <c r="E47" s="154">
        <v>0</v>
      </c>
      <c r="F47" s="154">
        <f t="shared" si="1"/>
        <v>1187537.0999999999</v>
      </c>
      <c r="G47" s="154">
        <f t="shared" si="2"/>
        <v>159525817.09999999</v>
      </c>
      <c r="H47" s="154">
        <f t="shared" si="3"/>
        <v>0</v>
      </c>
      <c r="I47" s="154">
        <f t="shared" si="4"/>
        <v>0</v>
      </c>
      <c r="J47" s="154">
        <f t="shared" si="5"/>
        <v>159525817.09999999</v>
      </c>
      <c r="K47" s="154">
        <v>6000000</v>
      </c>
      <c r="L47" s="154">
        <v>12000000</v>
      </c>
      <c r="M47" s="154">
        <v>0</v>
      </c>
      <c r="N47" s="154">
        <v>0</v>
      </c>
      <c r="O47" s="154">
        <f t="shared" si="7"/>
        <v>12000000</v>
      </c>
      <c r="P47" s="154">
        <f t="shared" si="8"/>
        <v>10909090.909090908</v>
      </c>
      <c r="Q47" s="154">
        <f t="shared" si="9"/>
        <v>4909090.9090909082</v>
      </c>
      <c r="R47" s="154">
        <f t="shared" si="6"/>
        <v>32.495999779629635</v>
      </c>
    </row>
    <row r="48" spans="1:18" x14ac:dyDescent="0.3">
      <c r="A48" s="118">
        <v>45</v>
      </c>
      <c r="B48" s="50" t="s">
        <v>635</v>
      </c>
      <c r="C48" s="262">
        <v>36165510</v>
      </c>
      <c r="D48" s="262">
        <v>0</v>
      </c>
      <c r="E48" s="154">
        <v>0</v>
      </c>
      <c r="F48" s="154">
        <f t="shared" si="1"/>
        <v>271241.32500000001</v>
      </c>
      <c r="G48" s="154">
        <f t="shared" si="2"/>
        <v>36436751.325000003</v>
      </c>
      <c r="H48" s="154">
        <f t="shared" si="3"/>
        <v>0</v>
      </c>
      <c r="I48" s="154">
        <f t="shared" si="4"/>
        <v>0</v>
      </c>
      <c r="J48" s="154">
        <f t="shared" si="5"/>
        <v>36436751.325000003</v>
      </c>
      <c r="K48" s="154">
        <v>4000000</v>
      </c>
      <c r="L48" s="154">
        <v>6600000</v>
      </c>
      <c r="M48" s="154">
        <v>0</v>
      </c>
      <c r="N48" s="154">
        <v>0</v>
      </c>
      <c r="O48" s="154">
        <f t="shared" si="7"/>
        <v>6600000</v>
      </c>
      <c r="P48" s="154">
        <f t="shared" si="8"/>
        <v>5999999.9999999991</v>
      </c>
      <c r="Q48" s="154">
        <f t="shared" si="9"/>
        <v>1999999.9999999991</v>
      </c>
      <c r="R48" s="154">
        <f t="shared" si="6"/>
        <v>18.218375662500009</v>
      </c>
    </row>
    <row r="49" spans="1:18" x14ac:dyDescent="0.3">
      <c r="A49" s="118">
        <v>46</v>
      </c>
      <c r="B49" s="50" t="s">
        <v>636</v>
      </c>
      <c r="C49" s="262">
        <v>33300660</v>
      </c>
      <c r="D49" s="262">
        <v>0</v>
      </c>
      <c r="E49" s="154">
        <v>0</v>
      </c>
      <c r="F49" s="154">
        <f t="shared" si="1"/>
        <v>249754.94999999998</v>
      </c>
      <c r="G49" s="154">
        <f t="shared" si="2"/>
        <v>33550414.949999999</v>
      </c>
      <c r="H49" s="154">
        <f t="shared" si="3"/>
        <v>0</v>
      </c>
      <c r="I49" s="154">
        <f t="shared" si="4"/>
        <v>0</v>
      </c>
      <c r="J49" s="154">
        <f t="shared" si="5"/>
        <v>33550414.949999999</v>
      </c>
      <c r="K49" s="154">
        <v>4500000</v>
      </c>
      <c r="L49" s="154">
        <v>6700000</v>
      </c>
      <c r="M49" s="154">
        <v>0</v>
      </c>
      <c r="N49" s="154">
        <v>0</v>
      </c>
      <c r="O49" s="154">
        <f t="shared" si="7"/>
        <v>6700000</v>
      </c>
      <c r="P49" s="154">
        <f t="shared" si="8"/>
        <v>6090909.0909090908</v>
      </c>
      <c r="Q49" s="154">
        <f t="shared" si="9"/>
        <v>1590909.0909090908</v>
      </c>
      <c r="R49" s="154">
        <f t="shared" si="6"/>
        <v>21.088832254285716</v>
      </c>
    </row>
    <row r="50" spans="1:18" x14ac:dyDescent="0.3">
      <c r="A50" s="118">
        <v>47</v>
      </c>
      <c r="B50" s="50" t="s">
        <v>667</v>
      </c>
      <c r="C50" s="262">
        <v>37001880</v>
      </c>
      <c r="D50" s="262">
        <v>0</v>
      </c>
      <c r="E50" s="154">
        <v>0</v>
      </c>
      <c r="F50" s="154">
        <f t="shared" si="1"/>
        <v>277514.09999999998</v>
      </c>
      <c r="G50" s="154">
        <f t="shared" si="2"/>
        <v>37279394.100000001</v>
      </c>
      <c r="H50" s="154">
        <f t="shared" si="3"/>
        <v>0</v>
      </c>
      <c r="I50" s="154">
        <f t="shared" si="4"/>
        <v>0</v>
      </c>
      <c r="J50" s="154">
        <f t="shared" si="5"/>
        <v>37279394.100000001</v>
      </c>
      <c r="K50" s="154">
        <v>4000000</v>
      </c>
      <c r="L50" s="154">
        <v>6500000</v>
      </c>
      <c r="M50" s="154">
        <v>0</v>
      </c>
      <c r="N50" s="154">
        <v>0</v>
      </c>
      <c r="O50" s="154">
        <f t="shared" si="7"/>
        <v>6500000</v>
      </c>
      <c r="P50" s="154">
        <f t="shared" si="8"/>
        <v>5909090.9090909082</v>
      </c>
      <c r="Q50" s="154">
        <f t="shared" si="9"/>
        <v>1909090.9090909082</v>
      </c>
      <c r="R50" s="154">
        <f t="shared" si="6"/>
        <v>19.527301671428582</v>
      </c>
    </row>
    <row r="51" spans="1:18" x14ac:dyDescent="0.3">
      <c r="A51" s="118">
        <v>48</v>
      </c>
      <c r="B51" s="50" t="s">
        <v>668</v>
      </c>
      <c r="C51" s="262">
        <v>37253429.559904575</v>
      </c>
      <c r="D51" s="262">
        <v>0</v>
      </c>
      <c r="E51" s="154">
        <v>0</v>
      </c>
      <c r="F51" s="154">
        <f t="shared" si="1"/>
        <v>279400.72169928433</v>
      </c>
      <c r="G51" s="154">
        <f t="shared" si="2"/>
        <v>37532830.281603858</v>
      </c>
      <c r="H51" s="154">
        <f t="shared" si="3"/>
        <v>0</v>
      </c>
      <c r="I51" s="154">
        <f t="shared" si="4"/>
        <v>0</v>
      </c>
      <c r="J51" s="154">
        <f t="shared" si="5"/>
        <v>37532830.281603858</v>
      </c>
      <c r="K51" s="154">
        <v>4000000</v>
      </c>
      <c r="L51" s="154">
        <v>6700000</v>
      </c>
      <c r="M51" s="154">
        <v>0</v>
      </c>
      <c r="N51" s="154">
        <v>0</v>
      </c>
      <c r="O51" s="154">
        <f t="shared" si="7"/>
        <v>6700000</v>
      </c>
      <c r="P51" s="154">
        <f t="shared" si="8"/>
        <v>6090909.0909090908</v>
      </c>
      <c r="Q51" s="154">
        <f t="shared" si="9"/>
        <v>2090909.0909090908</v>
      </c>
      <c r="R51" s="154">
        <f t="shared" si="6"/>
        <v>17.950484047723585</v>
      </c>
    </row>
    <row r="52" spans="1:18" x14ac:dyDescent="0.3">
      <c r="A52" s="118">
        <v>49</v>
      </c>
      <c r="B52" s="50" t="s">
        <v>669</v>
      </c>
      <c r="C52" s="262">
        <v>39068570</v>
      </c>
      <c r="D52" s="262">
        <v>0</v>
      </c>
      <c r="E52" s="154">
        <v>0</v>
      </c>
      <c r="F52" s="154">
        <f t="shared" si="1"/>
        <v>293014.27499999997</v>
      </c>
      <c r="G52" s="154">
        <f t="shared" si="2"/>
        <v>39361584.274999999</v>
      </c>
      <c r="H52" s="154">
        <f t="shared" si="3"/>
        <v>0</v>
      </c>
      <c r="I52" s="154">
        <f t="shared" si="4"/>
        <v>0</v>
      </c>
      <c r="J52" s="154">
        <f t="shared" si="5"/>
        <v>39361584.274999999</v>
      </c>
      <c r="K52" s="154">
        <v>4000000</v>
      </c>
      <c r="L52" s="154">
        <v>6700000</v>
      </c>
      <c r="M52" s="154">
        <v>0</v>
      </c>
      <c r="N52" s="154">
        <v>0</v>
      </c>
      <c r="O52" s="154">
        <f t="shared" si="7"/>
        <v>6700000</v>
      </c>
      <c r="P52" s="154">
        <f t="shared" si="8"/>
        <v>6090909.0909090908</v>
      </c>
      <c r="Q52" s="154">
        <f t="shared" si="9"/>
        <v>2090909.0909090908</v>
      </c>
      <c r="R52" s="154">
        <f t="shared" si="6"/>
        <v>18.825105522826085</v>
      </c>
    </row>
    <row r="53" spans="1:18" x14ac:dyDescent="0.3">
      <c r="A53" s="118">
        <v>50</v>
      </c>
      <c r="B53" s="50" t="s">
        <v>670</v>
      </c>
      <c r="C53" s="262">
        <v>42202840</v>
      </c>
      <c r="D53" s="262">
        <v>0</v>
      </c>
      <c r="E53" s="154">
        <v>0</v>
      </c>
      <c r="F53" s="154">
        <f t="shared" si="1"/>
        <v>316521.3</v>
      </c>
      <c r="G53" s="154">
        <f t="shared" si="2"/>
        <v>42519361.299999997</v>
      </c>
      <c r="H53" s="154">
        <f t="shared" si="3"/>
        <v>0</v>
      </c>
      <c r="I53" s="154">
        <f t="shared" si="4"/>
        <v>0</v>
      </c>
      <c r="J53" s="154">
        <f t="shared" si="5"/>
        <v>42519361.299999997</v>
      </c>
      <c r="K53" s="154">
        <v>4000000</v>
      </c>
      <c r="L53" s="154">
        <v>6700000</v>
      </c>
      <c r="M53" s="154">
        <v>0</v>
      </c>
      <c r="N53" s="154">
        <v>0</v>
      </c>
      <c r="O53" s="154">
        <f t="shared" si="7"/>
        <v>6700000</v>
      </c>
      <c r="P53" s="154">
        <f t="shared" si="8"/>
        <v>6090909.0909090908</v>
      </c>
      <c r="Q53" s="154">
        <f t="shared" si="9"/>
        <v>2090909.0909090908</v>
      </c>
      <c r="R53" s="154">
        <f t="shared" si="6"/>
        <v>20.335346708695653</v>
      </c>
    </row>
    <row r="54" spans="1:18" x14ac:dyDescent="0.3">
      <c r="A54" s="118">
        <v>51</v>
      </c>
      <c r="B54" s="50" t="s">
        <v>671</v>
      </c>
      <c r="C54" s="262">
        <v>49387054.533519998</v>
      </c>
      <c r="D54" s="262">
        <v>0</v>
      </c>
      <c r="E54" s="154">
        <v>0</v>
      </c>
      <c r="F54" s="154">
        <f t="shared" si="1"/>
        <v>370402.9090014</v>
      </c>
      <c r="G54" s="154">
        <f t="shared" si="2"/>
        <v>49757457.442521401</v>
      </c>
      <c r="H54" s="154">
        <f t="shared" si="3"/>
        <v>0</v>
      </c>
      <c r="I54" s="154">
        <f t="shared" si="4"/>
        <v>0</v>
      </c>
      <c r="J54" s="154">
        <f t="shared" si="5"/>
        <v>49757457.442521401</v>
      </c>
      <c r="K54" s="154">
        <v>4000000</v>
      </c>
      <c r="L54" s="154">
        <v>6600000</v>
      </c>
      <c r="M54" s="154">
        <v>0</v>
      </c>
      <c r="N54" s="154">
        <v>0</v>
      </c>
      <c r="O54" s="154">
        <f t="shared" si="7"/>
        <v>6600000</v>
      </c>
      <c r="P54" s="154">
        <f t="shared" si="8"/>
        <v>5999999.9999999991</v>
      </c>
      <c r="Q54" s="154">
        <f t="shared" si="9"/>
        <v>1999999.9999999991</v>
      </c>
      <c r="R54" s="154">
        <f t="shared" si="6"/>
        <v>24.87872872126071</v>
      </c>
    </row>
    <row r="55" spans="1:18" x14ac:dyDescent="0.3">
      <c r="A55" s="118">
        <v>52</v>
      </c>
      <c r="B55" s="50" t="s">
        <v>701</v>
      </c>
      <c r="C55" s="262">
        <v>141279580</v>
      </c>
      <c r="D55" s="262">
        <v>0</v>
      </c>
      <c r="E55" s="154">
        <v>0</v>
      </c>
      <c r="F55" s="154">
        <f t="shared" si="1"/>
        <v>1059596.8499999999</v>
      </c>
      <c r="G55" s="154">
        <f t="shared" si="2"/>
        <v>142339176.84999999</v>
      </c>
      <c r="H55" s="154">
        <f t="shared" si="3"/>
        <v>0</v>
      </c>
      <c r="I55" s="154">
        <f t="shared" si="4"/>
        <v>0</v>
      </c>
      <c r="J55" s="154">
        <f t="shared" si="5"/>
        <v>142339176.84999999</v>
      </c>
      <c r="K55" s="154">
        <v>5500000</v>
      </c>
      <c r="L55" s="154">
        <v>11300000</v>
      </c>
      <c r="M55" s="154">
        <v>0</v>
      </c>
      <c r="N55" s="154">
        <v>0</v>
      </c>
      <c r="O55" s="154">
        <f t="shared" si="7"/>
        <v>11300000</v>
      </c>
      <c r="P55" s="154">
        <f t="shared" si="8"/>
        <v>10272727.272727272</v>
      </c>
      <c r="Q55" s="154">
        <f t="shared" si="9"/>
        <v>4772727.2727272715</v>
      </c>
      <c r="R55" s="154">
        <f t="shared" si="6"/>
        <v>29.823446578095243</v>
      </c>
    </row>
    <row r="56" spans="1:18" x14ac:dyDescent="0.3">
      <c r="A56" s="118">
        <v>53</v>
      </c>
      <c r="B56" s="50" t="s">
        <v>704</v>
      </c>
      <c r="C56" s="262">
        <v>120106550</v>
      </c>
      <c r="D56" s="262">
        <v>0</v>
      </c>
      <c r="E56" s="154">
        <v>0</v>
      </c>
      <c r="F56" s="154">
        <f t="shared" si="1"/>
        <v>900799.125</v>
      </c>
      <c r="G56" s="154">
        <f t="shared" si="2"/>
        <v>121007349.125</v>
      </c>
      <c r="H56" s="154">
        <f t="shared" si="3"/>
        <v>0</v>
      </c>
      <c r="I56" s="154">
        <f t="shared" si="4"/>
        <v>72000000</v>
      </c>
      <c r="J56" s="154">
        <f t="shared" si="5"/>
        <v>193007349.125</v>
      </c>
      <c r="K56" s="154">
        <v>7000000</v>
      </c>
      <c r="L56" s="154">
        <f>9800000*0.8</f>
        <v>7840000</v>
      </c>
      <c r="M56" s="154">
        <v>0</v>
      </c>
      <c r="N56" s="154">
        <v>8000000</v>
      </c>
      <c r="O56" s="154">
        <f t="shared" si="7"/>
        <v>15840000</v>
      </c>
      <c r="P56" s="154">
        <f t="shared" si="8"/>
        <v>14399999.999999998</v>
      </c>
      <c r="Q56" s="154">
        <f t="shared" si="9"/>
        <v>7399999.9999999981</v>
      </c>
      <c r="R56" s="154">
        <f t="shared" si="6"/>
        <v>26.082074206081089</v>
      </c>
    </row>
    <row r="57" spans="1:18" x14ac:dyDescent="0.3">
      <c r="A57" s="118">
        <v>54</v>
      </c>
      <c r="B57" s="50" t="s">
        <v>707</v>
      </c>
      <c r="C57" s="262">
        <v>91642910</v>
      </c>
      <c r="D57" s="262">
        <v>0</v>
      </c>
      <c r="E57" s="154">
        <v>0</v>
      </c>
      <c r="F57" s="154">
        <f t="shared" si="1"/>
        <v>687321.82499999995</v>
      </c>
      <c r="G57" s="154">
        <f t="shared" si="2"/>
        <v>92330231.825000003</v>
      </c>
      <c r="H57" s="154">
        <f t="shared" si="3"/>
        <v>0</v>
      </c>
      <c r="I57" s="154">
        <f t="shared" si="4"/>
        <v>0</v>
      </c>
      <c r="J57" s="154">
        <f t="shared" si="5"/>
        <v>92330231.825000003</v>
      </c>
      <c r="K57" s="154">
        <v>7500000</v>
      </c>
      <c r="L57" s="154">
        <v>13300000</v>
      </c>
      <c r="M57" s="154">
        <v>0</v>
      </c>
      <c r="N57" s="154">
        <v>0</v>
      </c>
      <c r="O57" s="154">
        <f t="shared" si="7"/>
        <v>13300000</v>
      </c>
      <c r="P57" s="154">
        <f t="shared" si="8"/>
        <v>12090909.09090909</v>
      </c>
      <c r="Q57" s="154">
        <f t="shared" si="9"/>
        <v>4590909.0909090899</v>
      </c>
      <c r="R57" s="154">
        <f t="shared" si="6"/>
        <v>20.111535645049511</v>
      </c>
    </row>
    <row r="58" spans="1:18" x14ac:dyDescent="0.3">
      <c r="A58" s="118">
        <v>55</v>
      </c>
      <c r="B58" s="50" t="s">
        <v>710</v>
      </c>
      <c r="C58" s="262">
        <v>108072480</v>
      </c>
      <c r="D58" s="262">
        <v>0</v>
      </c>
      <c r="E58" s="154">
        <v>0</v>
      </c>
      <c r="F58" s="154">
        <f t="shared" si="1"/>
        <v>810543.6</v>
      </c>
      <c r="G58" s="154">
        <f t="shared" si="2"/>
        <v>108883023.59999999</v>
      </c>
      <c r="H58" s="154">
        <f t="shared" si="3"/>
        <v>0</v>
      </c>
      <c r="I58" s="154">
        <f t="shared" si="4"/>
        <v>0</v>
      </c>
      <c r="J58" s="154">
        <f t="shared" si="5"/>
        <v>108883023.59999999</v>
      </c>
      <c r="K58" s="154">
        <v>5000000</v>
      </c>
      <c r="L58" s="154">
        <v>10000000</v>
      </c>
      <c r="M58" s="154">
        <v>0</v>
      </c>
      <c r="N58" s="154">
        <v>0</v>
      </c>
      <c r="O58" s="154">
        <f t="shared" si="7"/>
        <v>10000000</v>
      </c>
      <c r="P58" s="154">
        <f t="shared" si="8"/>
        <v>9090909.0909090899</v>
      </c>
      <c r="Q58" s="154">
        <f t="shared" si="9"/>
        <v>4090909.0909090899</v>
      </c>
      <c r="R58" s="154">
        <f t="shared" si="6"/>
        <v>26.615850213333339</v>
      </c>
    </row>
    <row r="59" spans="1:18" x14ac:dyDescent="0.3">
      <c r="A59" s="118">
        <v>56</v>
      </c>
      <c r="B59" s="50" t="s">
        <v>722</v>
      </c>
      <c r="C59" s="262">
        <v>82592868</v>
      </c>
      <c r="D59" s="262">
        <v>0</v>
      </c>
      <c r="E59" s="154">
        <v>0</v>
      </c>
      <c r="F59" s="154">
        <f t="shared" si="1"/>
        <v>619446.51</v>
      </c>
      <c r="G59" s="154">
        <f t="shared" si="2"/>
        <v>83212314.510000005</v>
      </c>
      <c r="H59" s="154">
        <f t="shared" si="3"/>
        <v>0</v>
      </c>
      <c r="I59" s="154">
        <f t="shared" si="4"/>
        <v>0</v>
      </c>
      <c r="J59" s="154">
        <f t="shared" si="5"/>
        <v>83212314.510000005</v>
      </c>
      <c r="K59" s="154">
        <v>5000000</v>
      </c>
      <c r="L59" s="154">
        <v>9500000</v>
      </c>
      <c r="M59" s="154">
        <v>0</v>
      </c>
      <c r="N59" s="154">
        <v>0</v>
      </c>
      <c r="O59" s="154">
        <f t="shared" si="7"/>
        <v>9500000</v>
      </c>
      <c r="P59" s="154">
        <f t="shared" si="8"/>
        <v>8636363.6363636348</v>
      </c>
      <c r="Q59" s="154">
        <f t="shared" si="9"/>
        <v>3636363.6363636348</v>
      </c>
      <c r="R59" s="154">
        <f t="shared" si="6"/>
        <v>22.883386490250011</v>
      </c>
    </row>
    <row r="60" spans="1:18" x14ac:dyDescent="0.3">
      <c r="A60" s="118">
        <v>57</v>
      </c>
      <c r="B60" s="50" t="s">
        <v>722</v>
      </c>
      <c r="C60" s="262">
        <v>82592868</v>
      </c>
      <c r="D60" s="262">
        <v>0</v>
      </c>
      <c r="E60" s="154">
        <v>0</v>
      </c>
      <c r="F60" s="154">
        <f t="shared" si="1"/>
        <v>619446.51</v>
      </c>
      <c r="G60" s="154">
        <f t="shared" si="2"/>
        <v>83212314.510000005</v>
      </c>
      <c r="H60" s="154">
        <f t="shared" si="3"/>
        <v>0</v>
      </c>
      <c r="I60" s="154">
        <f t="shared" si="4"/>
        <v>50400000</v>
      </c>
      <c r="J60" s="154">
        <f t="shared" si="5"/>
        <v>133612314.51000001</v>
      </c>
      <c r="K60" s="154">
        <v>5000000</v>
      </c>
      <c r="L60" s="154">
        <f>9500000*0.8</f>
        <v>7600000</v>
      </c>
      <c r="M60" s="154">
        <v>0</v>
      </c>
      <c r="N60" s="154">
        <v>5600000</v>
      </c>
      <c r="O60" s="154">
        <f t="shared" si="7"/>
        <v>13200000</v>
      </c>
      <c r="P60" s="154">
        <f t="shared" si="8"/>
        <v>11999999.999999998</v>
      </c>
      <c r="Q60" s="154">
        <f t="shared" si="9"/>
        <v>6999999.9999999981</v>
      </c>
      <c r="R60" s="154">
        <f t="shared" si="6"/>
        <v>19.087473501428576</v>
      </c>
    </row>
    <row r="61" spans="1:18" x14ac:dyDescent="0.3">
      <c r="A61" s="118">
        <v>58</v>
      </c>
      <c r="B61" s="50" t="s">
        <v>729</v>
      </c>
      <c r="C61" s="262">
        <v>37582700</v>
      </c>
      <c r="D61" s="262">
        <v>0</v>
      </c>
      <c r="E61" s="154">
        <v>0</v>
      </c>
      <c r="F61" s="154">
        <f t="shared" si="1"/>
        <v>281870.25</v>
      </c>
      <c r="G61" s="154">
        <f t="shared" si="2"/>
        <v>37864570.25</v>
      </c>
      <c r="H61" s="154">
        <f t="shared" si="3"/>
        <v>0</v>
      </c>
      <c r="I61" s="154">
        <f t="shared" si="4"/>
        <v>0</v>
      </c>
      <c r="J61" s="154">
        <f t="shared" si="5"/>
        <v>37864570.25</v>
      </c>
      <c r="K61" s="154">
        <v>4000000</v>
      </c>
      <c r="L61" s="154">
        <v>6400000</v>
      </c>
      <c r="M61" s="154">
        <v>0</v>
      </c>
      <c r="N61" s="154">
        <v>0</v>
      </c>
      <c r="O61" s="154">
        <f t="shared" si="7"/>
        <v>6400000</v>
      </c>
      <c r="P61" s="154">
        <f t="shared" si="8"/>
        <v>5818181.8181818174</v>
      </c>
      <c r="Q61" s="154">
        <f t="shared" si="9"/>
        <v>1818181.8181818174</v>
      </c>
      <c r="R61" s="154">
        <f t="shared" si="6"/>
        <v>20.825513637500009</v>
      </c>
    </row>
    <row r="62" spans="1:18" x14ac:dyDescent="0.3">
      <c r="A62" s="118">
        <v>59</v>
      </c>
      <c r="B62" s="50" t="s">
        <v>739</v>
      </c>
      <c r="C62" s="262">
        <v>110700000</v>
      </c>
      <c r="D62" s="262">
        <v>0</v>
      </c>
      <c r="E62" s="154">
        <v>0</v>
      </c>
      <c r="F62" s="154">
        <f t="shared" si="1"/>
        <v>830250</v>
      </c>
      <c r="G62" s="154">
        <f t="shared" si="2"/>
        <v>111530250</v>
      </c>
      <c r="H62" s="154">
        <f t="shared" si="3"/>
        <v>0</v>
      </c>
      <c r="I62" s="154">
        <f t="shared" si="4"/>
        <v>0</v>
      </c>
      <c r="J62" s="154">
        <f t="shared" si="5"/>
        <v>111530250</v>
      </c>
      <c r="K62" s="154">
        <v>5000000</v>
      </c>
      <c r="L62" s="154">
        <v>9000000</v>
      </c>
      <c r="M62" s="154">
        <v>0</v>
      </c>
      <c r="N62" s="154">
        <v>0</v>
      </c>
      <c r="O62" s="154">
        <f t="shared" si="7"/>
        <v>9000000</v>
      </c>
      <c r="P62" s="154">
        <f t="shared" si="8"/>
        <v>8181818.1818181807</v>
      </c>
      <c r="Q62" s="154">
        <f t="shared" si="9"/>
        <v>3181818.1818181807</v>
      </c>
      <c r="R62" s="154">
        <f t="shared" si="6"/>
        <v>35.052364285714297</v>
      </c>
    </row>
    <row r="63" spans="1:18" x14ac:dyDescent="0.3">
      <c r="A63" s="118">
        <v>60</v>
      </c>
      <c r="B63" s="50" t="s">
        <v>740</v>
      </c>
      <c r="C63" s="262">
        <v>44223000</v>
      </c>
      <c r="D63" s="262">
        <v>0</v>
      </c>
      <c r="E63" s="154">
        <v>0</v>
      </c>
      <c r="F63" s="154">
        <f t="shared" si="1"/>
        <v>331672.5</v>
      </c>
      <c r="G63" s="154">
        <f t="shared" si="2"/>
        <v>44554672.5</v>
      </c>
      <c r="H63" s="154">
        <f t="shared" si="3"/>
        <v>0</v>
      </c>
      <c r="I63" s="154">
        <f t="shared" si="4"/>
        <v>0</v>
      </c>
      <c r="J63" s="154">
        <f t="shared" si="5"/>
        <v>44554672.5</v>
      </c>
      <c r="K63" s="154">
        <v>4500000</v>
      </c>
      <c r="L63" s="154">
        <v>6400000</v>
      </c>
      <c r="M63" s="154">
        <v>0</v>
      </c>
      <c r="N63" s="154">
        <v>0</v>
      </c>
      <c r="O63" s="154">
        <f t="shared" si="7"/>
        <v>6400000</v>
      </c>
      <c r="P63" s="154">
        <f t="shared" si="8"/>
        <v>5818181.8181818174</v>
      </c>
      <c r="Q63" s="154">
        <f t="shared" si="9"/>
        <v>1318181.8181818174</v>
      </c>
      <c r="R63" s="154">
        <f t="shared" si="6"/>
        <v>33.800096379310361</v>
      </c>
    </row>
    <row r="64" spans="1:18" x14ac:dyDescent="0.3">
      <c r="A64" s="118">
        <v>61</v>
      </c>
      <c r="B64" s="50" t="s">
        <v>741</v>
      </c>
      <c r="C64" s="262">
        <v>117252198</v>
      </c>
      <c r="D64" s="262">
        <v>0</v>
      </c>
      <c r="E64" s="154">
        <v>0</v>
      </c>
      <c r="F64" s="154">
        <f t="shared" si="1"/>
        <v>879391.48499999999</v>
      </c>
      <c r="G64" s="154">
        <f t="shared" si="2"/>
        <v>118131589.485</v>
      </c>
      <c r="H64" s="154">
        <f t="shared" si="3"/>
        <v>0</v>
      </c>
      <c r="I64" s="154">
        <f t="shared" si="4"/>
        <v>0</v>
      </c>
      <c r="J64" s="154">
        <f t="shared" si="5"/>
        <v>118131589.485</v>
      </c>
      <c r="K64" s="154">
        <v>5500000</v>
      </c>
      <c r="L64" s="154">
        <v>9400000</v>
      </c>
      <c r="M64" s="154">
        <v>0</v>
      </c>
      <c r="N64" s="154">
        <v>0</v>
      </c>
      <c r="O64" s="154">
        <f t="shared" si="7"/>
        <v>9400000</v>
      </c>
      <c r="P64" s="154">
        <f t="shared" si="8"/>
        <v>8545454.5454545449</v>
      </c>
      <c r="Q64" s="154">
        <f t="shared" si="9"/>
        <v>3045454.5454545449</v>
      </c>
      <c r="R64" s="154">
        <f t="shared" si="6"/>
        <v>38.789477144328366</v>
      </c>
    </row>
    <row r="65" spans="1:18" x14ac:dyDescent="0.3">
      <c r="A65" s="118">
        <v>62</v>
      </c>
      <c r="B65" s="50" t="s">
        <v>742</v>
      </c>
      <c r="C65" s="262">
        <v>110700000</v>
      </c>
      <c r="D65" s="262">
        <v>0</v>
      </c>
      <c r="E65" s="154">
        <v>0</v>
      </c>
      <c r="F65" s="154">
        <f t="shared" si="1"/>
        <v>830250</v>
      </c>
      <c r="G65" s="154">
        <f t="shared" si="2"/>
        <v>111530250</v>
      </c>
      <c r="H65" s="154">
        <f t="shared" si="3"/>
        <v>0</v>
      </c>
      <c r="I65" s="154">
        <f t="shared" si="4"/>
        <v>0</v>
      </c>
      <c r="J65" s="154">
        <f t="shared" si="5"/>
        <v>111530250</v>
      </c>
      <c r="K65" s="154">
        <v>5000000</v>
      </c>
      <c r="L65" s="154">
        <v>9400000</v>
      </c>
      <c r="M65" s="154">
        <v>0</v>
      </c>
      <c r="N65" s="154">
        <v>0</v>
      </c>
      <c r="O65" s="154">
        <f t="shared" si="7"/>
        <v>9400000</v>
      </c>
      <c r="P65" s="154">
        <f t="shared" si="8"/>
        <v>8545454.5454545449</v>
      </c>
      <c r="Q65" s="154">
        <f t="shared" si="9"/>
        <v>3545454.5454545449</v>
      </c>
      <c r="R65" s="154">
        <f t="shared" si="6"/>
        <v>31.457250000000005</v>
      </c>
    </row>
    <row r="66" spans="1:18" x14ac:dyDescent="0.3">
      <c r="A66" s="118">
        <v>63</v>
      </c>
      <c r="B66" s="50" t="s">
        <v>737</v>
      </c>
      <c r="C66" s="262">
        <v>40000000</v>
      </c>
      <c r="D66" s="262">
        <v>0</v>
      </c>
      <c r="E66" s="154">
        <v>0</v>
      </c>
      <c r="F66" s="154">
        <f t="shared" si="1"/>
        <v>300000</v>
      </c>
      <c r="G66" s="154">
        <f t="shared" si="2"/>
        <v>40300000</v>
      </c>
      <c r="H66" s="154">
        <f t="shared" si="3"/>
        <v>0</v>
      </c>
      <c r="I66" s="154">
        <f t="shared" si="4"/>
        <v>0</v>
      </c>
      <c r="J66" s="154">
        <f t="shared" si="5"/>
        <v>40300000</v>
      </c>
      <c r="K66" s="154">
        <v>4000000</v>
      </c>
      <c r="L66" s="154">
        <v>6700000</v>
      </c>
      <c r="M66" s="154">
        <v>0</v>
      </c>
      <c r="N66" s="154">
        <v>0</v>
      </c>
      <c r="O66" s="154">
        <f t="shared" si="7"/>
        <v>6700000</v>
      </c>
      <c r="P66" s="154">
        <f t="shared" si="8"/>
        <v>6090909.0909090908</v>
      </c>
      <c r="Q66" s="154">
        <f t="shared" si="9"/>
        <v>2090909.0909090908</v>
      </c>
      <c r="R66" s="154">
        <f t="shared" si="6"/>
        <v>19.273913043478263</v>
      </c>
    </row>
    <row r="67" spans="1:18" x14ac:dyDescent="0.3">
      <c r="A67" s="118">
        <v>64</v>
      </c>
      <c r="B67" s="50" t="s">
        <v>606</v>
      </c>
      <c r="C67" s="262">
        <v>40000000</v>
      </c>
      <c r="D67" s="262">
        <v>0</v>
      </c>
      <c r="E67" s="154">
        <v>0</v>
      </c>
      <c r="F67" s="154">
        <f t="shared" si="1"/>
        <v>300000</v>
      </c>
      <c r="G67" s="154">
        <f t="shared" si="2"/>
        <v>40300000</v>
      </c>
      <c r="H67" s="154">
        <f t="shared" si="3"/>
        <v>0</v>
      </c>
      <c r="I67" s="154">
        <f t="shared" si="4"/>
        <v>0</v>
      </c>
      <c r="J67" s="154">
        <f t="shared" si="5"/>
        <v>40300000</v>
      </c>
      <c r="K67" s="154">
        <v>5500000</v>
      </c>
      <c r="L67" s="154">
        <v>7500000</v>
      </c>
      <c r="M67" s="154">
        <v>0</v>
      </c>
      <c r="N67" s="154">
        <v>0</v>
      </c>
      <c r="O67" s="154">
        <f t="shared" si="7"/>
        <v>7500000</v>
      </c>
      <c r="P67" s="154">
        <f t="shared" si="8"/>
        <v>6818181.8181818174</v>
      </c>
      <c r="Q67" s="154">
        <f t="shared" si="9"/>
        <v>1318181.8181818174</v>
      </c>
      <c r="R67" s="154">
        <f t="shared" si="6"/>
        <v>30.572413793103465</v>
      </c>
    </row>
    <row r="68" spans="1:18" x14ac:dyDescent="0.3">
      <c r="A68" s="118">
        <v>65</v>
      </c>
      <c r="B68" s="50" t="s">
        <v>771</v>
      </c>
      <c r="C68" s="262">
        <v>115000000</v>
      </c>
      <c r="D68" s="262">
        <v>0</v>
      </c>
      <c r="E68" s="154">
        <v>0</v>
      </c>
      <c r="F68" s="154">
        <f t="shared" ref="F68:F92" si="10">(C68*12%+(C68/2)*12%)/24</f>
        <v>862500</v>
      </c>
      <c r="G68" s="154">
        <f t="shared" ref="G68:G92" si="11">SUM(C68:F68)</f>
        <v>115862500</v>
      </c>
      <c r="H68" s="154">
        <f t="shared" ref="H68:H92" si="12">M68*6/1.1</f>
        <v>0</v>
      </c>
      <c r="I68" s="154">
        <f t="shared" ref="I68:I92" si="13">N68*9</f>
        <v>0</v>
      </c>
      <c r="J68" s="154">
        <f t="shared" ref="J68:J92" si="14">G68+H68+I68</f>
        <v>115862500</v>
      </c>
      <c r="K68" s="154">
        <v>6000000</v>
      </c>
      <c r="L68" s="154">
        <v>10500000</v>
      </c>
      <c r="M68" s="154">
        <v>0</v>
      </c>
      <c r="N68" s="154">
        <v>0</v>
      </c>
      <c r="O68" s="154">
        <f t="shared" si="7"/>
        <v>10500000</v>
      </c>
      <c r="P68" s="154">
        <f t="shared" si="8"/>
        <v>9545454.5454545449</v>
      </c>
      <c r="Q68" s="154">
        <f t="shared" si="9"/>
        <v>3545454.5454545449</v>
      </c>
      <c r="R68" s="154">
        <f t="shared" ref="R68:R92" si="15">J68/Q68</f>
        <v>32.679166666666674</v>
      </c>
    </row>
    <row r="69" spans="1:18" x14ac:dyDescent="0.3">
      <c r="A69" s="118">
        <v>66</v>
      </c>
      <c r="B69" s="266" t="s">
        <v>778</v>
      </c>
      <c r="C69" s="262">
        <v>40000000</v>
      </c>
      <c r="D69" s="262">
        <v>0</v>
      </c>
      <c r="E69" s="154">
        <v>0</v>
      </c>
      <c r="F69" s="154">
        <f t="shared" si="10"/>
        <v>300000</v>
      </c>
      <c r="G69" s="154">
        <f t="shared" si="11"/>
        <v>40300000</v>
      </c>
      <c r="H69" s="154">
        <f t="shared" si="12"/>
        <v>0</v>
      </c>
      <c r="I69" s="154">
        <f t="shared" si="13"/>
        <v>0</v>
      </c>
      <c r="J69" s="154">
        <f t="shared" si="14"/>
        <v>40300000</v>
      </c>
      <c r="K69" s="154">
        <v>4000000</v>
      </c>
      <c r="L69" s="95">
        <v>6400000</v>
      </c>
      <c r="M69" s="154">
        <v>0</v>
      </c>
      <c r="N69" s="154">
        <v>0</v>
      </c>
      <c r="O69" s="154">
        <f t="shared" ref="O69:O92" si="16">SUM(L69:N69)</f>
        <v>6400000</v>
      </c>
      <c r="P69" s="154">
        <f t="shared" ref="P69:P92" si="17">O69/1.1</f>
        <v>5818181.8181818174</v>
      </c>
      <c r="Q69" s="154">
        <f t="shared" ref="Q69:Q92" si="18">P69-K69</f>
        <v>1818181.8181818174</v>
      </c>
      <c r="R69" s="154">
        <f t="shared" si="15"/>
        <v>22.16500000000001</v>
      </c>
    </row>
    <row r="70" spans="1:18" x14ac:dyDescent="0.3">
      <c r="A70" s="118">
        <v>67</v>
      </c>
      <c r="B70" s="266" t="s">
        <v>787</v>
      </c>
      <c r="C70" s="262">
        <v>115000000</v>
      </c>
      <c r="D70" s="262">
        <v>0</v>
      </c>
      <c r="E70" s="154">
        <v>0</v>
      </c>
      <c r="F70" s="154">
        <f t="shared" si="10"/>
        <v>862500</v>
      </c>
      <c r="G70" s="154">
        <f t="shared" si="11"/>
        <v>115862500</v>
      </c>
      <c r="H70" s="154">
        <f t="shared" si="12"/>
        <v>0</v>
      </c>
      <c r="I70" s="154">
        <f t="shared" si="13"/>
        <v>0</v>
      </c>
      <c r="J70" s="154">
        <f t="shared" si="14"/>
        <v>115862500</v>
      </c>
      <c r="K70" s="154">
        <v>7000000</v>
      </c>
      <c r="L70" s="154">
        <v>11400000</v>
      </c>
      <c r="M70" s="154">
        <v>0</v>
      </c>
      <c r="N70" s="154">
        <v>0</v>
      </c>
      <c r="O70" s="154">
        <f t="shared" si="16"/>
        <v>11400000</v>
      </c>
      <c r="P70" s="154">
        <f t="shared" si="17"/>
        <v>10363636.363636363</v>
      </c>
      <c r="Q70" s="154">
        <f t="shared" si="18"/>
        <v>3363636.3636363633</v>
      </c>
      <c r="R70" s="154">
        <f t="shared" si="15"/>
        <v>34.445608108108111</v>
      </c>
    </row>
    <row r="71" spans="1:18" x14ac:dyDescent="0.3">
      <c r="A71" s="118">
        <v>68</v>
      </c>
      <c r="B71" s="266" t="s">
        <v>791</v>
      </c>
      <c r="C71" s="262">
        <v>40000000</v>
      </c>
      <c r="D71" s="262">
        <v>0</v>
      </c>
      <c r="E71" s="154">
        <v>0</v>
      </c>
      <c r="F71" s="154">
        <f t="shared" si="10"/>
        <v>300000</v>
      </c>
      <c r="G71" s="154">
        <f t="shared" si="11"/>
        <v>40300000</v>
      </c>
      <c r="H71" s="154">
        <f t="shared" si="12"/>
        <v>0</v>
      </c>
      <c r="I71" s="154">
        <f t="shared" si="13"/>
        <v>0</v>
      </c>
      <c r="J71" s="154">
        <f t="shared" si="14"/>
        <v>40300000</v>
      </c>
      <c r="K71" s="154">
        <v>4000000</v>
      </c>
      <c r="L71" s="95">
        <v>6400000</v>
      </c>
      <c r="M71" s="154">
        <v>0</v>
      </c>
      <c r="N71" s="154">
        <v>0</v>
      </c>
      <c r="O71" s="154">
        <f t="shared" si="16"/>
        <v>6400000</v>
      </c>
      <c r="P71" s="154">
        <f t="shared" si="17"/>
        <v>5818181.8181818174</v>
      </c>
      <c r="Q71" s="154">
        <f t="shared" si="18"/>
        <v>1818181.8181818174</v>
      </c>
      <c r="R71" s="154">
        <f t="shared" si="15"/>
        <v>22.16500000000001</v>
      </c>
    </row>
    <row r="72" spans="1:18" x14ac:dyDescent="0.3">
      <c r="A72" s="118">
        <v>69</v>
      </c>
      <c r="B72" s="266" t="s">
        <v>792</v>
      </c>
      <c r="C72" s="262">
        <v>40000000</v>
      </c>
      <c r="D72" s="262">
        <v>0</v>
      </c>
      <c r="E72" s="154">
        <v>0</v>
      </c>
      <c r="F72" s="154">
        <f t="shared" si="10"/>
        <v>300000</v>
      </c>
      <c r="G72" s="154">
        <f t="shared" si="11"/>
        <v>40300000</v>
      </c>
      <c r="H72" s="154">
        <f t="shared" si="12"/>
        <v>0</v>
      </c>
      <c r="I72" s="154">
        <f t="shared" si="13"/>
        <v>0</v>
      </c>
      <c r="J72" s="154">
        <f t="shared" si="14"/>
        <v>40300000</v>
      </c>
      <c r="K72" s="154">
        <v>4000000</v>
      </c>
      <c r="L72" s="95">
        <v>6400000</v>
      </c>
      <c r="M72" s="154">
        <v>0</v>
      </c>
      <c r="N72" s="154">
        <v>0</v>
      </c>
      <c r="O72" s="154">
        <f t="shared" si="16"/>
        <v>6400000</v>
      </c>
      <c r="P72" s="154">
        <f t="shared" si="17"/>
        <v>5818181.8181818174</v>
      </c>
      <c r="Q72" s="154">
        <f t="shared" si="18"/>
        <v>1818181.8181818174</v>
      </c>
      <c r="R72" s="154">
        <f t="shared" si="15"/>
        <v>22.16500000000001</v>
      </c>
    </row>
    <row r="73" spans="1:18" x14ac:dyDescent="0.3">
      <c r="A73" s="118">
        <v>70</v>
      </c>
      <c r="B73" s="261" t="s">
        <v>251</v>
      </c>
      <c r="C73" s="262">
        <v>201971209.00000003</v>
      </c>
      <c r="D73" s="262">
        <v>0</v>
      </c>
      <c r="E73" s="154">
        <v>0</v>
      </c>
      <c r="F73" s="154">
        <f t="shared" si="10"/>
        <v>1514784.0675000001</v>
      </c>
      <c r="G73" s="154">
        <f t="shared" si="11"/>
        <v>203485993.06750003</v>
      </c>
      <c r="H73" s="154">
        <f t="shared" si="12"/>
        <v>36000000</v>
      </c>
      <c r="I73" s="154">
        <f t="shared" si="13"/>
        <v>63000000</v>
      </c>
      <c r="J73" s="154">
        <f t="shared" si="14"/>
        <v>302485993.0675</v>
      </c>
      <c r="K73" s="154">
        <v>8300000</v>
      </c>
      <c r="L73" s="154">
        <f>11900000*0.7</f>
        <v>8329999.9999999991</v>
      </c>
      <c r="M73" s="154">
        <v>6600000</v>
      </c>
      <c r="N73" s="154">
        <v>7000000</v>
      </c>
      <c r="O73" s="154">
        <f t="shared" si="16"/>
        <v>21930000</v>
      </c>
      <c r="P73" s="154">
        <f t="shared" si="17"/>
        <v>19936363.636363633</v>
      </c>
      <c r="Q73" s="154">
        <f t="shared" si="18"/>
        <v>11636363.636363633</v>
      </c>
      <c r="R73" s="154">
        <f t="shared" si="15"/>
        <v>25.994890029238288</v>
      </c>
    </row>
    <row r="74" spans="1:18" x14ac:dyDescent="0.3">
      <c r="A74" s="118">
        <v>71</v>
      </c>
      <c r="B74" s="261" t="s">
        <v>803</v>
      </c>
      <c r="C74" s="262">
        <v>104301307.5</v>
      </c>
      <c r="D74" s="262">
        <v>0</v>
      </c>
      <c r="E74" s="154">
        <v>0</v>
      </c>
      <c r="F74" s="154">
        <f t="shared" si="10"/>
        <v>782259.80625000002</v>
      </c>
      <c r="G74" s="154">
        <f t="shared" si="11"/>
        <v>105083567.30625001</v>
      </c>
      <c r="H74" s="154">
        <f t="shared" si="12"/>
        <v>0</v>
      </c>
      <c r="I74" s="154">
        <f t="shared" si="13"/>
        <v>0</v>
      </c>
      <c r="J74" s="154">
        <f t="shared" si="14"/>
        <v>105083567.30625001</v>
      </c>
      <c r="K74" s="154">
        <v>5000000</v>
      </c>
      <c r="L74" s="154">
        <v>9300000</v>
      </c>
      <c r="M74" s="154">
        <v>0</v>
      </c>
      <c r="N74" s="154">
        <v>0</v>
      </c>
      <c r="O74" s="154">
        <f t="shared" si="16"/>
        <v>9300000</v>
      </c>
      <c r="P74" s="154">
        <f t="shared" si="17"/>
        <v>8454545.4545454532</v>
      </c>
      <c r="Q74" s="154">
        <f t="shared" si="18"/>
        <v>3454545.4545454532</v>
      </c>
      <c r="R74" s="154">
        <f t="shared" si="15"/>
        <v>30.418927378125012</v>
      </c>
    </row>
    <row r="75" spans="1:18" x14ac:dyDescent="0.3">
      <c r="A75" s="118">
        <v>72</v>
      </c>
      <c r="B75" s="261" t="s">
        <v>814</v>
      </c>
      <c r="C75" s="262">
        <v>8750000</v>
      </c>
      <c r="D75" s="262">
        <v>0</v>
      </c>
      <c r="E75" s="154">
        <v>0</v>
      </c>
      <c r="F75" s="154">
        <f t="shared" si="10"/>
        <v>65625</v>
      </c>
      <c r="G75" s="154">
        <f t="shared" si="11"/>
        <v>8815625</v>
      </c>
      <c r="H75" s="154">
        <f t="shared" si="12"/>
        <v>0</v>
      </c>
      <c r="I75" s="154">
        <f t="shared" si="13"/>
        <v>0</v>
      </c>
      <c r="J75" s="154">
        <f t="shared" si="14"/>
        <v>8815625</v>
      </c>
      <c r="K75" s="154">
        <v>0</v>
      </c>
      <c r="L75" s="154">
        <v>1500000</v>
      </c>
      <c r="M75" s="154">
        <v>0</v>
      </c>
      <c r="N75" s="154">
        <v>0</v>
      </c>
      <c r="O75" s="154">
        <f t="shared" si="16"/>
        <v>1500000</v>
      </c>
      <c r="P75" s="154">
        <f t="shared" si="17"/>
        <v>1363636.3636363635</v>
      </c>
      <c r="Q75" s="154">
        <f t="shared" si="18"/>
        <v>1363636.3636363635</v>
      </c>
      <c r="R75" s="154">
        <f t="shared" si="15"/>
        <v>6.4647916666666676</v>
      </c>
    </row>
    <row r="76" spans="1:18" x14ac:dyDescent="0.3">
      <c r="A76" s="118">
        <v>73</v>
      </c>
      <c r="B76" s="261" t="s">
        <v>815</v>
      </c>
      <c r="C76" s="262">
        <v>8750000</v>
      </c>
      <c r="D76" s="262">
        <v>0</v>
      </c>
      <c r="E76" s="154">
        <v>0</v>
      </c>
      <c r="F76" s="154">
        <f t="shared" si="10"/>
        <v>65625</v>
      </c>
      <c r="G76" s="154">
        <f t="shared" si="11"/>
        <v>8815625</v>
      </c>
      <c r="H76" s="154">
        <f t="shared" si="12"/>
        <v>0</v>
      </c>
      <c r="I76" s="154">
        <f t="shared" si="13"/>
        <v>0</v>
      </c>
      <c r="J76" s="154">
        <f t="shared" si="14"/>
        <v>8815625</v>
      </c>
      <c r="K76" s="154">
        <v>0</v>
      </c>
      <c r="L76" s="154">
        <v>1500000</v>
      </c>
      <c r="M76" s="154">
        <v>0</v>
      </c>
      <c r="N76" s="154">
        <v>0</v>
      </c>
      <c r="O76" s="154">
        <f t="shared" si="16"/>
        <v>1500000</v>
      </c>
      <c r="P76" s="154">
        <f t="shared" si="17"/>
        <v>1363636.3636363635</v>
      </c>
      <c r="Q76" s="154">
        <f t="shared" si="18"/>
        <v>1363636.3636363635</v>
      </c>
      <c r="R76" s="154">
        <f t="shared" si="15"/>
        <v>6.4647916666666676</v>
      </c>
    </row>
    <row r="77" spans="1:18" x14ac:dyDescent="0.3">
      <c r="A77" s="118">
        <v>74</v>
      </c>
      <c r="B77" s="261" t="s">
        <v>816</v>
      </c>
      <c r="C77" s="262">
        <v>8750000</v>
      </c>
      <c r="D77" s="262">
        <v>0</v>
      </c>
      <c r="E77" s="154">
        <v>0</v>
      </c>
      <c r="F77" s="154">
        <f t="shared" si="10"/>
        <v>65625</v>
      </c>
      <c r="G77" s="154">
        <f t="shared" si="11"/>
        <v>8815625</v>
      </c>
      <c r="H77" s="154">
        <f t="shared" si="12"/>
        <v>0</v>
      </c>
      <c r="I77" s="154">
        <f t="shared" si="13"/>
        <v>0</v>
      </c>
      <c r="J77" s="154">
        <f t="shared" si="14"/>
        <v>8815625</v>
      </c>
      <c r="K77" s="154">
        <v>0</v>
      </c>
      <c r="L77" s="154">
        <v>1500000</v>
      </c>
      <c r="M77" s="154">
        <v>0</v>
      </c>
      <c r="N77" s="154">
        <v>0</v>
      </c>
      <c r="O77" s="154">
        <f t="shared" si="16"/>
        <v>1500000</v>
      </c>
      <c r="P77" s="154">
        <f t="shared" si="17"/>
        <v>1363636.3636363635</v>
      </c>
      <c r="Q77" s="154">
        <f t="shared" si="18"/>
        <v>1363636.3636363635</v>
      </c>
      <c r="R77" s="154">
        <f t="shared" si="15"/>
        <v>6.4647916666666676</v>
      </c>
    </row>
    <row r="78" spans="1:18" x14ac:dyDescent="0.3">
      <c r="A78" s="118">
        <v>75</v>
      </c>
      <c r="B78" s="261" t="s">
        <v>817</v>
      </c>
      <c r="C78" s="262">
        <v>8750000</v>
      </c>
      <c r="D78" s="262">
        <v>0</v>
      </c>
      <c r="E78" s="154">
        <v>0</v>
      </c>
      <c r="F78" s="154">
        <f t="shared" si="10"/>
        <v>65625</v>
      </c>
      <c r="G78" s="154">
        <f t="shared" si="11"/>
        <v>8815625</v>
      </c>
      <c r="H78" s="154">
        <f t="shared" si="12"/>
        <v>0</v>
      </c>
      <c r="I78" s="154">
        <f t="shared" si="13"/>
        <v>0</v>
      </c>
      <c r="J78" s="154">
        <f t="shared" si="14"/>
        <v>8815625</v>
      </c>
      <c r="K78" s="154">
        <v>0</v>
      </c>
      <c r="L78" s="154">
        <v>1500000</v>
      </c>
      <c r="M78" s="154">
        <v>0</v>
      </c>
      <c r="N78" s="154">
        <v>0</v>
      </c>
      <c r="O78" s="154">
        <f t="shared" si="16"/>
        <v>1500000</v>
      </c>
      <c r="P78" s="154">
        <f t="shared" si="17"/>
        <v>1363636.3636363635</v>
      </c>
      <c r="Q78" s="154">
        <f t="shared" si="18"/>
        <v>1363636.3636363635</v>
      </c>
      <c r="R78" s="154">
        <f t="shared" si="15"/>
        <v>6.4647916666666676</v>
      </c>
    </row>
    <row r="79" spans="1:18" x14ac:dyDescent="0.3">
      <c r="A79" s="118">
        <v>76</v>
      </c>
      <c r="B79" s="261" t="s">
        <v>818</v>
      </c>
      <c r="C79" s="262">
        <v>8750000</v>
      </c>
      <c r="D79" s="262">
        <v>0</v>
      </c>
      <c r="E79" s="154">
        <v>0</v>
      </c>
      <c r="F79" s="154">
        <f t="shared" si="10"/>
        <v>65625</v>
      </c>
      <c r="G79" s="154">
        <f t="shared" si="11"/>
        <v>8815625</v>
      </c>
      <c r="H79" s="154">
        <f t="shared" si="12"/>
        <v>0</v>
      </c>
      <c r="I79" s="154">
        <f t="shared" si="13"/>
        <v>0</v>
      </c>
      <c r="J79" s="154">
        <f t="shared" si="14"/>
        <v>8815625</v>
      </c>
      <c r="K79" s="154">
        <v>0</v>
      </c>
      <c r="L79" s="154">
        <v>1500000</v>
      </c>
      <c r="M79" s="154">
        <v>0</v>
      </c>
      <c r="N79" s="154">
        <v>0</v>
      </c>
      <c r="O79" s="154">
        <f t="shared" si="16"/>
        <v>1500000</v>
      </c>
      <c r="P79" s="154">
        <f t="shared" si="17"/>
        <v>1363636.3636363635</v>
      </c>
      <c r="Q79" s="154">
        <f t="shared" si="18"/>
        <v>1363636.3636363635</v>
      </c>
      <c r="R79" s="154">
        <f t="shared" si="15"/>
        <v>6.4647916666666676</v>
      </c>
    </row>
    <row r="80" spans="1:18" x14ac:dyDescent="0.3">
      <c r="A80" s="118">
        <v>77</v>
      </c>
      <c r="B80" s="261" t="s">
        <v>819</v>
      </c>
      <c r="C80" s="262">
        <v>8750000</v>
      </c>
      <c r="D80" s="262">
        <v>0</v>
      </c>
      <c r="E80" s="154">
        <v>0</v>
      </c>
      <c r="F80" s="154">
        <f t="shared" si="10"/>
        <v>65625</v>
      </c>
      <c r="G80" s="154">
        <f t="shared" si="11"/>
        <v>8815625</v>
      </c>
      <c r="H80" s="154">
        <f t="shared" si="12"/>
        <v>0</v>
      </c>
      <c r="I80" s="154">
        <f t="shared" si="13"/>
        <v>0</v>
      </c>
      <c r="J80" s="154">
        <f t="shared" si="14"/>
        <v>8815625</v>
      </c>
      <c r="K80" s="154">
        <v>0</v>
      </c>
      <c r="L80" s="154">
        <v>1500000</v>
      </c>
      <c r="M80" s="154">
        <v>0</v>
      </c>
      <c r="N80" s="154">
        <v>0</v>
      </c>
      <c r="O80" s="154">
        <f t="shared" si="16"/>
        <v>1500000</v>
      </c>
      <c r="P80" s="154">
        <f t="shared" si="17"/>
        <v>1363636.3636363635</v>
      </c>
      <c r="Q80" s="154">
        <f t="shared" si="18"/>
        <v>1363636.3636363635</v>
      </c>
      <c r="R80" s="154">
        <f t="shared" si="15"/>
        <v>6.4647916666666676</v>
      </c>
    </row>
    <row r="81" spans="1:18" x14ac:dyDescent="0.3">
      <c r="A81" s="118">
        <v>78</v>
      </c>
      <c r="B81" s="261" t="s">
        <v>820</v>
      </c>
      <c r="C81" s="262">
        <v>8750000</v>
      </c>
      <c r="D81" s="262">
        <v>0</v>
      </c>
      <c r="E81" s="154">
        <v>0</v>
      </c>
      <c r="F81" s="154">
        <f t="shared" si="10"/>
        <v>65625</v>
      </c>
      <c r="G81" s="154">
        <f t="shared" si="11"/>
        <v>8815625</v>
      </c>
      <c r="H81" s="154">
        <f t="shared" si="12"/>
        <v>0</v>
      </c>
      <c r="I81" s="154">
        <f t="shared" si="13"/>
        <v>0</v>
      </c>
      <c r="J81" s="154">
        <f t="shared" si="14"/>
        <v>8815625</v>
      </c>
      <c r="K81" s="154">
        <v>0</v>
      </c>
      <c r="L81" s="154">
        <v>1500000</v>
      </c>
      <c r="M81" s="154">
        <v>0</v>
      </c>
      <c r="N81" s="154">
        <v>0</v>
      </c>
      <c r="O81" s="154">
        <f t="shared" si="16"/>
        <v>1500000</v>
      </c>
      <c r="P81" s="154">
        <f t="shared" si="17"/>
        <v>1363636.3636363635</v>
      </c>
      <c r="Q81" s="154">
        <f t="shared" si="18"/>
        <v>1363636.3636363635</v>
      </c>
      <c r="R81" s="154">
        <f t="shared" si="15"/>
        <v>6.4647916666666676</v>
      </c>
    </row>
    <row r="82" spans="1:18" x14ac:dyDescent="0.3">
      <c r="A82" s="118">
        <v>79</v>
      </c>
      <c r="B82" s="261" t="s">
        <v>821</v>
      </c>
      <c r="C82" s="262">
        <v>8750000</v>
      </c>
      <c r="D82" s="262">
        <v>0</v>
      </c>
      <c r="E82" s="154">
        <v>0</v>
      </c>
      <c r="F82" s="154">
        <f t="shared" si="10"/>
        <v>65625</v>
      </c>
      <c r="G82" s="154">
        <f t="shared" si="11"/>
        <v>8815625</v>
      </c>
      <c r="H82" s="154">
        <f t="shared" si="12"/>
        <v>0</v>
      </c>
      <c r="I82" s="154">
        <f t="shared" si="13"/>
        <v>0</v>
      </c>
      <c r="J82" s="154">
        <f t="shared" si="14"/>
        <v>8815625</v>
      </c>
      <c r="K82" s="154">
        <v>0</v>
      </c>
      <c r="L82" s="154">
        <v>1500000</v>
      </c>
      <c r="M82" s="154">
        <v>0</v>
      </c>
      <c r="N82" s="154">
        <v>0</v>
      </c>
      <c r="O82" s="154">
        <f t="shared" si="16"/>
        <v>1500000</v>
      </c>
      <c r="P82" s="154">
        <f t="shared" si="17"/>
        <v>1363636.3636363635</v>
      </c>
      <c r="Q82" s="154">
        <f t="shared" si="18"/>
        <v>1363636.3636363635</v>
      </c>
      <c r="R82" s="154">
        <f t="shared" si="15"/>
        <v>6.4647916666666676</v>
      </c>
    </row>
    <row r="83" spans="1:18" x14ac:dyDescent="0.3">
      <c r="A83" s="118">
        <v>80</v>
      </c>
      <c r="B83" s="261" t="s">
        <v>822</v>
      </c>
      <c r="C83" s="262">
        <v>10000000</v>
      </c>
      <c r="D83" s="262">
        <v>0</v>
      </c>
      <c r="E83" s="154">
        <v>0</v>
      </c>
      <c r="F83" s="154">
        <f t="shared" si="10"/>
        <v>75000</v>
      </c>
      <c r="G83" s="154">
        <f t="shared" si="11"/>
        <v>10075000</v>
      </c>
      <c r="H83" s="154">
        <f t="shared" si="12"/>
        <v>0</v>
      </c>
      <c r="I83" s="154">
        <f t="shared" si="13"/>
        <v>0</v>
      </c>
      <c r="J83" s="154">
        <f t="shared" si="14"/>
        <v>10075000</v>
      </c>
      <c r="K83" s="154">
        <v>250000</v>
      </c>
      <c r="L83" s="154">
        <v>2200000</v>
      </c>
      <c r="M83" s="154">
        <v>0</v>
      </c>
      <c r="N83" s="154">
        <v>0</v>
      </c>
      <c r="O83" s="154">
        <f t="shared" si="16"/>
        <v>2200000</v>
      </c>
      <c r="P83" s="154">
        <f t="shared" si="17"/>
        <v>1999999.9999999998</v>
      </c>
      <c r="Q83" s="154">
        <f t="shared" si="18"/>
        <v>1749999.9999999998</v>
      </c>
      <c r="R83" s="154">
        <f t="shared" si="15"/>
        <v>5.757142857142858</v>
      </c>
    </row>
    <row r="84" spans="1:18" x14ac:dyDescent="0.3">
      <c r="A84" s="118">
        <v>81</v>
      </c>
      <c r="B84" s="261" t="s">
        <v>823</v>
      </c>
      <c r="C84" s="262">
        <v>10000000</v>
      </c>
      <c r="D84" s="262">
        <v>0</v>
      </c>
      <c r="E84" s="154">
        <v>0</v>
      </c>
      <c r="F84" s="154">
        <f t="shared" si="10"/>
        <v>75000</v>
      </c>
      <c r="G84" s="154">
        <f t="shared" si="11"/>
        <v>10075000</v>
      </c>
      <c r="H84" s="154">
        <f t="shared" si="12"/>
        <v>0</v>
      </c>
      <c r="I84" s="154">
        <f t="shared" si="13"/>
        <v>0</v>
      </c>
      <c r="J84" s="154">
        <f t="shared" si="14"/>
        <v>10075000</v>
      </c>
      <c r="K84" s="154">
        <v>250000</v>
      </c>
      <c r="L84" s="154">
        <v>2200000</v>
      </c>
      <c r="M84" s="154">
        <v>0</v>
      </c>
      <c r="N84" s="154">
        <v>0</v>
      </c>
      <c r="O84" s="154">
        <f t="shared" si="16"/>
        <v>2200000</v>
      </c>
      <c r="P84" s="154">
        <f t="shared" si="17"/>
        <v>1999999.9999999998</v>
      </c>
      <c r="Q84" s="154">
        <f t="shared" si="18"/>
        <v>1749999.9999999998</v>
      </c>
      <c r="R84" s="154">
        <f t="shared" si="15"/>
        <v>5.757142857142858</v>
      </c>
    </row>
    <row r="85" spans="1:18" x14ac:dyDescent="0.3">
      <c r="A85" s="118">
        <v>82</v>
      </c>
      <c r="B85" s="261" t="s">
        <v>824</v>
      </c>
      <c r="C85" s="262">
        <v>10000000</v>
      </c>
      <c r="D85" s="262">
        <v>0</v>
      </c>
      <c r="E85" s="154">
        <v>0</v>
      </c>
      <c r="F85" s="154">
        <f t="shared" si="10"/>
        <v>75000</v>
      </c>
      <c r="G85" s="154">
        <f t="shared" si="11"/>
        <v>10075000</v>
      </c>
      <c r="H85" s="154">
        <f t="shared" si="12"/>
        <v>0</v>
      </c>
      <c r="I85" s="154">
        <f t="shared" si="13"/>
        <v>0</v>
      </c>
      <c r="J85" s="154">
        <f t="shared" si="14"/>
        <v>10075000</v>
      </c>
      <c r="K85" s="154">
        <v>250000</v>
      </c>
      <c r="L85" s="154">
        <v>2200000</v>
      </c>
      <c r="M85" s="154">
        <v>0</v>
      </c>
      <c r="N85" s="154">
        <v>0</v>
      </c>
      <c r="O85" s="154">
        <f t="shared" si="16"/>
        <v>2200000</v>
      </c>
      <c r="P85" s="154">
        <f t="shared" si="17"/>
        <v>1999999.9999999998</v>
      </c>
      <c r="Q85" s="154">
        <f t="shared" si="18"/>
        <v>1749999.9999999998</v>
      </c>
      <c r="R85" s="154">
        <f t="shared" si="15"/>
        <v>5.757142857142858</v>
      </c>
    </row>
    <row r="86" spans="1:18" x14ac:dyDescent="0.3">
      <c r="A86" s="118">
        <v>83</v>
      </c>
      <c r="B86" s="261" t="s">
        <v>825</v>
      </c>
      <c r="C86" s="262">
        <v>10000000</v>
      </c>
      <c r="D86" s="262">
        <v>0</v>
      </c>
      <c r="E86" s="154">
        <v>0</v>
      </c>
      <c r="F86" s="154">
        <f t="shared" si="10"/>
        <v>75000</v>
      </c>
      <c r="G86" s="154">
        <f t="shared" si="11"/>
        <v>10075000</v>
      </c>
      <c r="H86" s="154">
        <f t="shared" si="12"/>
        <v>0</v>
      </c>
      <c r="I86" s="154">
        <f t="shared" si="13"/>
        <v>0</v>
      </c>
      <c r="J86" s="154">
        <f t="shared" si="14"/>
        <v>10075000</v>
      </c>
      <c r="K86" s="154">
        <v>250000</v>
      </c>
      <c r="L86" s="154">
        <v>2200000</v>
      </c>
      <c r="M86" s="154">
        <v>0</v>
      </c>
      <c r="N86" s="154">
        <v>0</v>
      </c>
      <c r="O86" s="154">
        <f t="shared" si="16"/>
        <v>2200000</v>
      </c>
      <c r="P86" s="154">
        <f t="shared" si="17"/>
        <v>1999999.9999999998</v>
      </c>
      <c r="Q86" s="154">
        <f t="shared" si="18"/>
        <v>1749999.9999999998</v>
      </c>
      <c r="R86" s="154">
        <f t="shared" si="15"/>
        <v>5.757142857142858</v>
      </c>
    </row>
    <row r="87" spans="1:18" x14ac:dyDescent="0.3">
      <c r="A87" s="118">
        <v>84</v>
      </c>
      <c r="B87" s="261" t="s">
        <v>831</v>
      </c>
      <c r="C87" s="262">
        <v>108495654.625</v>
      </c>
      <c r="D87" s="262">
        <v>0</v>
      </c>
      <c r="E87" s="154">
        <v>0</v>
      </c>
      <c r="F87" s="154">
        <f t="shared" si="10"/>
        <v>813717.40968749998</v>
      </c>
      <c r="G87" s="154">
        <f t="shared" si="11"/>
        <v>109309372.0346875</v>
      </c>
      <c r="H87" s="154">
        <f t="shared" si="12"/>
        <v>0</v>
      </c>
      <c r="I87" s="154">
        <f t="shared" si="13"/>
        <v>0</v>
      </c>
      <c r="J87" s="154">
        <f t="shared" si="14"/>
        <v>109309372.0346875</v>
      </c>
      <c r="K87" s="154">
        <v>5000000</v>
      </c>
      <c r="L87" s="154">
        <v>9100000</v>
      </c>
      <c r="M87" s="154">
        <v>0</v>
      </c>
      <c r="N87" s="154">
        <v>0</v>
      </c>
      <c r="O87" s="154">
        <f t="shared" si="16"/>
        <v>9100000</v>
      </c>
      <c r="P87" s="154">
        <f t="shared" si="17"/>
        <v>8272727.2727272725</v>
      </c>
      <c r="Q87" s="154">
        <f t="shared" si="18"/>
        <v>3272727.2727272725</v>
      </c>
      <c r="R87" s="154">
        <f t="shared" si="15"/>
        <v>33.400085899487848</v>
      </c>
    </row>
    <row r="88" spans="1:18" x14ac:dyDescent="0.3">
      <c r="A88" s="118">
        <v>85</v>
      </c>
      <c r="B88" s="261" t="s">
        <v>833</v>
      </c>
      <c r="C88" s="262">
        <v>81125117.5</v>
      </c>
      <c r="D88" s="262">
        <v>0</v>
      </c>
      <c r="E88" s="154">
        <v>0</v>
      </c>
      <c r="F88" s="154">
        <f t="shared" si="10"/>
        <v>608438.38124999998</v>
      </c>
      <c r="G88" s="154">
        <f t="shared" si="11"/>
        <v>81733555.881249994</v>
      </c>
      <c r="H88" s="154">
        <f t="shared" si="12"/>
        <v>0</v>
      </c>
      <c r="I88" s="154">
        <f t="shared" si="13"/>
        <v>0</v>
      </c>
      <c r="J88" s="154">
        <f t="shared" si="14"/>
        <v>81733555.881249994</v>
      </c>
      <c r="K88" s="154">
        <v>5000000</v>
      </c>
      <c r="L88" s="154">
        <v>9900000</v>
      </c>
      <c r="M88" s="154">
        <v>0</v>
      </c>
      <c r="N88" s="154">
        <v>0</v>
      </c>
      <c r="O88" s="154">
        <f t="shared" si="16"/>
        <v>9900000</v>
      </c>
      <c r="P88" s="154">
        <f t="shared" si="17"/>
        <v>9000000</v>
      </c>
      <c r="Q88" s="154">
        <f t="shared" si="18"/>
        <v>4000000</v>
      </c>
      <c r="R88" s="154">
        <f t="shared" si="15"/>
        <v>20.4333889703125</v>
      </c>
    </row>
    <row r="89" spans="1:18" x14ac:dyDescent="0.3">
      <c r="A89" s="118">
        <v>86</v>
      </c>
      <c r="B89" s="261" t="s">
        <v>835</v>
      </c>
      <c r="C89" s="262">
        <v>43669980</v>
      </c>
      <c r="D89" s="262">
        <v>0</v>
      </c>
      <c r="E89" s="154">
        <v>0</v>
      </c>
      <c r="F89" s="154">
        <f t="shared" si="10"/>
        <v>327524.84999999998</v>
      </c>
      <c r="G89" s="154">
        <f t="shared" si="11"/>
        <v>43997504.850000001</v>
      </c>
      <c r="H89" s="154">
        <f t="shared" si="12"/>
        <v>0</v>
      </c>
      <c r="I89" s="154">
        <f t="shared" si="13"/>
        <v>0</v>
      </c>
      <c r="J89" s="154">
        <f t="shared" si="14"/>
        <v>43997504.850000001</v>
      </c>
      <c r="K89" s="154">
        <v>4000000</v>
      </c>
      <c r="L89" s="154">
        <v>6250000</v>
      </c>
      <c r="M89" s="154">
        <v>0</v>
      </c>
      <c r="N89" s="154">
        <v>0</v>
      </c>
      <c r="O89" s="154">
        <f t="shared" si="16"/>
        <v>6250000</v>
      </c>
      <c r="P89" s="154">
        <f t="shared" si="17"/>
        <v>5681818.1818181816</v>
      </c>
      <c r="Q89" s="154">
        <f t="shared" si="18"/>
        <v>1681818.1818181816</v>
      </c>
      <c r="R89" s="154">
        <f t="shared" si="15"/>
        <v>26.160678559459463</v>
      </c>
    </row>
    <row r="90" spans="1:18" ht="28.8" x14ac:dyDescent="0.3">
      <c r="A90" s="118">
        <v>87</v>
      </c>
      <c r="B90" s="261" t="s">
        <v>972</v>
      </c>
      <c r="C90" s="262">
        <v>48646730</v>
      </c>
      <c r="D90" s="262">
        <v>0</v>
      </c>
      <c r="E90" s="154">
        <v>0</v>
      </c>
      <c r="F90" s="154">
        <f t="shared" si="10"/>
        <v>364850.47499999992</v>
      </c>
      <c r="G90" s="154">
        <f t="shared" si="11"/>
        <v>49011580.475000001</v>
      </c>
      <c r="H90" s="154">
        <f t="shared" si="12"/>
        <v>0</v>
      </c>
      <c r="I90" s="154">
        <f t="shared" si="13"/>
        <v>0</v>
      </c>
      <c r="J90" s="154">
        <f t="shared" si="14"/>
        <v>49011580.475000001</v>
      </c>
      <c r="K90" s="154">
        <v>4000000</v>
      </c>
      <c r="L90" s="154">
        <v>6400000</v>
      </c>
      <c r="M90" s="154">
        <v>0</v>
      </c>
      <c r="N90" s="154">
        <v>0</v>
      </c>
      <c r="O90" s="154">
        <f t="shared" si="16"/>
        <v>6400000</v>
      </c>
      <c r="P90" s="154">
        <f t="shared" si="17"/>
        <v>5818181.8181818174</v>
      </c>
      <c r="Q90" s="154">
        <f t="shared" si="18"/>
        <v>1818181.8181818174</v>
      </c>
      <c r="R90" s="154">
        <f t="shared" si="15"/>
        <v>26.956369261250011</v>
      </c>
    </row>
    <row r="91" spans="1:18" x14ac:dyDescent="0.3">
      <c r="A91" s="118">
        <v>88</v>
      </c>
      <c r="B91" s="261" t="s">
        <v>808</v>
      </c>
      <c r="C91" s="262">
        <f>439479545.0825+80000000</f>
        <v>519479545.08249998</v>
      </c>
      <c r="D91" s="262">
        <v>0</v>
      </c>
      <c r="E91" s="154">
        <v>0</v>
      </c>
      <c r="F91" s="154">
        <f t="shared" si="10"/>
        <v>3896096.5881187492</v>
      </c>
      <c r="G91" s="154">
        <f t="shared" si="11"/>
        <v>523375641.67061871</v>
      </c>
      <c r="H91" s="154">
        <f t="shared" si="12"/>
        <v>0</v>
      </c>
      <c r="I91" s="154">
        <f t="shared" si="13"/>
        <v>0</v>
      </c>
      <c r="J91" s="154">
        <f t="shared" si="14"/>
        <v>523375641.67061871</v>
      </c>
      <c r="K91" s="154">
        <v>3000000</v>
      </c>
      <c r="L91" s="154">
        <v>13400000</v>
      </c>
      <c r="M91" s="154">
        <v>0</v>
      </c>
      <c r="N91" s="154">
        <v>0</v>
      </c>
      <c r="O91" s="154">
        <f t="shared" si="16"/>
        <v>13400000</v>
      </c>
      <c r="P91" s="154">
        <f t="shared" si="17"/>
        <v>12181818.181818182</v>
      </c>
      <c r="Q91" s="154">
        <f t="shared" si="18"/>
        <v>9181818.1818181816</v>
      </c>
      <c r="R91" s="154">
        <f t="shared" si="15"/>
        <v>57.001307508681244</v>
      </c>
    </row>
    <row r="92" spans="1:18" x14ac:dyDescent="0.3">
      <c r="A92" s="118">
        <v>89</v>
      </c>
      <c r="B92" s="261" t="s">
        <v>834</v>
      </c>
      <c r="C92" s="262">
        <v>54733838</v>
      </c>
      <c r="D92" s="262">
        <v>0</v>
      </c>
      <c r="E92" s="154">
        <v>0</v>
      </c>
      <c r="F92" s="154">
        <f t="shared" si="10"/>
        <v>410503.78499999997</v>
      </c>
      <c r="G92" s="154">
        <f t="shared" si="11"/>
        <v>55144341.784999996</v>
      </c>
      <c r="H92" s="154">
        <f t="shared" si="12"/>
        <v>0</v>
      </c>
      <c r="I92" s="154">
        <f t="shared" si="13"/>
        <v>0</v>
      </c>
      <c r="J92" s="154">
        <f t="shared" si="14"/>
        <v>55144341.784999996</v>
      </c>
      <c r="K92" s="154">
        <v>5000000</v>
      </c>
      <c r="L92" s="154">
        <v>6800000</v>
      </c>
      <c r="M92" s="154">
        <v>0</v>
      </c>
      <c r="N92" s="154">
        <v>0</v>
      </c>
      <c r="O92" s="154">
        <f t="shared" si="16"/>
        <v>6800000</v>
      </c>
      <c r="P92" s="154">
        <f t="shared" si="17"/>
        <v>6181818.1818181816</v>
      </c>
      <c r="Q92" s="154">
        <f t="shared" si="18"/>
        <v>1181818.1818181816</v>
      </c>
      <c r="R92" s="154">
        <f t="shared" si="15"/>
        <v>46.660596895000005</v>
      </c>
    </row>
  </sheetData>
  <autoFilter ref="A3:R92" xr:uid="{C1A7473D-E32A-44E5-920F-F56996F673C9}"/>
  <conditionalFormatting sqref="B1:B92">
    <cfRule type="duplicateValues" dxfId="0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"/>
  <sheetViews>
    <sheetView workbookViewId="0">
      <selection activeCell="D13" sqref="D13"/>
    </sheetView>
  </sheetViews>
  <sheetFormatPr defaultRowHeight="14.4" x14ac:dyDescent="0.3"/>
  <cols>
    <col min="1" max="1" width="5.77734375" customWidth="1"/>
    <col min="2" max="2" width="62.21875" style="37" customWidth="1"/>
    <col min="3" max="3" width="18.21875" style="47" customWidth="1"/>
    <col min="4" max="4" width="14" bestFit="1" customWidth="1"/>
    <col min="5" max="5" width="30" bestFit="1" customWidth="1"/>
    <col min="6" max="6" width="18.44140625" customWidth="1"/>
  </cols>
  <sheetData>
    <row r="1" spans="1:6" ht="15.6" x14ac:dyDescent="0.3">
      <c r="A1" s="126" t="s">
        <v>24</v>
      </c>
      <c r="B1" s="128" t="s">
        <v>172</v>
      </c>
      <c r="C1" s="127" t="s">
        <v>515</v>
      </c>
      <c r="D1" s="126" t="s">
        <v>514</v>
      </c>
      <c r="E1" s="132" t="s">
        <v>519</v>
      </c>
      <c r="F1" s="130" t="s">
        <v>517</v>
      </c>
    </row>
    <row r="2" spans="1:6" ht="15.6" x14ac:dyDescent="0.3">
      <c r="A2" s="126">
        <v>1</v>
      </c>
      <c r="B2" s="128" t="s">
        <v>522</v>
      </c>
      <c r="C2" s="127">
        <v>476400000</v>
      </c>
      <c r="D2" s="127"/>
      <c r="E2" s="126"/>
      <c r="F2" s="125"/>
    </row>
    <row r="3" spans="1:6" ht="15.6" x14ac:dyDescent="0.3">
      <c r="A3" s="126">
        <v>2</v>
      </c>
      <c r="B3" s="128" t="s">
        <v>521</v>
      </c>
      <c r="C3" s="127">
        <v>86066062</v>
      </c>
      <c r="D3" s="127"/>
      <c r="E3" s="126"/>
      <c r="F3" s="125"/>
    </row>
    <row r="4" spans="1:6" ht="15.6" x14ac:dyDescent="0.3">
      <c r="A4" s="126">
        <v>3</v>
      </c>
      <c r="B4" s="128" t="s">
        <v>520</v>
      </c>
      <c r="C4" s="127"/>
      <c r="D4" s="127">
        <v>209450000</v>
      </c>
      <c r="E4" s="126"/>
      <c r="F4" s="125"/>
    </row>
    <row r="5" spans="1:6" ht="15.6" x14ac:dyDescent="0.3">
      <c r="A5" s="126">
        <v>4</v>
      </c>
      <c r="B5" s="128" t="s">
        <v>523</v>
      </c>
      <c r="C5" s="127"/>
      <c r="D5" s="127">
        <v>15000000</v>
      </c>
      <c r="E5" s="126"/>
      <c r="F5" s="125"/>
    </row>
    <row r="6" spans="1:6" ht="15.6" x14ac:dyDescent="0.3">
      <c r="A6" s="126">
        <v>5</v>
      </c>
      <c r="B6" s="128" t="s">
        <v>524</v>
      </c>
      <c r="C6" s="127"/>
      <c r="D6" s="127">
        <v>6000000</v>
      </c>
      <c r="E6" s="126"/>
      <c r="F6" s="125"/>
    </row>
    <row r="7" spans="1:6" ht="31.2" x14ac:dyDescent="0.3">
      <c r="A7" s="126">
        <v>6</v>
      </c>
      <c r="B7" s="128" t="s">
        <v>516</v>
      </c>
      <c r="C7" s="127"/>
      <c r="D7" s="127">
        <v>17500000</v>
      </c>
      <c r="E7" s="126"/>
      <c r="F7" s="125"/>
    </row>
    <row r="8" spans="1:6" ht="15.6" x14ac:dyDescent="0.3">
      <c r="A8" s="126">
        <v>7</v>
      </c>
      <c r="B8" s="128" t="s">
        <v>525</v>
      </c>
      <c r="C8" s="127"/>
      <c r="D8" s="127">
        <v>700000000</v>
      </c>
      <c r="E8" s="126"/>
      <c r="F8" s="125"/>
    </row>
    <row r="9" spans="1:6" ht="15.6" x14ac:dyDescent="0.3">
      <c r="A9" s="126">
        <v>8</v>
      </c>
      <c r="B9" s="128" t="s">
        <v>518</v>
      </c>
      <c r="C9" s="127">
        <v>67650000</v>
      </c>
      <c r="D9" s="127"/>
      <c r="E9" s="126"/>
      <c r="F9" s="125"/>
    </row>
    <row r="10" spans="1:6" ht="15.6" x14ac:dyDescent="0.3">
      <c r="A10" s="126">
        <v>9</v>
      </c>
      <c r="B10" s="128" t="s">
        <v>526</v>
      </c>
      <c r="C10" s="127">
        <v>33000000</v>
      </c>
      <c r="D10" s="127"/>
      <c r="E10" s="126"/>
      <c r="F10" s="125"/>
    </row>
    <row r="11" spans="1:6" ht="15.6" x14ac:dyDescent="0.3">
      <c r="A11" s="126">
        <v>8</v>
      </c>
      <c r="B11" s="128"/>
      <c r="C11" s="127">
        <f>SUBTOTAL(9,C2:C10)</f>
        <v>663116062</v>
      </c>
      <c r="D11" s="127">
        <f>SUBTOTAL(9,D2:D10)</f>
        <v>947950000</v>
      </c>
      <c r="E11" s="129">
        <f>C11-D11</f>
        <v>-284833938</v>
      </c>
      <c r="F11" s="131">
        <f>E11/3</f>
        <v>-94944646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"/>
  <sheetViews>
    <sheetView workbookViewId="0">
      <selection activeCell="B13" sqref="B13"/>
    </sheetView>
  </sheetViews>
  <sheetFormatPr defaultRowHeight="14.4" x14ac:dyDescent="0.3"/>
  <cols>
    <col min="1" max="1" width="5.77734375" customWidth="1"/>
    <col min="2" max="2" width="62.21875" customWidth="1"/>
    <col min="3" max="3" width="18.21875" customWidth="1"/>
    <col min="4" max="4" width="14" bestFit="1" customWidth="1"/>
    <col min="5" max="5" width="30" bestFit="1" customWidth="1"/>
    <col min="6" max="6" width="18.44140625" hidden="1" customWidth="1"/>
  </cols>
  <sheetData>
    <row r="1" spans="1:6" ht="15.6" x14ac:dyDescent="0.3">
      <c r="A1" s="126" t="s">
        <v>24</v>
      </c>
      <c r="B1" s="128" t="s">
        <v>172</v>
      </c>
      <c r="C1" s="127" t="s">
        <v>515</v>
      </c>
      <c r="D1" s="126" t="s">
        <v>514</v>
      </c>
      <c r="E1" s="132" t="s">
        <v>534</v>
      </c>
      <c r="F1" s="130" t="s">
        <v>517</v>
      </c>
    </row>
    <row r="2" spans="1:6" ht="15.6" x14ac:dyDescent="0.3">
      <c r="A2" s="126">
        <v>1</v>
      </c>
      <c r="B2" s="128" t="s">
        <v>528</v>
      </c>
      <c r="C2" s="127">
        <v>136200000</v>
      </c>
      <c r="D2" s="127"/>
      <c r="E2" s="126"/>
      <c r="F2" s="125"/>
    </row>
    <row r="3" spans="1:6" ht="15.6" x14ac:dyDescent="0.3">
      <c r="A3" s="126">
        <v>2</v>
      </c>
      <c r="B3" s="128" t="s">
        <v>529</v>
      </c>
      <c r="C3" s="127">
        <v>21016240</v>
      </c>
      <c r="D3" s="127"/>
      <c r="E3" s="126"/>
      <c r="F3" s="125"/>
    </row>
    <row r="4" spans="1:6" ht="15.6" x14ac:dyDescent="0.3">
      <c r="A4" s="126">
        <v>3</v>
      </c>
      <c r="B4" s="128" t="s">
        <v>531</v>
      </c>
      <c r="C4" s="127"/>
      <c r="D4" s="127">
        <v>167250000</v>
      </c>
      <c r="E4" s="126"/>
      <c r="F4" s="125"/>
    </row>
    <row r="5" spans="1:6" ht="15.6" x14ac:dyDescent="0.3">
      <c r="A5" s="126">
        <v>4</v>
      </c>
      <c r="B5" s="128" t="s">
        <v>523</v>
      </c>
      <c r="C5" s="127"/>
      <c r="D5" s="127">
        <v>15000000</v>
      </c>
      <c r="E5" s="126"/>
      <c r="F5" s="125"/>
    </row>
    <row r="6" spans="1:6" ht="15.6" x14ac:dyDescent="0.3">
      <c r="A6" s="126">
        <v>5</v>
      </c>
      <c r="B6" s="128" t="s">
        <v>532</v>
      </c>
      <c r="C6" s="127"/>
      <c r="D6" s="127">
        <v>6000000</v>
      </c>
      <c r="E6" s="126"/>
      <c r="F6" s="125"/>
    </row>
    <row r="7" spans="1:6" ht="31.2" x14ac:dyDescent="0.3">
      <c r="A7" s="126">
        <v>6</v>
      </c>
      <c r="B7" s="128" t="s">
        <v>533</v>
      </c>
      <c r="C7" s="127"/>
      <c r="D7" s="127">
        <f>3500000*6</f>
        <v>21000000</v>
      </c>
      <c r="E7" s="126"/>
      <c r="F7" s="125"/>
    </row>
    <row r="8" spans="1:6" ht="15.6" x14ac:dyDescent="0.3">
      <c r="A8" s="126">
        <v>7</v>
      </c>
      <c r="B8" s="128" t="s">
        <v>530</v>
      </c>
      <c r="C8" s="127"/>
      <c r="D8" s="127">
        <v>0</v>
      </c>
      <c r="E8" s="126"/>
      <c r="F8" s="125"/>
    </row>
    <row r="9" spans="1:6" ht="15.6" x14ac:dyDescent="0.3">
      <c r="A9" s="126">
        <v>8</v>
      </c>
      <c r="B9" s="128" t="s">
        <v>518</v>
      </c>
      <c r="C9" s="127">
        <v>67650000</v>
      </c>
      <c r="D9" s="127"/>
      <c r="E9" s="126"/>
      <c r="F9" s="125"/>
    </row>
    <row r="10" spans="1:6" ht="15.6" x14ac:dyDescent="0.3">
      <c r="A10" s="126">
        <v>9</v>
      </c>
      <c r="B10" s="128" t="s">
        <v>526</v>
      </c>
      <c r="C10" s="127">
        <v>33000000</v>
      </c>
      <c r="D10" s="127"/>
      <c r="E10" s="126"/>
      <c r="F10" s="125"/>
    </row>
    <row r="11" spans="1:6" ht="15.6" x14ac:dyDescent="0.3">
      <c r="A11" s="126">
        <v>8</v>
      </c>
      <c r="B11" s="128"/>
      <c r="C11" s="127">
        <f>SUBTOTAL(9,C2:C10)</f>
        <v>257866240</v>
      </c>
      <c r="D11" s="127">
        <f>SUBTOTAL(9,D2:D10)</f>
        <v>209250000</v>
      </c>
      <c r="E11" s="129">
        <f>C11-D11</f>
        <v>48616240</v>
      </c>
      <c r="F11" s="131"/>
    </row>
    <row r="12" spans="1:6" x14ac:dyDescent="0.3">
      <c r="E12">
        <v>96000000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"/>
  <sheetViews>
    <sheetView workbookViewId="0">
      <selection activeCell="D5" sqref="D5"/>
    </sheetView>
  </sheetViews>
  <sheetFormatPr defaultRowHeight="14.4" x14ac:dyDescent="0.3"/>
  <cols>
    <col min="1" max="1" width="5.77734375" customWidth="1"/>
    <col min="2" max="2" width="28" bestFit="1" customWidth="1"/>
    <col min="3" max="3" width="18.21875" customWidth="1"/>
    <col min="4" max="4" width="14" bestFit="1" customWidth="1"/>
    <col min="5" max="5" width="30" bestFit="1" customWidth="1"/>
  </cols>
  <sheetData>
    <row r="1" spans="1:5" ht="15.6" x14ac:dyDescent="0.3">
      <c r="A1" s="126" t="s">
        <v>24</v>
      </c>
      <c r="B1" s="128" t="s">
        <v>172</v>
      </c>
      <c r="C1" s="127" t="s">
        <v>540</v>
      </c>
      <c r="D1" s="126" t="s">
        <v>539</v>
      </c>
      <c r="E1" s="132" t="s">
        <v>538</v>
      </c>
    </row>
    <row r="2" spans="1:5" ht="15.6" x14ac:dyDescent="0.3">
      <c r="A2" s="126">
        <v>1</v>
      </c>
      <c r="B2" s="128" t="s">
        <v>529</v>
      </c>
      <c r="C2" s="127">
        <v>91602396</v>
      </c>
      <c r="D2" s="127">
        <v>0</v>
      </c>
      <c r="E2" s="126"/>
    </row>
    <row r="3" spans="1:5" ht="15.6" x14ac:dyDescent="0.3">
      <c r="A3" s="126">
        <v>2</v>
      </c>
      <c r="B3" s="128" t="s">
        <v>535</v>
      </c>
      <c r="C3" s="127">
        <v>0</v>
      </c>
      <c r="D3" s="127">
        <v>18000000</v>
      </c>
      <c r="E3" s="126"/>
    </row>
    <row r="4" spans="1:5" ht="15.6" x14ac:dyDescent="0.3">
      <c r="A4" s="126">
        <v>3</v>
      </c>
      <c r="B4" s="128" t="s">
        <v>524</v>
      </c>
      <c r="C4" s="127">
        <v>0</v>
      </c>
      <c r="D4" s="127">
        <v>10410603</v>
      </c>
      <c r="E4" s="126"/>
    </row>
    <row r="5" spans="1:5" ht="15.6" x14ac:dyDescent="0.3">
      <c r="A5" s="126">
        <v>4</v>
      </c>
      <c r="B5" s="128" t="s">
        <v>536</v>
      </c>
      <c r="C5" s="127">
        <v>0</v>
      </c>
      <c r="D5" s="127">
        <v>3450000</v>
      </c>
      <c r="E5" s="126"/>
    </row>
    <row r="6" spans="1:5" ht="15.6" x14ac:dyDescent="0.3">
      <c r="A6" s="126">
        <v>5</v>
      </c>
      <c r="B6" s="128" t="s">
        <v>537</v>
      </c>
      <c r="C6" s="127">
        <f>SUBTOTAL(9,C2:C5)</f>
        <v>91602396</v>
      </c>
      <c r="D6" s="127">
        <f>SUBTOTAL(9,D2:D5)</f>
        <v>31860603</v>
      </c>
      <c r="E6" s="129">
        <f>C6-D6</f>
        <v>59741793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7"/>
  <sheetViews>
    <sheetView workbookViewId="0">
      <selection activeCell="C16" sqref="C16"/>
    </sheetView>
  </sheetViews>
  <sheetFormatPr defaultRowHeight="14.4" x14ac:dyDescent="0.3"/>
  <cols>
    <col min="1" max="1" width="5.77734375" customWidth="1"/>
    <col min="2" max="2" width="62.21875" customWidth="1"/>
    <col min="3" max="3" width="18.21875" customWidth="1"/>
    <col min="4" max="4" width="14" bestFit="1" customWidth="1"/>
    <col min="5" max="5" width="30" bestFit="1" customWidth="1"/>
  </cols>
  <sheetData>
    <row r="1" spans="1:5" ht="15.6" x14ac:dyDescent="0.3">
      <c r="A1" s="126" t="s">
        <v>24</v>
      </c>
      <c r="B1" s="128" t="s">
        <v>172</v>
      </c>
      <c r="C1" s="127" t="s">
        <v>515</v>
      </c>
      <c r="D1" s="126" t="s">
        <v>514</v>
      </c>
      <c r="E1" s="132" t="s">
        <v>549</v>
      </c>
    </row>
    <row r="2" spans="1:5" ht="15.6" x14ac:dyDescent="0.3">
      <c r="A2" s="126">
        <v>1</v>
      </c>
      <c r="B2" s="128" t="s">
        <v>546</v>
      </c>
      <c r="C2" s="127">
        <v>238500000</v>
      </c>
      <c r="D2" s="127"/>
      <c r="E2" s="126"/>
    </row>
    <row r="3" spans="1:5" ht="15.6" x14ac:dyDescent="0.3">
      <c r="A3" s="126">
        <v>2</v>
      </c>
      <c r="B3" s="128" t="s">
        <v>547</v>
      </c>
      <c r="C3" s="127">
        <v>67650000</v>
      </c>
      <c r="D3" s="127"/>
      <c r="E3" s="126"/>
    </row>
    <row r="4" spans="1:5" ht="15.6" x14ac:dyDescent="0.3">
      <c r="A4" s="126">
        <v>3</v>
      </c>
      <c r="B4" s="128" t="s">
        <v>529</v>
      </c>
      <c r="C4" s="127">
        <v>106149997</v>
      </c>
      <c r="D4" s="127"/>
      <c r="E4" s="126"/>
    </row>
    <row r="5" spans="1:5" ht="15.6" x14ac:dyDescent="0.3">
      <c r="A5" s="126">
        <v>4</v>
      </c>
      <c r="B5" s="128" t="s">
        <v>548</v>
      </c>
      <c r="C5" s="127"/>
      <c r="D5" s="127">
        <v>207750000</v>
      </c>
      <c r="E5" s="126"/>
    </row>
    <row r="6" spans="1:5" ht="15.6" x14ac:dyDescent="0.3">
      <c r="A6" s="126">
        <v>5</v>
      </c>
      <c r="B6" s="128" t="s">
        <v>530</v>
      </c>
      <c r="C6" s="127"/>
      <c r="D6" s="133">
        <v>650000000</v>
      </c>
      <c r="E6" s="126"/>
    </row>
    <row r="7" spans="1:5" ht="15.6" x14ac:dyDescent="0.3">
      <c r="A7" s="134">
        <v>6</v>
      </c>
      <c r="B7" s="135"/>
      <c r="C7" s="136">
        <f>SUBTOTAL(9,C2:C6)</f>
        <v>412299997</v>
      </c>
      <c r="D7" s="136">
        <f>SUBTOTAL(9,D2:D6)</f>
        <v>857750000</v>
      </c>
      <c r="E7" s="137">
        <f>C7-D7</f>
        <v>-445450003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7"/>
  <sheetViews>
    <sheetView workbookViewId="0">
      <selection activeCell="D17" sqref="D17"/>
    </sheetView>
  </sheetViews>
  <sheetFormatPr defaultRowHeight="14.4" x14ac:dyDescent="0.3"/>
  <cols>
    <col min="1" max="1" width="5.77734375" customWidth="1"/>
    <col min="2" max="2" width="45.44140625" style="37" customWidth="1"/>
    <col min="3" max="3" width="15.77734375" bestFit="1" customWidth="1"/>
    <col min="4" max="4" width="14" bestFit="1" customWidth="1"/>
    <col min="5" max="5" width="25" bestFit="1" customWidth="1"/>
    <col min="6" max="6" width="28.44140625" customWidth="1"/>
  </cols>
  <sheetData>
    <row r="1" spans="1:6" ht="15.6" x14ac:dyDescent="0.3">
      <c r="A1" s="126" t="s">
        <v>24</v>
      </c>
      <c r="B1" s="128" t="s">
        <v>172</v>
      </c>
      <c r="C1" s="127" t="s">
        <v>515</v>
      </c>
      <c r="D1" s="126" t="s">
        <v>514</v>
      </c>
      <c r="E1" s="132" t="s">
        <v>549</v>
      </c>
      <c r="F1" s="126" t="s">
        <v>53</v>
      </c>
    </row>
    <row r="2" spans="1:6" ht="15.6" x14ac:dyDescent="0.3">
      <c r="A2" s="126">
        <v>1</v>
      </c>
      <c r="B2" s="128" t="s">
        <v>565</v>
      </c>
      <c r="C2" s="127">
        <v>762960000</v>
      </c>
      <c r="D2" s="127"/>
      <c r="E2" s="126"/>
      <c r="F2" s="128"/>
    </row>
    <row r="3" spans="1:6" ht="15.6" x14ac:dyDescent="0.3">
      <c r="A3" s="126">
        <v>2</v>
      </c>
      <c r="B3" s="128" t="s">
        <v>564</v>
      </c>
      <c r="C3" s="127">
        <v>88605000</v>
      </c>
      <c r="D3" s="127"/>
      <c r="E3" s="126"/>
      <c r="F3" s="126"/>
    </row>
    <row r="4" spans="1:6" ht="15.6" x14ac:dyDescent="0.3">
      <c r="A4" s="126">
        <v>3</v>
      </c>
      <c r="B4" s="128" t="s">
        <v>529</v>
      </c>
      <c r="C4" s="127">
        <v>246852937</v>
      </c>
      <c r="D4" s="127"/>
      <c r="E4" s="126"/>
      <c r="F4" s="126"/>
    </row>
    <row r="5" spans="1:6" ht="15.6" x14ac:dyDescent="0.3">
      <c r="A5" s="126">
        <v>4</v>
      </c>
      <c r="B5" s="128" t="s">
        <v>563</v>
      </c>
      <c r="C5" s="127"/>
      <c r="D5" s="127">
        <v>356250000</v>
      </c>
      <c r="E5" s="126"/>
      <c r="F5" s="126"/>
    </row>
    <row r="6" spans="1:6" ht="31.2" x14ac:dyDescent="0.3">
      <c r="A6" s="126">
        <v>5</v>
      </c>
      <c r="B6" s="128" t="s">
        <v>567</v>
      </c>
      <c r="C6" s="127"/>
      <c r="D6" s="138">
        <v>0</v>
      </c>
      <c r="E6" s="126"/>
      <c r="F6" s="132" t="s">
        <v>566</v>
      </c>
    </row>
    <row r="7" spans="1:6" ht="15.6" x14ac:dyDescent="0.3">
      <c r="A7" s="134">
        <v>6</v>
      </c>
      <c r="B7" s="135"/>
      <c r="C7" s="136">
        <f>SUBTOTAL(9,C2:C6)</f>
        <v>1098417937</v>
      </c>
      <c r="D7" s="136">
        <f>SUBTOTAL(9,D2:D6)</f>
        <v>356250000</v>
      </c>
      <c r="E7" s="137">
        <f>C7-D7</f>
        <v>742167937</v>
      </c>
      <c r="F7" s="126" t="s">
        <v>562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7"/>
  <sheetViews>
    <sheetView workbookViewId="0">
      <selection activeCell="D13" sqref="D13"/>
    </sheetView>
  </sheetViews>
  <sheetFormatPr defaultRowHeight="14.4" x14ac:dyDescent="0.3"/>
  <cols>
    <col min="1" max="1" width="5.77734375" customWidth="1"/>
    <col min="2" max="2" width="45.44140625" customWidth="1"/>
    <col min="3" max="3" width="15.77734375" bestFit="1" customWidth="1"/>
    <col min="4" max="4" width="14" bestFit="1" customWidth="1"/>
    <col min="5" max="5" width="25" bestFit="1" customWidth="1"/>
    <col min="6" max="6" width="28.44140625" customWidth="1"/>
  </cols>
  <sheetData>
    <row r="1" spans="1:6" ht="46.8" x14ac:dyDescent="0.3">
      <c r="A1" s="126" t="s">
        <v>24</v>
      </c>
      <c r="B1" s="128" t="s">
        <v>172</v>
      </c>
      <c r="C1" s="127" t="s">
        <v>515</v>
      </c>
      <c r="D1" s="126" t="s">
        <v>514</v>
      </c>
      <c r="E1" s="139" t="s">
        <v>602</v>
      </c>
      <c r="F1" s="126" t="s">
        <v>53</v>
      </c>
    </row>
    <row r="2" spans="1:6" ht="15.6" x14ac:dyDescent="0.3">
      <c r="A2" s="126">
        <v>1</v>
      </c>
      <c r="B2" s="128" t="s">
        <v>600</v>
      </c>
      <c r="C2" s="127">
        <v>295800000</v>
      </c>
      <c r="D2" s="127"/>
      <c r="E2" s="126"/>
      <c r="F2" s="128"/>
    </row>
    <row r="3" spans="1:6" ht="15.6" x14ac:dyDescent="0.3">
      <c r="A3" s="126">
        <v>2</v>
      </c>
      <c r="B3" s="128" t="s">
        <v>599</v>
      </c>
      <c r="C3" s="127">
        <v>88605000</v>
      </c>
      <c r="D3" s="127"/>
      <c r="E3" s="126"/>
      <c r="F3" s="126"/>
    </row>
    <row r="4" spans="1:6" ht="31.2" x14ac:dyDescent="0.3">
      <c r="A4" s="126">
        <v>3</v>
      </c>
      <c r="B4" s="128" t="s">
        <v>604</v>
      </c>
      <c r="C4" s="127">
        <v>43957419</v>
      </c>
      <c r="D4" s="127"/>
      <c r="E4" s="126"/>
      <c r="F4" s="126"/>
    </row>
    <row r="5" spans="1:6" ht="15.6" x14ac:dyDescent="0.3">
      <c r="A5" s="126">
        <v>4</v>
      </c>
      <c r="B5" s="128" t="s">
        <v>601</v>
      </c>
      <c r="C5" s="127"/>
      <c r="D5" s="127">
        <v>147000000</v>
      </c>
      <c r="E5" s="126"/>
      <c r="F5" s="126"/>
    </row>
    <row r="6" spans="1:6" ht="31.2" x14ac:dyDescent="0.3">
      <c r="A6" s="126">
        <v>5</v>
      </c>
      <c r="B6" s="128" t="s">
        <v>605</v>
      </c>
      <c r="C6" s="127"/>
      <c r="D6" s="138">
        <v>0</v>
      </c>
      <c r="E6" s="126"/>
      <c r="F6" s="132" t="s">
        <v>603</v>
      </c>
    </row>
    <row r="7" spans="1:6" ht="15.6" x14ac:dyDescent="0.3">
      <c r="A7" s="134">
        <v>6</v>
      </c>
      <c r="B7" s="135"/>
      <c r="C7" s="136">
        <f>SUBTOTAL(9,C2:C6)</f>
        <v>428362419</v>
      </c>
      <c r="D7" s="136">
        <f>SUBTOTAL(9,D2:D6)</f>
        <v>147000000</v>
      </c>
      <c r="E7" s="137">
        <f>C7-D7</f>
        <v>281362419</v>
      </c>
      <c r="F7" s="126" t="s">
        <v>562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7"/>
  <sheetViews>
    <sheetView workbookViewId="0">
      <selection activeCell="D13" sqref="D13"/>
    </sheetView>
  </sheetViews>
  <sheetFormatPr defaultRowHeight="14.4" x14ac:dyDescent="0.3"/>
  <cols>
    <col min="1" max="1" width="5.77734375" customWidth="1"/>
    <col min="2" max="2" width="45.44140625" customWidth="1"/>
    <col min="3" max="3" width="15.77734375" bestFit="1" customWidth="1"/>
    <col min="4" max="4" width="14" bestFit="1" customWidth="1"/>
    <col min="5" max="5" width="15.5546875" customWidth="1"/>
    <col min="6" max="6" width="28.44140625" customWidth="1"/>
  </cols>
  <sheetData>
    <row r="1" spans="1:6" ht="46.8" x14ac:dyDescent="0.3">
      <c r="A1" s="126" t="s">
        <v>24</v>
      </c>
      <c r="B1" s="128" t="s">
        <v>172</v>
      </c>
      <c r="C1" s="127" t="s">
        <v>515</v>
      </c>
      <c r="D1" s="126" t="s">
        <v>514</v>
      </c>
      <c r="E1" s="139" t="s">
        <v>602</v>
      </c>
      <c r="F1" s="126" t="s">
        <v>53</v>
      </c>
    </row>
    <row r="2" spans="1:6" ht="15.6" x14ac:dyDescent="0.3">
      <c r="A2" s="126">
        <v>1</v>
      </c>
      <c r="B2" s="128" t="s">
        <v>608</v>
      </c>
      <c r="C2" s="127">
        <v>375000000</v>
      </c>
      <c r="D2" s="127"/>
      <c r="E2" s="126"/>
      <c r="F2" s="128"/>
    </row>
    <row r="3" spans="1:6" ht="15.6" x14ac:dyDescent="0.3">
      <c r="A3" s="126">
        <v>2</v>
      </c>
      <c r="B3" s="128" t="s">
        <v>612</v>
      </c>
      <c r="C3" s="127">
        <v>0</v>
      </c>
      <c r="D3" s="127"/>
      <c r="E3" s="126"/>
      <c r="F3" s="126"/>
    </row>
    <row r="4" spans="1:6" ht="31.2" x14ac:dyDescent="0.3">
      <c r="A4" s="126">
        <v>3</v>
      </c>
      <c r="B4" s="128" t="s">
        <v>609</v>
      </c>
      <c r="C4" s="127">
        <v>397275412</v>
      </c>
      <c r="D4" s="127"/>
      <c r="E4" s="126"/>
      <c r="F4" s="126"/>
    </row>
    <row r="5" spans="1:6" ht="15.6" x14ac:dyDescent="0.3">
      <c r="A5" s="126">
        <v>4</v>
      </c>
      <c r="B5" s="128" t="s">
        <v>610</v>
      </c>
      <c r="C5" s="127"/>
      <c r="D5" s="127">
        <v>430000000</v>
      </c>
      <c r="E5" s="126"/>
      <c r="F5" s="126"/>
    </row>
    <row r="6" spans="1:6" ht="15.6" x14ac:dyDescent="0.3">
      <c r="A6" s="126">
        <v>5</v>
      </c>
      <c r="B6" s="128" t="s">
        <v>611</v>
      </c>
      <c r="C6" s="127"/>
      <c r="D6" s="138">
        <v>0</v>
      </c>
      <c r="E6" s="126"/>
      <c r="F6" s="132"/>
    </row>
    <row r="7" spans="1:6" ht="15.6" x14ac:dyDescent="0.3">
      <c r="A7" s="134">
        <v>6</v>
      </c>
      <c r="B7" s="135"/>
      <c r="C7" s="136">
        <f>SUBTOTAL(9,C2:C6)</f>
        <v>772275412</v>
      </c>
      <c r="D7" s="136">
        <f>SUBTOTAL(9,D2:D6)</f>
        <v>430000000</v>
      </c>
      <c r="E7" s="137">
        <f>C7-D7</f>
        <v>342275412</v>
      </c>
      <c r="F7" s="126" t="s">
        <v>562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8"/>
  <sheetViews>
    <sheetView workbookViewId="0">
      <selection activeCell="D17" sqref="D17"/>
    </sheetView>
  </sheetViews>
  <sheetFormatPr defaultRowHeight="14.4" x14ac:dyDescent="0.3"/>
  <cols>
    <col min="1" max="1" width="5.77734375" customWidth="1"/>
    <col min="2" max="2" width="45.44140625" style="37" customWidth="1"/>
    <col min="3" max="3" width="15.77734375" bestFit="1" customWidth="1"/>
    <col min="4" max="4" width="17.77734375" customWidth="1"/>
    <col min="5" max="5" width="25" bestFit="1" customWidth="1"/>
    <col min="6" max="6" width="28.44140625" customWidth="1"/>
  </cols>
  <sheetData>
    <row r="1" spans="1:6" ht="15.6" x14ac:dyDescent="0.3">
      <c r="A1" s="126" t="s">
        <v>24</v>
      </c>
      <c r="B1" s="128" t="s">
        <v>172</v>
      </c>
      <c r="C1" s="127" t="s">
        <v>515</v>
      </c>
      <c r="D1" s="126" t="s">
        <v>514</v>
      </c>
      <c r="E1" s="132" t="s">
        <v>643</v>
      </c>
      <c r="F1" s="126" t="s">
        <v>53</v>
      </c>
    </row>
    <row r="2" spans="1:6" ht="15.6" x14ac:dyDescent="0.3">
      <c r="A2" s="126">
        <v>1</v>
      </c>
      <c r="B2" s="128" t="s">
        <v>645</v>
      </c>
      <c r="C2" s="127">
        <v>1310000000</v>
      </c>
      <c r="D2" s="127"/>
      <c r="E2" s="126"/>
      <c r="F2" s="128"/>
    </row>
    <row r="3" spans="1:6" ht="15.6" x14ac:dyDescent="0.3">
      <c r="A3" s="126">
        <v>2</v>
      </c>
      <c r="B3" s="128" t="s">
        <v>646</v>
      </c>
      <c r="C3" s="127">
        <v>66000000</v>
      </c>
      <c r="D3" s="127"/>
      <c r="E3" s="126"/>
      <c r="F3" s="126"/>
    </row>
    <row r="4" spans="1:6" ht="15.6" x14ac:dyDescent="0.3">
      <c r="A4" s="126">
        <v>3</v>
      </c>
      <c r="B4" s="128" t="s">
        <v>647</v>
      </c>
      <c r="C4" s="127">
        <v>96000000</v>
      </c>
      <c r="D4" s="127"/>
      <c r="E4" s="126"/>
      <c r="F4" s="126"/>
    </row>
    <row r="5" spans="1:6" ht="31.2" x14ac:dyDescent="0.3">
      <c r="A5" s="126">
        <v>4</v>
      </c>
      <c r="B5" s="128" t="s">
        <v>654</v>
      </c>
      <c r="C5" s="127">
        <v>628605795</v>
      </c>
      <c r="D5" s="127"/>
      <c r="E5" s="126"/>
      <c r="F5" s="126"/>
    </row>
    <row r="6" spans="1:6" ht="15.6" x14ac:dyDescent="0.3">
      <c r="A6" s="126">
        <v>5</v>
      </c>
      <c r="B6" s="128" t="s">
        <v>642</v>
      </c>
      <c r="C6" s="127"/>
      <c r="D6" s="127">
        <v>736000000</v>
      </c>
      <c r="E6" s="126"/>
      <c r="F6" s="126"/>
    </row>
    <row r="7" spans="1:6" ht="15.6" x14ac:dyDescent="0.3">
      <c r="A7" s="126">
        <v>6</v>
      </c>
      <c r="B7" s="128" t="s">
        <v>641</v>
      </c>
      <c r="C7" s="127"/>
      <c r="D7" s="138">
        <v>360000000</v>
      </c>
      <c r="E7" s="126"/>
      <c r="F7" s="132"/>
    </row>
    <row r="8" spans="1:6" ht="15.6" x14ac:dyDescent="0.3">
      <c r="A8" s="140">
        <v>7</v>
      </c>
      <c r="B8" s="141" t="s">
        <v>537</v>
      </c>
      <c r="C8" s="142">
        <f>SUBTOTAL(9,C2:C7)</f>
        <v>2100605795</v>
      </c>
      <c r="D8" s="142">
        <f>SUBTOTAL(9,D2:D7)</f>
        <v>1096000000</v>
      </c>
      <c r="E8" s="137">
        <f>C8-D8</f>
        <v>1004605795</v>
      </c>
      <c r="F8" s="140" t="s">
        <v>644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5"/>
  <sheetViews>
    <sheetView workbookViewId="0">
      <selection activeCell="E9" sqref="E9"/>
    </sheetView>
  </sheetViews>
  <sheetFormatPr defaultColWidth="9.21875" defaultRowHeight="18" x14ac:dyDescent="0.35"/>
  <cols>
    <col min="1" max="1" width="4.21875" style="144" bestFit="1" customWidth="1"/>
    <col min="2" max="2" width="21.44140625" style="144" customWidth="1"/>
    <col min="3" max="3" width="23.77734375" style="144" customWidth="1"/>
    <col min="4" max="4" width="20.77734375" style="144" customWidth="1"/>
    <col min="5" max="5" width="15.21875" style="144" customWidth="1"/>
    <col min="6" max="6" width="13.21875" style="144" customWidth="1"/>
    <col min="7" max="7" width="9.21875" style="144"/>
    <col min="8" max="8" width="10.21875" style="144" bestFit="1" customWidth="1"/>
    <col min="9" max="16384" width="9.21875" style="144"/>
  </cols>
  <sheetData>
    <row r="1" spans="1:10" x14ac:dyDescent="0.35">
      <c r="A1" s="145" t="s">
        <v>24</v>
      </c>
      <c r="B1" s="145" t="s">
        <v>655</v>
      </c>
      <c r="C1" s="145" t="s">
        <v>660</v>
      </c>
      <c r="D1" s="145" t="s">
        <v>656</v>
      </c>
      <c r="E1" s="145" t="s">
        <v>657</v>
      </c>
      <c r="F1" s="145" t="s">
        <v>662</v>
      </c>
    </row>
    <row r="2" spans="1:10" x14ac:dyDescent="0.35">
      <c r="A2" s="146">
        <v>1</v>
      </c>
      <c r="B2" s="146" t="s">
        <v>658</v>
      </c>
      <c r="C2" s="146">
        <v>4</v>
      </c>
      <c r="D2" s="146"/>
      <c r="E2" s="146">
        <v>1</v>
      </c>
      <c r="F2" s="146">
        <f>SUM(C2:E2)</f>
        <v>5</v>
      </c>
      <c r="H2" s="144">
        <f>C2*650000</f>
        <v>2600000</v>
      </c>
      <c r="I2" s="144">
        <f>E2*250000</f>
        <v>250000</v>
      </c>
    </row>
    <row r="3" spans="1:10" x14ac:dyDescent="0.35">
      <c r="A3" s="146">
        <v>2</v>
      </c>
      <c r="B3" s="146" t="s">
        <v>659</v>
      </c>
      <c r="C3" s="146">
        <v>3</v>
      </c>
      <c r="D3" s="146"/>
      <c r="E3" s="146">
        <v>2</v>
      </c>
      <c r="F3" s="146">
        <f t="shared" ref="F3:F5" si="0">SUM(C3:E3)</f>
        <v>5</v>
      </c>
      <c r="H3" s="144">
        <f>C3*650000</f>
        <v>1950000</v>
      </c>
      <c r="I3" s="144">
        <f>E3*250000</f>
        <v>500000</v>
      </c>
    </row>
    <row r="4" spans="1:10" x14ac:dyDescent="0.35">
      <c r="A4" s="146">
        <v>3</v>
      </c>
      <c r="B4" s="146" t="s">
        <v>661</v>
      </c>
      <c r="C4" s="146">
        <v>2</v>
      </c>
      <c r="D4" s="146">
        <v>1</v>
      </c>
      <c r="E4" s="146">
        <v>1</v>
      </c>
      <c r="F4" s="146">
        <f t="shared" si="0"/>
        <v>4</v>
      </c>
      <c r="H4" s="144">
        <f>C4*650000</f>
        <v>1300000</v>
      </c>
      <c r="I4" s="144">
        <f>D4*350000</f>
        <v>350000</v>
      </c>
      <c r="J4" s="144">
        <f>E4*250000</f>
        <v>250000</v>
      </c>
    </row>
    <row r="5" spans="1:10" ht="20.399999999999999" x14ac:dyDescent="0.35">
      <c r="A5" s="296" t="s">
        <v>662</v>
      </c>
      <c r="B5" s="297"/>
      <c r="C5" s="146">
        <f>SUM(C2:C4)</f>
        <v>9</v>
      </c>
      <c r="D5" s="146">
        <f t="shared" ref="D5:E5" si="1">SUM(D2:D4)</f>
        <v>1</v>
      </c>
      <c r="E5" s="146">
        <f t="shared" si="1"/>
        <v>4</v>
      </c>
      <c r="F5" s="147">
        <f t="shared" si="0"/>
        <v>14</v>
      </c>
    </row>
  </sheetData>
  <mergeCells count="1">
    <mergeCell ref="A5:B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28"/>
  <sheetViews>
    <sheetView workbookViewId="0">
      <selection activeCell="B4" sqref="B4"/>
    </sheetView>
  </sheetViews>
  <sheetFormatPr defaultColWidth="9.21875" defaultRowHeight="13.2" x14ac:dyDescent="0.25"/>
  <cols>
    <col min="1" max="1" width="3.21875" style="67" bestFit="1" customWidth="1"/>
    <col min="2" max="2" width="70" style="66" bestFit="1" customWidth="1"/>
    <col min="3" max="3" width="19.21875" style="67" customWidth="1"/>
    <col min="4" max="4" width="21" style="66" customWidth="1"/>
    <col min="5" max="5" width="37.77734375" style="66" customWidth="1"/>
    <col min="6" max="16384" width="9.21875" style="45"/>
  </cols>
  <sheetData>
    <row r="1" spans="1:8" x14ac:dyDescent="0.25">
      <c r="A1" s="68" t="s">
        <v>24</v>
      </c>
      <c r="B1" s="69" t="s">
        <v>200</v>
      </c>
      <c r="C1" s="68" t="s">
        <v>203</v>
      </c>
      <c r="D1" s="69" t="s">
        <v>172</v>
      </c>
      <c r="E1" s="69" t="s">
        <v>211</v>
      </c>
    </row>
    <row r="2" spans="1:8" x14ac:dyDescent="0.25">
      <c r="A2" s="44">
        <v>1</v>
      </c>
      <c r="B2" s="46" t="s">
        <v>268</v>
      </c>
      <c r="C2" s="44" t="s">
        <v>202</v>
      </c>
      <c r="D2" s="46"/>
      <c r="E2" s="65" t="s">
        <v>274</v>
      </c>
    </row>
    <row r="3" spans="1:8" ht="26.4" x14ac:dyDescent="0.25">
      <c r="A3" s="44">
        <v>2</v>
      </c>
      <c r="B3" s="46" t="s">
        <v>319</v>
      </c>
      <c r="C3" s="44" t="s">
        <v>202</v>
      </c>
      <c r="D3" s="46"/>
      <c r="E3" s="65" t="s">
        <v>213</v>
      </c>
    </row>
    <row r="4" spans="1:8" ht="132" x14ac:dyDescent="0.25">
      <c r="A4" s="44">
        <v>3</v>
      </c>
      <c r="B4" s="46" t="s">
        <v>320</v>
      </c>
      <c r="C4" s="44" t="s">
        <v>202</v>
      </c>
      <c r="D4" s="46"/>
      <c r="E4" s="46"/>
    </row>
    <row r="5" spans="1:8" x14ac:dyDescent="0.25">
      <c r="A5" s="44">
        <v>4</v>
      </c>
      <c r="B5" s="46" t="s">
        <v>204</v>
      </c>
      <c r="C5" s="44" t="s">
        <v>202</v>
      </c>
      <c r="D5" s="46"/>
      <c r="E5" s="46" t="s">
        <v>214</v>
      </c>
    </row>
    <row r="6" spans="1:8" x14ac:dyDescent="0.25">
      <c r="A6" s="44">
        <v>5</v>
      </c>
      <c r="B6" s="46" t="s">
        <v>267</v>
      </c>
      <c r="C6" s="44" t="s">
        <v>202</v>
      </c>
      <c r="D6" s="46"/>
      <c r="E6" s="46"/>
    </row>
    <row r="7" spans="1:8" x14ac:dyDescent="0.25">
      <c r="A7" s="44">
        <v>6</v>
      </c>
      <c r="B7" s="46" t="s">
        <v>276</v>
      </c>
      <c r="C7" s="44" t="s">
        <v>202</v>
      </c>
      <c r="D7" s="46"/>
      <c r="E7" s="46"/>
    </row>
    <row r="8" spans="1:8" x14ac:dyDescent="0.25">
      <c r="A8" s="44">
        <v>7</v>
      </c>
      <c r="B8" s="46" t="s">
        <v>277</v>
      </c>
      <c r="C8" s="44" t="s">
        <v>202</v>
      </c>
      <c r="D8" s="46"/>
      <c r="E8" s="46"/>
    </row>
    <row r="9" spans="1:8" x14ac:dyDescent="0.25">
      <c r="A9" s="44">
        <v>8</v>
      </c>
      <c r="B9" s="46" t="s">
        <v>270</v>
      </c>
      <c r="C9" s="44" t="s">
        <v>202</v>
      </c>
      <c r="D9" s="46"/>
      <c r="E9" s="46"/>
    </row>
    <row r="10" spans="1:8" ht="79.2" x14ac:dyDescent="0.25">
      <c r="A10" s="44">
        <v>1</v>
      </c>
      <c r="B10" s="46" t="s">
        <v>327</v>
      </c>
      <c r="C10" s="44" t="s">
        <v>205</v>
      </c>
      <c r="D10" s="46" t="s">
        <v>278</v>
      </c>
      <c r="E10" s="65" t="s">
        <v>326</v>
      </c>
      <c r="H10" s="53"/>
    </row>
    <row r="11" spans="1:8" ht="26.4" x14ac:dyDescent="0.25">
      <c r="A11" s="44">
        <v>1</v>
      </c>
      <c r="B11" s="46" t="s">
        <v>279</v>
      </c>
      <c r="C11" s="44" t="s">
        <v>201</v>
      </c>
      <c r="D11" s="46"/>
      <c r="E11" s="65" t="s">
        <v>212</v>
      </c>
    </row>
    <row r="12" spans="1:8" ht="39.6" x14ac:dyDescent="0.25">
      <c r="A12" s="44">
        <v>2</v>
      </c>
      <c r="B12" s="46" t="s">
        <v>321</v>
      </c>
      <c r="C12" s="44" t="s">
        <v>201</v>
      </c>
      <c r="D12" s="46" t="s">
        <v>322</v>
      </c>
      <c r="E12" s="65" t="s">
        <v>280</v>
      </c>
    </row>
    <row r="13" spans="1:8" x14ac:dyDescent="0.25">
      <c r="A13" s="44">
        <v>3</v>
      </c>
      <c r="B13" s="46" t="s">
        <v>323</v>
      </c>
      <c r="C13" s="44" t="s">
        <v>201</v>
      </c>
      <c r="D13" s="46" t="s">
        <v>281</v>
      </c>
      <c r="E13" s="65" t="s">
        <v>282</v>
      </c>
    </row>
    <row r="14" spans="1:8" x14ac:dyDescent="0.25">
      <c r="A14" s="44">
        <v>4</v>
      </c>
      <c r="B14" s="46" t="s">
        <v>269</v>
      </c>
      <c r="C14" s="44" t="s">
        <v>201</v>
      </c>
      <c r="D14" s="46"/>
      <c r="E14" s="65"/>
    </row>
    <row r="15" spans="1:8" x14ac:dyDescent="0.25">
      <c r="A15" s="44">
        <v>5</v>
      </c>
      <c r="B15" s="46" t="s">
        <v>283</v>
      </c>
      <c r="C15" s="44" t="s">
        <v>201</v>
      </c>
      <c r="D15" s="46"/>
      <c r="E15" s="46"/>
    </row>
    <row r="16" spans="1:8" x14ac:dyDescent="0.25">
      <c r="A16" s="44">
        <v>6</v>
      </c>
      <c r="B16" s="46" t="s">
        <v>284</v>
      </c>
      <c r="C16" s="44" t="s">
        <v>201</v>
      </c>
      <c r="D16" s="46"/>
      <c r="E16" s="46"/>
    </row>
    <row r="17" spans="1:5" x14ac:dyDescent="0.25">
      <c r="A17" s="44">
        <v>2</v>
      </c>
      <c r="B17" s="46" t="s">
        <v>285</v>
      </c>
      <c r="C17" s="44" t="s">
        <v>206</v>
      </c>
      <c r="D17" s="46"/>
      <c r="E17" s="65"/>
    </row>
    <row r="18" spans="1:5" x14ac:dyDescent="0.25">
      <c r="A18" s="44">
        <v>3</v>
      </c>
      <c r="B18" s="46" t="s">
        <v>209</v>
      </c>
      <c r="C18" s="44" t="s">
        <v>206</v>
      </c>
      <c r="D18" s="46"/>
      <c r="E18" s="46" t="s">
        <v>215</v>
      </c>
    </row>
    <row r="19" spans="1:5" x14ac:dyDescent="0.25">
      <c r="A19" s="44">
        <v>4</v>
      </c>
      <c r="B19" s="46" t="s">
        <v>207</v>
      </c>
      <c r="C19" s="44" t="s">
        <v>206</v>
      </c>
      <c r="D19" s="46"/>
      <c r="E19" s="65"/>
    </row>
    <row r="20" spans="1:5" ht="26.4" x14ac:dyDescent="0.25">
      <c r="A20" s="44">
        <v>5</v>
      </c>
      <c r="B20" s="46" t="s">
        <v>208</v>
      </c>
      <c r="C20" s="44" t="s">
        <v>206</v>
      </c>
      <c r="D20" s="46"/>
      <c r="E20" s="46" t="s">
        <v>286</v>
      </c>
    </row>
    <row r="21" spans="1:5" x14ac:dyDescent="0.25">
      <c r="A21" s="44">
        <v>7</v>
      </c>
      <c r="B21" s="46" t="s">
        <v>306</v>
      </c>
      <c r="C21" s="44" t="s">
        <v>307</v>
      </c>
      <c r="D21" s="46"/>
      <c r="E21" s="46"/>
    </row>
    <row r="22" spans="1:5" x14ac:dyDescent="0.25">
      <c r="A22" s="44">
        <v>8</v>
      </c>
      <c r="B22" s="46" t="s">
        <v>325</v>
      </c>
      <c r="C22" s="44" t="s">
        <v>201</v>
      </c>
      <c r="D22" s="46"/>
      <c r="E22" s="46"/>
    </row>
    <row r="23" spans="1:5" ht="26.4" x14ac:dyDescent="0.25">
      <c r="A23" s="81">
        <v>11</v>
      </c>
      <c r="B23" s="82" t="s">
        <v>308</v>
      </c>
      <c r="C23" s="81" t="s">
        <v>310</v>
      </c>
      <c r="D23" s="82"/>
      <c r="E23" s="82"/>
    </row>
    <row r="24" spans="1:5" x14ac:dyDescent="0.25">
      <c r="A24" s="44">
        <v>6</v>
      </c>
      <c r="B24" s="46" t="s">
        <v>309</v>
      </c>
      <c r="C24" s="44" t="s">
        <v>318</v>
      </c>
      <c r="D24" s="46"/>
      <c r="E24" s="46"/>
    </row>
    <row r="25" spans="1:5" x14ac:dyDescent="0.25">
      <c r="A25" s="44">
        <v>12</v>
      </c>
      <c r="B25" s="46" t="s">
        <v>311</v>
      </c>
      <c r="C25" s="44" t="s">
        <v>310</v>
      </c>
      <c r="D25" s="46"/>
      <c r="E25" s="46"/>
    </row>
    <row r="26" spans="1:5" ht="26.4" x14ac:dyDescent="0.25">
      <c r="A26" s="44">
        <v>13</v>
      </c>
      <c r="B26" s="46" t="s">
        <v>312</v>
      </c>
      <c r="C26" s="44" t="s">
        <v>310</v>
      </c>
      <c r="D26" s="46"/>
      <c r="E26" s="46"/>
    </row>
    <row r="27" spans="1:5" x14ac:dyDescent="0.25">
      <c r="A27" s="44">
        <v>14</v>
      </c>
      <c r="B27" s="46" t="s">
        <v>317</v>
      </c>
      <c r="C27" s="44" t="s">
        <v>310</v>
      </c>
      <c r="D27" s="46"/>
      <c r="E27" s="46"/>
    </row>
    <row r="28" spans="1:5" x14ac:dyDescent="0.25">
      <c r="A28" s="44">
        <v>9</v>
      </c>
      <c r="B28" s="46" t="s">
        <v>324</v>
      </c>
      <c r="C28" s="44" t="s">
        <v>201</v>
      </c>
      <c r="D28" s="46"/>
      <c r="E28" s="46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P23"/>
  <sheetViews>
    <sheetView topLeftCell="A16" zoomScale="70" zoomScaleNormal="70" workbookViewId="0">
      <selection activeCell="B25" sqref="B25"/>
    </sheetView>
  </sheetViews>
  <sheetFormatPr defaultRowHeight="14.4" x14ac:dyDescent="0.3"/>
  <cols>
    <col min="1" max="1" width="4.77734375" bestFit="1" customWidth="1"/>
    <col min="3" max="3" width="11.77734375" customWidth="1"/>
    <col min="6" max="6" width="17.77734375" customWidth="1"/>
    <col min="7" max="7" width="20" customWidth="1"/>
    <col min="8" max="8" width="15.77734375" customWidth="1"/>
    <col min="9" max="9" width="15" customWidth="1"/>
    <col min="10" max="10" width="16.5546875" customWidth="1"/>
    <col min="11" max="11" width="20.77734375" customWidth="1"/>
  </cols>
  <sheetData>
    <row r="1" spans="1:30" ht="24" x14ac:dyDescent="0.3">
      <c r="A1" s="4" t="s">
        <v>24</v>
      </c>
      <c r="B1" s="5" t="s">
        <v>3</v>
      </c>
      <c r="C1" s="6" t="s">
        <v>4</v>
      </c>
      <c r="D1" s="7" t="s">
        <v>27</v>
      </c>
      <c r="E1" s="7" t="s">
        <v>28</v>
      </c>
      <c r="F1" s="7" t="s">
        <v>35</v>
      </c>
      <c r="G1" s="7" t="s">
        <v>36</v>
      </c>
      <c r="H1" s="7" t="s">
        <v>34</v>
      </c>
      <c r="I1" s="7" t="s">
        <v>40</v>
      </c>
      <c r="J1" s="7" t="s">
        <v>41</v>
      </c>
      <c r="K1" s="15" t="s">
        <v>53</v>
      </c>
    </row>
    <row r="2" spans="1:30" x14ac:dyDescent="0.3">
      <c r="A2" s="4">
        <f t="shared" ref="A2:J2" si="0">SUBTOTAL(3,A4:A47)</f>
        <v>15</v>
      </c>
      <c r="B2" s="4">
        <f t="shared" si="0"/>
        <v>15</v>
      </c>
      <c r="C2" s="4">
        <f t="shared" si="0"/>
        <v>15</v>
      </c>
      <c r="D2" s="4">
        <f t="shared" si="0"/>
        <v>12</v>
      </c>
      <c r="E2" s="4">
        <f t="shared" si="0"/>
        <v>12</v>
      </c>
      <c r="F2" s="4">
        <f t="shared" si="0"/>
        <v>15</v>
      </c>
      <c r="G2" s="4">
        <f t="shared" si="0"/>
        <v>15</v>
      </c>
      <c r="H2" s="4">
        <f t="shared" si="0"/>
        <v>15</v>
      </c>
      <c r="I2" s="4">
        <f t="shared" si="0"/>
        <v>10</v>
      </c>
      <c r="J2" s="4">
        <f t="shared" si="0"/>
        <v>9</v>
      </c>
    </row>
    <row r="3" spans="1:30" x14ac:dyDescent="0.3">
      <c r="A3" s="6" t="s">
        <v>0</v>
      </c>
      <c r="B3" s="6" t="s">
        <v>0</v>
      </c>
      <c r="C3" s="6" t="s">
        <v>0</v>
      </c>
      <c r="D3" s="6" t="s">
        <v>0</v>
      </c>
      <c r="E3" s="6" t="s">
        <v>0</v>
      </c>
      <c r="F3" s="6"/>
      <c r="G3" s="6"/>
      <c r="H3" s="6"/>
      <c r="I3" s="6"/>
      <c r="J3" s="6"/>
    </row>
    <row r="4" spans="1:30" ht="24" x14ac:dyDescent="0.3">
      <c r="A4" s="4">
        <v>1</v>
      </c>
      <c r="B4" s="2" t="s">
        <v>19</v>
      </c>
      <c r="C4" s="2" t="s">
        <v>15</v>
      </c>
      <c r="D4" s="2">
        <v>106.603728</v>
      </c>
      <c r="E4" s="2">
        <v>10.871266</v>
      </c>
      <c r="F4" s="2" t="s">
        <v>42</v>
      </c>
      <c r="G4" s="2" t="s">
        <v>51</v>
      </c>
      <c r="H4" s="2" t="s">
        <v>43</v>
      </c>
      <c r="I4" s="2">
        <v>13</v>
      </c>
      <c r="J4" s="2">
        <v>9</v>
      </c>
      <c r="K4" s="16" t="s">
        <v>54</v>
      </c>
    </row>
    <row r="5" spans="1:30" ht="36" x14ac:dyDescent="0.3">
      <c r="A5" s="4">
        <v>5</v>
      </c>
      <c r="B5" s="2" t="s">
        <v>64</v>
      </c>
      <c r="C5" s="2" t="s">
        <v>66</v>
      </c>
      <c r="D5" s="2">
        <v>106.682903</v>
      </c>
      <c r="E5" s="2">
        <v>10.839304</v>
      </c>
      <c r="F5" s="2" t="s">
        <v>73</v>
      </c>
      <c r="G5" s="2" t="s">
        <v>74</v>
      </c>
      <c r="H5" s="2" t="s">
        <v>58</v>
      </c>
      <c r="I5" s="2"/>
      <c r="J5" s="20"/>
      <c r="K5" s="16" t="s">
        <v>54</v>
      </c>
      <c r="L5" s="18"/>
      <c r="M5" s="18"/>
      <c r="N5" s="18"/>
      <c r="O5" s="18"/>
      <c r="P5" s="18"/>
      <c r="Q5" s="2"/>
      <c r="R5" s="2"/>
      <c r="S5" s="17"/>
    </row>
    <row r="6" spans="1:30" ht="60" x14ac:dyDescent="0.3">
      <c r="A6" s="4">
        <v>11</v>
      </c>
      <c r="B6" s="33" t="s">
        <v>106</v>
      </c>
      <c r="C6" s="2" t="s">
        <v>107</v>
      </c>
      <c r="D6" s="2">
        <v>106.763239</v>
      </c>
      <c r="E6" s="2">
        <v>10.832065</v>
      </c>
      <c r="F6" s="2" t="s">
        <v>108</v>
      </c>
      <c r="G6" s="25" t="s">
        <v>125</v>
      </c>
      <c r="H6" s="27" t="s">
        <v>125</v>
      </c>
      <c r="I6" s="27" t="s">
        <v>128</v>
      </c>
      <c r="J6" s="2" t="s">
        <v>109</v>
      </c>
      <c r="K6" s="2" t="s">
        <v>65</v>
      </c>
      <c r="L6" s="2" t="s">
        <v>110</v>
      </c>
      <c r="M6" s="2" t="s">
        <v>111</v>
      </c>
      <c r="N6" s="20" t="s">
        <v>100</v>
      </c>
      <c r="O6" s="18" t="s">
        <v>77</v>
      </c>
      <c r="P6" s="18" t="s">
        <v>115</v>
      </c>
      <c r="Q6" s="22"/>
      <c r="R6" s="22"/>
      <c r="S6" s="22"/>
      <c r="T6" s="18" t="s">
        <v>116</v>
      </c>
      <c r="U6" s="18"/>
      <c r="V6" s="2">
        <v>10</v>
      </c>
      <c r="W6" s="2">
        <v>12</v>
      </c>
      <c r="X6" s="17"/>
      <c r="Z6" s="37"/>
    </row>
    <row r="10" spans="1:30" ht="48" x14ac:dyDescent="0.3">
      <c r="A10" s="4" t="s">
        <v>24</v>
      </c>
      <c r="B10" s="5" t="s">
        <v>67</v>
      </c>
      <c r="C10" s="6" t="s">
        <v>4</v>
      </c>
      <c r="D10" s="7" t="s">
        <v>27</v>
      </c>
      <c r="E10" s="7" t="s">
        <v>28</v>
      </c>
      <c r="F10" s="7" t="s">
        <v>35</v>
      </c>
      <c r="G10" s="8" t="s">
        <v>124</v>
      </c>
      <c r="H10" s="31" t="s">
        <v>126</v>
      </c>
      <c r="I10" s="32" t="s">
        <v>173</v>
      </c>
      <c r="J10" s="43" t="s">
        <v>175</v>
      </c>
      <c r="K10" s="7" t="s">
        <v>36</v>
      </c>
      <c r="L10" s="7" t="s">
        <v>34</v>
      </c>
      <c r="M10" s="7" t="s">
        <v>57</v>
      </c>
      <c r="N10" s="8" t="s">
        <v>105</v>
      </c>
      <c r="O10" s="40" t="s">
        <v>167</v>
      </c>
      <c r="P10" s="39" t="s">
        <v>168</v>
      </c>
      <c r="Q10" s="7" t="s">
        <v>93</v>
      </c>
      <c r="R10" s="7" t="s">
        <v>76</v>
      </c>
      <c r="S10" s="7" t="s">
        <v>94</v>
      </c>
      <c r="T10" s="7" t="s">
        <v>80</v>
      </c>
      <c r="U10" s="7" t="s">
        <v>82</v>
      </c>
      <c r="V10" s="7" t="s">
        <v>81</v>
      </c>
      <c r="W10" s="7" t="s">
        <v>68</v>
      </c>
      <c r="X10" s="7" t="s">
        <v>144</v>
      </c>
      <c r="Y10" s="7" t="s">
        <v>164</v>
      </c>
      <c r="Z10" s="7" t="s">
        <v>40</v>
      </c>
      <c r="AA10" s="7" t="s">
        <v>41</v>
      </c>
      <c r="AB10" s="7" t="s">
        <v>53</v>
      </c>
      <c r="AC10" s="15" t="s">
        <v>92</v>
      </c>
      <c r="AD10" s="37"/>
    </row>
    <row r="11" spans="1:30" x14ac:dyDescent="0.3">
      <c r="A11" s="4">
        <f t="shared" ref="A11:J11" si="1">SUBTOTAL(3,A13:A57)</f>
        <v>10</v>
      </c>
      <c r="B11" s="4">
        <f t="shared" si="1"/>
        <v>10</v>
      </c>
      <c r="C11" s="4">
        <f t="shared" si="1"/>
        <v>10</v>
      </c>
      <c r="D11" s="4">
        <f t="shared" si="1"/>
        <v>7</v>
      </c>
      <c r="E11" s="4">
        <f t="shared" si="1"/>
        <v>7</v>
      </c>
      <c r="F11" s="4">
        <f t="shared" si="1"/>
        <v>10</v>
      </c>
      <c r="G11" s="4">
        <f t="shared" si="1"/>
        <v>10</v>
      </c>
      <c r="H11" s="4">
        <f t="shared" si="1"/>
        <v>10</v>
      </c>
      <c r="I11" s="4">
        <f t="shared" si="1"/>
        <v>6</v>
      </c>
      <c r="J11" s="4">
        <f t="shared" si="1"/>
        <v>5</v>
      </c>
      <c r="K11" s="4">
        <f>SUBTOTAL(3,K13:K57)</f>
        <v>4</v>
      </c>
      <c r="L11" s="4">
        <f>SUBTOTAL(3,L13:L57)</f>
        <v>4</v>
      </c>
      <c r="M11" s="4">
        <f>SUBTOTAL(3,M13:M57)</f>
        <v>4</v>
      </c>
      <c r="N11" s="4">
        <f>SUBTOTAL(3,N13:N57)</f>
        <v>3</v>
      </c>
      <c r="O11" s="4"/>
      <c r="P11" s="4"/>
      <c r="Q11" s="4">
        <f>SUBTOTAL(3,Q13:Q57)</f>
        <v>1</v>
      </c>
      <c r="R11" s="4">
        <f t="shared" ref="R11:Y11" si="2">SUBTOTAL(3,R13:R57)</f>
        <v>3</v>
      </c>
      <c r="S11" s="4">
        <f t="shared" si="2"/>
        <v>1</v>
      </c>
      <c r="T11" s="4">
        <f t="shared" si="2"/>
        <v>0</v>
      </c>
      <c r="U11" s="4">
        <f t="shared" si="2"/>
        <v>1</v>
      </c>
      <c r="V11" s="4">
        <f t="shared" si="2"/>
        <v>1</v>
      </c>
      <c r="W11" s="4">
        <f t="shared" si="2"/>
        <v>2</v>
      </c>
      <c r="X11" s="4">
        <f t="shared" si="2"/>
        <v>2</v>
      </c>
      <c r="Y11" s="4">
        <f t="shared" si="2"/>
        <v>2</v>
      </c>
      <c r="Z11" s="4">
        <f>SUBTOTAL(3,Z13:Z57)</f>
        <v>4</v>
      </c>
      <c r="AA11" s="4">
        <f>SUBTOTAL(3,AA13:AA57)</f>
        <v>4</v>
      </c>
      <c r="AB11" s="17"/>
      <c r="AD11" s="37"/>
    </row>
    <row r="12" spans="1:30" x14ac:dyDescent="0.3">
      <c r="A12" s="6" t="s">
        <v>0</v>
      </c>
      <c r="B12" s="6" t="s">
        <v>0</v>
      </c>
      <c r="C12" s="6" t="s">
        <v>0</v>
      </c>
      <c r="D12" s="6" t="s">
        <v>0</v>
      </c>
      <c r="E12" s="6" t="s">
        <v>0</v>
      </c>
      <c r="F12" s="6" t="s">
        <v>0</v>
      </c>
      <c r="G12" s="6" t="s">
        <v>0</v>
      </c>
      <c r="H12" s="6" t="s">
        <v>0</v>
      </c>
      <c r="I12" s="6" t="s">
        <v>0</v>
      </c>
      <c r="J12" s="6" t="s">
        <v>0</v>
      </c>
      <c r="K12" s="6" t="s">
        <v>0</v>
      </c>
      <c r="L12" s="6" t="s">
        <v>0</v>
      </c>
      <c r="M12" s="6" t="s">
        <v>0</v>
      </c>
      <c r="N12" s="6" t="s">
        <v>0</v>
      </c>
      <c r="O12" s="6"/>
      <c r="P12" s="6"/>
      <c r="Q12" s="6" t="s">
        <v>0</v>
      </c>
      <c r="R12" s="6" t="s">
        <v>0</v>
      </c>
      <c r="S12" s="6" t="s">
        <v>0</v>
      </c>
      <c r="T12" s="6" t="s">
        <v>0</v>
      </c>
      <c r="U12" s="6" t="s">
        <v>0</v>
      </c>
      <c r="V12" s="6" t="s">
        <v>0</v>
      </c>
      <c r="W12" s="6" t="s">
        <v>0</v>
      </c>
      <c r="X12" s="6" t="s">
        <v>0</v>
      </c>
      <c r="Y12" s="6" t="s">
        <v>0</v>
      </c>
      <c r="Z12" s="6" t="s">
        <v>0</v>
      </c>
      <c r="AA12" s="6" t="s">
        <v>0</v>
      </c>
      <c r="AB12" s="6" t="s">
        <v>0</v>
      </c>
      <c r="AD12" s="37"/>
    </row>
    <row r="13" spans="1:30" ht="24" x14ac:dyDescent="0.3">
      <c r="A13" s="4">
        <v>12</v>
      </c>
      <c r="B13" s="2" t="s">
        <v>123</v>
      </c>
      <c r="C13" s="2" t="s">
        <v>117</v>
      </c>
      <c r="D13" s="2">
        <v>106.565909</v>
      </c>
      <c r="E13" s="2">
        <v>10.764969000000001</v>
      </c>
      <c r="F13" s="2" t="s">
        <v>162</v>
      </c>
      <c r="G13" s="26" t="s">
        <v>127</v>
      </c>
      <c r="H13" s="34" t="s">
        <v>135</v>
      </c>
      <c r="I13" s="28"/>
      <c r="J13" s="28"/>
      <c r="K13" s="2"/>
      <c r="L13" s="2"/>
      <c r="M13" s="2"/>
      <c r="N13" s="2"/>
      <c r="O13" s="2"/>
      <c r="P13" s="2"/>
      <c r="Q13" s="20"/>
      <c r="R13" s="18"/>
      <c r="S13" s="18"/>
      <c r="T13" s="18"/>
      <c r="U13" s="18"/>
      <c r="V13" s="18"/>
      <c r="W13" s="18"/>
      <c r="X13" s="18"/>
      <c r="Y13" s="18"/>
      <c r="Z13" s="2"/>
      <c r="AA13" s="2"/>
      <c r="AB13" s="17"/>
      <c r="AD13" s="37"/>
    </row>
    <row r="14" spans="1:30" x14ac:dyDescent="0.3">
      <c r="A14" s="4">
        <v>13</v>
      </c>
      <c r="B14" s="2" t="s">
        <v>136</v>
      </c>
      <c r="C14" s="2" t="s">
        <v>137</v>
      </c>
      <c r="D14" s="2"/>
      <c r="E14" s="2"/>
      <c r="F14" s="2" t="s">
        <v>139</v>
      </c>
      <c r="G14" s="35" t="s">
        <v>140</v>
      </c>
      <c r="H14" s="34" t="s">
        <v>140</v>
      </c>
      <c r="I14" s="27"/>
      <c r="J14" s="27"/>
      <c r="K14" s="2"/>
      <c r="L14" s="2"/>
      <c r="M14" s="2"/>
      <c r="N14" s="2"/>
      <c r="O14" s="2"/>
      <c r="P14" s="2"/>
      <c r="Q14" s="20"/>
      <c r="R14" s="18"/>
      <c r="S14" s="18"/>
      <c r="T14" s="22"/>
      <c r="U14" s="22"/>
      <c r="V14" s="22"/>
      <c r="W14" s="18"/>
      <c r="X14" s="18"/>
      <c r="Y14" s="18"/>
      <c r="Z14" s="2"/>
      <c r="AA14" s="2"/>
      <c r="AB14" s="17"/>
      <c r="AD14" s="37"/>
    </row>
    <row r="15" spans="1:30" x14ac:dyDescent="0.3">
      <c r="A15" s="4">
        <v>14</v>
      </c>
      <c r="B15" s="2" t="s">
        <v>141</v>
      </c>
      <c r="C15" s="2" t="s">
        <v>137</v>
      </c>
      <c r="D15" s="2"/>
      <c r="E15" s="2"/>
      <c r="F15" s="2" t="s">
        <v>138</v>
      </c>
      <c r="G15" s="35" t="s">
        <v>140</v>
      </c>
      <c r="H15" s="34" t="s">
        <v>140</v>
      </c>
      <c r="I15" s="27"/>
      <c r="J15" s="27"/>
      <c r="K15" s="2"/>
      <c r="L15" s="2"/>
      <c r="M15" s="2"/>
      <c r="N15" s="2"/>
      <c r="O15" s="2"/>
      <c r="P15" s="2"/>
      <c r="Q15" s="20"/>
      <c r="R15" s="18"/>
      <c r="S15" s="18"/>
      <c r="T15" s="22"/>
      <c r="U15" s="22"/>
      <c r="V15" s="22"/>
      <c r="W15" s="18"/>
      <c r="X15" s="18"/>
      <c r="Y15" s="18"/>
      <c r="Z15" s="2"/>
      <c r="AA15" s="2"/>
      <c r="AB15" s="17"/>
      <c r="AD15" s="37"/>
    </row>
    <row r="16" spans="1:30" x14ac:dyDescent="0.3">
      <c r="A16" s="4">
        <v>15</v>
      </c>
      <c r="B16" s="2" t="s">
        <v>142</v>
      </c>
      <c r="C16" s="2" t="s">
        <v>117</v>
      </c>
      <c r="D16" s="2"/>
      <c r="E16" s="2"/>
      <c r="F16" s="2" t="s">
        <v>143</v>
      </c>
      <c r="G16" s="35" t="s">
        <v>140</v>
      </c>
      <c r="H16" s="34" t="s">
        <v>140</v>
      </c>
      <c r="I16" s="27"/>
      <c r="J16" s="27"/>
      <c r="K16" s="2"/>
      <c r="L16" s="2"/>
      <c r="M16" s="2"/>
      <c r="N16" s="2"/>
      <c r="O16" s="2"/>
      <c r="P16" s="2"/>
      <c r="Q16" s="20"/>
      <c r="R16" s="18"/>
      <c r="S16" s="18"/>
      <c r="T16" s="22"/>
      <c r="U16" s="22"/>
      <c r="V16" s="22"/>
      <c r="W16" s="18"/>
      <c r="X16" s="18"/>
      <c r="Y16" s="18"/>
      <c r="Z16" s="2"/>
      <c r="AA16" s="2"/>
      <c r="AB16" s="17"/>
      <c r="AD16" s="37"/>
    </row>
    <row r="17" spans="1:42" ht="60" x14ac:dyDescent="0.3">
      <c r="A17" s="4">
        <v>15</v>
      </c>
      <c r="B17" s="2" t="s">
        <v>195</v>
      </c>
      <c r="C17" s="2" t="s">
        <v>15</v>
      </c>
      <c r="D17" s="2">
        <v>106.56671299999999</v>
      </c>
      <c r="E17" s="2">
        <v>10.862303000000001</v>
      </c>
      <c r="F17" s="2" t="s">
        <v>196</v>
      </c>
      <c r="G17" s="25" t="s">
        <v>134</v>
      </c>
      <c r="H17" s="27" t="s">
        <v>134</v>
      </c>
      <c r="I17" s="27" t="s">
        <v>185</v>
      </c>
      <c r="J17" s="27" t="s">
        <v>176</v>
      </c>
      <c r="K17" s="2" t="s">
        <v>197</v>
      </c>
      <c r="L17" s="2" t="s">
        <v>58</v>
      </c>
      <c r="M17" s="2" t="s">
        <v>147</v>
      </c>
      <c r="N17" s="8" t="s">
        <v>178</v>
      </c>
      <c r="O17" s="2"/>
      <c r="P17" s="2"/>
      <c r="Q17" s="20" t="s">
        <v>198</v>
      </c>
      <c r="R17" s="18" t="s">
        <v>77</v>
      </c>
      <c r="S17" s="18"/>
      <c r="T17" s="22"/>
      <c r="U17" s="22"/>
      <c r="V17" s="22"/>
      <c r="W17" s="18" t="s">
        <v>199</v>
      </c>
      <c r="X17" s="18"/>
      <c r="Y17" s="18"/>
      <c r="Z17" s="2">
        <v>16</v>
      </c>
      <c r="AA17" s="2">
        <v>9</v>
      </c>
      <c r="AB17" s="17"/>
      <c r="AD17" s="37"/>
    </row>
    <row r="18" spans="1:42" s="79" customFormat="1" ht="72" x14ac:dyDescent="0.3">
      <c r="A18" s="77">
        <v>16</v>
      </c>
      <c r="B18" s="8" t="s">
        <v>232</v>
      </c>
      <c r="C18" s="8" t="s">
        <v>15</v>
      </c>
      <c r="D18" s="8">
        <v>106.651433</v>
      </c>
      <c r="E18" s="8">
        <v>10.897498000000001</v>
      </c>
      <c r="F18" s="8" t="s">
        <v>233</v>
      </c>
      <c r="G18" s="30" t="s">
        <v>134</v>
      </c>
      <c r="H18" s="36" t="s">
        <v>140</v>
      </c>
      <c r="I18" s="30" t="s">
        <v>296</v>
      </c>
      <c r="J18" s="30" t="s">
        <v>176</v>
      </c>
      <c r="K18" s="22"/>
      <c r="L18" s="8" t="s">
        <v>234</v>
      </c>
      <c r="M18" s="8" t="s">
        <v>43</v>
      </c>
      <c r="N18" s="8" t="s">
        <v>58</v>
      </c>
      <c r="O18" s="8"/>
      <c r="P18" s="8"/>
      <c r="Q18" s="8"/>
      <c r="R18" s="21" t="s">
        <v>235</v>
      </c>
      <c r="S18" s="22"/>
      <c r="T18" s="21"/>
      <c r="U18" s="22"/>
      <c r="V18" s="22"/>
      <c r="W18" s="22"/>
      <c r="X18" s="22"/>
      <c r="Y18" s="22"/>
      <c r="Z18" s="22"/>
      <c r="AA18" s="22"/>
      <c r="AB18" s="8">
        <v>13</v>
      </c>
      <c r="AC18" s="8">
        <v>12</v>
      </c>
      <c r="AD18" s="78"/>
      <c r="AF18" s="80"/>
    </row>
    <row r="19" spans="1:42" s="79" customFormat="1" ht="60" x14ac:dyDescent="0.3">
      <c r="A19" s="77">
        <v>18</v>
      </c>
      <c r="B19" s="8" t="s">
        <v>195</v>
      </c>
      <c r="C19" s="8" t="s">
        <v>15</v>
      </c>
      <c r="D19" s="8">
        <v>106.56538399999999</v>
      </c>
      <c r="E19" s="8">
        <v>10.860938000000001</v>
      </c>
      <c r="F19" s="8" t="s">
        <v>289</v>
      </c>
      <c r="G19" s="36" t="s">
        <v>140</v>
      </c>
      <c r="H19" s="30" t="s">
        <v>134</v>
      </c>
      <c r="I19" s="30" t="s">
        <v>185</v>
      </c>
      <c r="J19" s="30" t="s">
        <v>176</v>
      </c>
      <c r="K19" s="22"/>
      <c r="L19" s="22" t="s">
        <v>301</v>
      </c>
      <c r="M19" s="8" t="s">
        <v>43</v>
      </c>
      <c r="N19" s="8" t="s">
        <v>147</v>
      </c>
      <c r="O19" s="8"/>
      <c r="P19" s="8"/>
      <c r="Q19" s="8"/>
      <c r="R19" s="21" t="s">
        <v>293</v>
      </c>
      <c r="S19" s="22" t="s">
        <v>79</v>
      </c>
      <c r="T19" s="21"/>
      <c r="U19" s="22" t="s">
        <v>303</v>
      </c>
      <c r="V19" s="22" t="s">
        <v>290</v>
      </c>
      <c r="W19" s="22" t="s">
        <v>302</v>
      </c>
      <c r="X19" s="22" t="s">
        <v>291</v>
      </c>
      <c r="Y19" s="22"/>
      <c r="Z19" s="22"/>
      <c r="AA19" s="22"/>
      <c r="AB19" s="8">
        <v>14</v>
      </c>
      <c r="AC19" s="8">
        <v>12</v>
      </c>
      <c r="AD19" s="78"/>
      <c r="AF19" s="80"/>
    </row>
    <row r="20" spans="1:42" s="91" customFormat="1" ht="72" x14ac:dyDescent="0.3">
      <c r="A20" s="89">
        <v>19</v>
      </c>
      <c r="B20" s="25" t="s">
        <v>340</v>
      </c>
      <c r="C20" s="25" t="s">
        <v>15</v>
      </c>
      <c r="D20" s="25">
        <v>106.587734</v>
      </c>
      <c r="E20" s="25">
        <v>10.846996000000001</v>
      </c>
      <c r="F20" s="25" t="s">
        <v>343</v>
      </c>
      <c r="G20" s="2" t="s">
        <v>353</v>
      </c>
      <c r="H20" s="27" t="s">
        <v>134</v>
      </c>
      <c r="I20" s="27" t="s">
        <v>134</v>
      </c>
      <c r="J20" s="24"/>
      <c r="K20" s="27" t="s">
        <v>297</v>
      </c>
      <c r="L20" s="24"/>
      <c r="M20" s="27" t="s">
        <v>297</v>
      </c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5" t="s">
        <v>341</v>
      </c>
      <c r="Y20" s="96">
        <v>6000000</v>
      </c>
      <c r="Z20" s="25" t="s">
        <v>342</v>
      </c>
      <c r="AA20" s="25" t="s">
        <v>334</v>
      </c>
      <c r="AB20" s="25"/>
      <c r="AC20" s="25"/>
      <c r="AD20" s="23" t="s">
        <v>294</v>
      </c>
      <c r="AE20" s="24" t="s">
        <v>77</v>
      </c>
      <c r="AF20" s="23"/>
      <c r="AG20" s="24"/>
      <c r="AH20" s="24"/>
      <c r="AI20" s="24"/>
      <c r="AJ20" s="24" t="s">
        <v>345</v>
      </c>
      <c r="AK20" s="26">
        <v>12</v>
      </c>
      <c r="AL20" s="25">
        <v>12</v>
      </c>
      <c r="AM20" s="90"/>
      <c r="AO20" s="92"/>
    </row>
    <row r="22" spans="1:42" s="121" customFormat="1" ht="60" x14ac:dyDescent="0.3">
      <c r="A22" s="4">
        <v>31</v>
      </c>
      <c r="B22" s="2" t="s">
        <v>439</v>
      </c>
      <c r="C22" s="2" t="e">
        <v>#N/A</v>
      </c>
      <c r="D22" s="2" t="s">
        <v>459</v>
      </c>
      <c r="E22" s="2">
        <v>106.805773</v>
      </c>
      <c r="F22" s="2">
        <v>10.58525</v>
      </c>
      <c r="G22" s="2" t="s">
        <v>440</v>
      </c>
      <c r="H22" s="34" t="s">
        <v>441</v>
      </c>
      <c r="I22" s="48" t="s">
        <v>441</v>
      </c>
      <c r="J22" s="34" t="s">
        <v>140</v>
      </c>
      <c r="K22" s="97">
        <v>44762</v>
      </c>
      <c r="L22" s="27" t="s">
        <v>418</v>
      </c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2" t="s">
        <v>442</v>
      </c>
      <c r="Z22" s="101">
        <v>3500000</v>
      </c>
      <c r="AA22" s="101">
        <v>4500000</v>
      </c>
      <c r="AB22" s="95">
        <v>12500000</v>
      </c>
      <c r="AC22" s="48"/>
      <c r="AD22" s="48"/>
      <c r="AE22" s="110" t="s">
        <v>443</v>
      </c>
      <c r="AF22" s="111" t="s">
        <v>77</v>
      </c>
      <c r="AG22" s="118"/>
      <c r="AH22" s="119" t="s">
        <v>444</v>
      </c>
      <c r="AI22" s="117" t="s">
        <v>445</v>
      </c>
      <c r="AJ22" s="110" t="s">
        <v>398</v>
      </c>
      <c r="AK22" s="2" t="s">
        <v>446</v>
      </c>
      <c r="AL22" s="8">
        <v>0</v>
      </c>
      <c r="AM22" s="2">
        <v>30</v>
      </c>
      <c r="AN22" s="48"/>
      <c r="AO22" t="s">
        <v>764</v>
      </c>
      <c r="AP22" s="120"/>
    </row>
    <row r="23" spans="1:42" s="121" customFormat="1" ht="48" x14ac:dyDescent="0.3">
      <c r="A23" s="4">
        <v>39</v>
      </c>
      <c r="B23" s="2" t="s">
        <v>487</v>
      </c>
      <c r="C23" s="2" t="e">
        <v>#N/A</v>
      </c>
      <c r="D23" s="2" t="s">
        <v>468</v>
      </c>
      <c r="E23" s="2">
        <v>106.620645</v>
      </c>
      <c r="F23" s="2">
        <v>10.786562999999999</v>
      </c>
      <c r="G23" s="2" t="s">
        <v>488</v>
      </c>
      <c r="H23" s="34" t="s">
        <v>140</v>
      </c>
      <c r="I23" s="27" t="s">
        <v>134</v>
      </c>
      <c r="J23" s="27" t="s">
        <v>134</v>
      </c>
      <c r="K23" s="123" t="s">
        <v>509</v>
      </c>
      <c r="L23" s="34"/>
      <c r="M23" s="97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2"/>
      <c r="Z23" s="101">
        <v>7000000</v>
      </c>
      <c r="AA23" s="101">
        <v>7000000</v>
      </c>
      <c r="AB23" s="95">
        <v>10900000</v>
      </c>
      <c r="AC23" s="48"/>
      <c r="AD23" s="48"/>
      <c r="AE23" s="87">
        <v>44902</v>
      </c>
      <c r="AF23" s="111" t="s">
        <v>77</v>
      </c>
      <c r="AG23" s="118"/>
      <c r="AH23" s="119" t="s">
        <v>489</v>
      </c>
      <c r="AI23" s="117" t="s">
        <v>490</v>
      </c>
      <c r="AJ23" s="110" t="s">
        <v>194</v>
      </c>
      <c r="AK23" s="2" t="s">
        <v>491</v>
      </c>
      <c r="AL23" s="2">
        <v>14</v>
      </c>
      <c r="AM23" s="2">
        <v>12</v>
      </c>
      <c r="AN23" s="48"/>
      <c r="AO23" t="s">
        <v>764</v>
      </c>
      <c r="AP23" s="120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J21"/>
  <sheetViews>
    <sheetView workbookViewId="0">
      <selection activeCell="F20" sqref="F20"/>
    </sheetView>
  </sheetViews>
  <sheetFormatPr defaultRowHeight="14.4" x14ac:dyDescent="0.3"/>
  <cols>
    <col min="2" max="2" width="9.21875" style="54"/>
    <col min="3" max="3" width="32" bestFit="1" customWidth="1"/>
    <col min="4" max="5" width="23" customWidth="1"/>
    <col min="6" max="6" width="36" customWidth="1"/>
    <col min="10" max="10" width="18" style="19" customWidth="1"/>
  </cols>
  <sheetData>
    <row r="1" spans="2:10" x14ac:dyDescent="0.3">
      <c r="B1" s="48" t="s">
        <v>24</v>
      </c>
      <c r="C1" s="48" t="s">
        <v>216</v>
      </c>
      <c r="D1" s="48" t="s">
        <v>218</v>
      </c>
      <c r="E1" s="48"/>
      <c r="F1" s="48" t="s">
        <v>53</v>
      </c>
    </row>
    <row r="2" spans="2:10" x14ac:dyDescent="0.3">
      <c r="B2" s="70">
        <v>1</v>
      </c>
      <c r="C2" s="70" t="s">
        <v>217</v>
      </c>
      <c r="D2" s="71">
        <f>'Báo giá DD'!F9</f>
        <v>367176920</v>
      </c>
      <c r="E2" s="71" t="s">
        <v>275</v>
      </c>
      <c r="F2" s="49" t="s">
        <v>271</v>
      </c>
    </row>
    <row r="3" spans="2:10" x14ac:dyDescent="0.3">
      <c r="B3" s="75">
        <v>2</v>
      </c>
      <c r="C3" s="75" t="s">
        <v>219</v>
      </c>
      <c r="D3" s="76">
        <f>4000000*6</f>
        <v>24000000</v>
      </c>
      <c r="E3" s="76"/>
      <c r="F3" s="298" t="s">
        <v>266</v>
      </c>
    </row>
    <row r="4" spans="2:10" x14ac:dyDescent="0.3">
      <c r="B4" s="75">
        <v>3</v>
      </c>
      <c r="C4" s="75" t="s">
        <v>220</v>
      </c>
      <c r="D4" s="76">
        <f>3*7000000-10000000</f>
        <v>11000000</v>
      </c>
      <c r="E4" s="76"/>
      <c r="F4" s="299"/>
    </row>
    <row r="5" spans="2:10" x14ac:dyDescent="0.3">
      <c r="B5" s="75">
        <v>4</v>
      </c>
      <c r="C5" s="75" t="s">
        <v>221</v>
      </c>
      <c r="D5" s="76">
        <f>3*6200000</f>
        <v>18600000</v>
      </c>
      <c r="E5" s="76"/>
      <c r="F5" s="299"/>
    </row>
    <row r="6" spans="2:10" x14ac:dyDescent="0.3">
      <c r="B6" s="70">
        <v>5</v>
      </c>
      <c r="C6" s="70" t="s">
        <v>222</v>
      </c>
      <c r="D6" s="71">
        <v>83593000</v>
      </c>
      <c r="E6" s="71" t="s">
        <v>275</v>
      </c>
      <c r="F6" s="299"/>
    </row>
    <row r="7" spans="2:10" x14ac:dyDescent="0.3">
      <c r="B7" s="75">
        <v>6</v>
      </c>
      <c r="C7" s="75" t="s">
        <v>263</v>
      </c>
      <c r="D7" s="76">
        <f>3*6000000</f>
        <v>18000000</v>
      </c>
      <c r="E7" s="76"/>
      <c r="F7" s="299"/>
    </row>
    <row r="8" spans="2:10" x14ac:dyDescent="0.3">
      <c r="B8" s="70">
        <v>7</v>
      </c>
      <c r="C8" s="70" t="s">
        <v>264</v>
      </c>
      <c r="D8" s="71">
        <v>5000000</v>
      </c>
      <c r="E8" s="71" t="s">
        <v>275</v>
      </c>
      <c r="F8" s="299"/>
    </row>
    <row r="9" spans="2:10" x14ac:dyDescent="0.3">
      <c r="B9" s="70">
        <v>8</v>
      </c>
      <c r="C9" s="70" t="s">
        <v>273</v>
      </c>
      <c r="D9" s="71">
        <v>6620000</v>
      </c>
      <c r="E9" s="71" t="s">
        <v>275</v>
      </c>
      <c r="F9" s="299"/>
    </row>
    <row r="10" spans="2:10" x14ac:dyDescent="0.3">
      <c r="B10" s="70">
        <v>9</v>
      </c>
      <c r="C10" s="70" t="s">
        <v>272</v>
      </c>
      <c r="D10" s="71">
        <v>1250000</v>
      </c>
      <c r="E10" s="71" t="s">
        <v>275</v>
      </c>
      <c r="F10" s="299"/>
    </row>
    <row r="11" spans="2:10" hidden="1" x14ac:dyDescent="0.3">
      <c r="B11" s="55"/>
      <c r="C11" s="56" t="s">
        <v>225</v>
      </c>
      <c r="D11" s="57">
        <f>SUM(D2:D10)</f>
        <v>535239920</v>
      </c>
      <c r="E11" s="72"/>
      <c r="F11" s="299"/>
      <c r="J11"/>
    </row>
    <row r="12" spans="2:10" hidden="1" x14ac:dyDescent="0.3">
      <c r="B12" s="58">
        <v>1</v>
      </c>
      <c r="C12" s="58" t="s">
        <v>223</v>
      </c>
      <c r="D12" s="59">
        <v>5786705</v>
      </c>
      <c r="E12" s="73"/>
      <c r="F12" s="299"/>
    </row>
    <row r="13" spans="2:10" hidden="1" x14ac:dyDescent="0.3">
      <c r="B13" s="60">
        <v>2</v>
      </c>
      <c r="C13" s="58" t="s">
        <v>224</v>
      </c>
      <c r="D13" s="61">
        <f>3*6300000</f>
        <v>18900000</v>
      </c>
      <c r="E13" s="74"/>
      <c r="F13" s="300"/>
    </row>
    <row r="14" spans="2:10" hidden="1" x14ac:dyDescent="0.3">
      <c r="B14" s="60"/>
      <c r="C14" s="62" t="s">
        <v>265</v>
      </c>
      <c r="D14" s="63">
        <f>D12+D13</f>
        <v>24686705</v>
      </c>
      <c r="E14" s="63"/>
      <c r="F14" s="17"/>
    </row>
    <row r="15" spans="2:10" hidden="1" x14ac:dyDescent="0.3">
      <c r="D15" s="47"/>
      <c r="E15" s="47"/>
    </row>
    <row r="16" spans="2:10" hidden="1" x14ac:dyDescent="0.3">
      <c r="D16" s="47"/>
      <c r="E16" s="47"/>
    </row>
    <row r="17" spans="3:5" hidden="1" x14ac:dyDescent="0.3">
      <c r="D17" s="64">
        <f>(D11-D14)/3</f>
        <v>170184405</v>
      </c>
      <c r="E17" s="64"/>
    </row>
    <row r="20" spans="3:5" x14ac:dyDescent="0.3">
      <c r="C20" s="19"/>
    </row>
    <row r="21" spans="3:5" x14ac:dyDescent="0.3">
      <c r="C21" s="19"/>
    </row>
  </sheetData>
  <mergeCells count="1">
    <mergeCell ref="F3:F13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1"/>
  <sheetViews>
    <sheetView workbookViewId="0">
      <selection activeCell="G13" sqref="G13"/>
    </sheetView>
  </sheetViews>
  <sheetFormatPr defaultRowHeight="14.4" x14ac:dyDescent="0.3"/>
  <cols>
    <col min="1" max="1" width="4" bestFit="1" customWidth="1"/>
    <col min="2" max="2" width="13" customWidth="1"/>
    <col min="3" max="3" width="28.44140625" customWidth="1"/>
    <col min="4" max="4" width="22.5546875" customWidth="1"/>
    <col min="5" max="5" width="15.44140625" style="37" customWidth="1"/>
    <col min="6" max="6" width="15" style="37" customWidth="1"/>
    <col min="7" max="7" width="32.77734375" style="37" customWidth="1"/>
    <col min="8" max="8" width="8.21875" bestFit="1" customWidth="1"/>
    <col min="9" max="9" width="17.77734375" bestFit="1" customWidth="1"/>
  </cols>
  <sheetData>
    <row r="1" spans="1:9" ht="57.6" x14ac:dyDescent="0.3">
      <c r="A1" s="48" t="s">
        <v>240</v>
      </c>
      <c r="B1" s="48" t="s">
        <v>241</v>
      </c>
      <c r="C1" s="48" t="s">
        <v>242</v>
      </c>
      <c r="D1" s="48" t="s">
        <v>243</v>
      </c>
      <c r="E1" s="50" t="s">
        <v>244</v>
      </c>
      <c r="F1" s="50" t="s">
        <v>245</v>
      </c>
      <c r="G1" s="50" t="s">
        <v>53</v>
      </c>
      <c r="H1" s="48" t="s">
        <v>259</v>
      </c>
      <c r="I1" s="48" t="s">
        <v>260</v>
      </c>
    </row>
    <row r="2" spans="1:9" ht="43.2" x14ac:dyDescent="0.3">
      <c r="A2" s="48">
        <v>1</v>
      </c>
      <c r="B2" s="48" t="s">
        <v>14</v>
      </c>
      <c r="C2" s="48" t="s">
        <v>246</v>
      </c>
      <c r="D2" s="48" t="s">
        <v>247</v>
      </c>
      <c r="E2" s="51">
        <v>97186343.887759268</v>
      </c>
      <c r="F2" s="51">
        <v>97186343.887759268</v>
      </c>
      <c r="G2" s="50" t="s">
        <v>261</v>
      </c>
      <c r="H2" s="48" t="s">
        <v>262</v>
      </c>
      <c r="I2" s="48" t="s">
        <v>262</v>
      </c>
    </row>
    <row r="3" spans="1:9" ht="43.2" x14ac:dyDescent="0.3">
      <c r="A3" s="48">
        <v>2</v>
      </c>
      <c r="B3" s="48" t="s">
        <v>19</v>
      </c>
      <c r="C3" s="48" t="s">
        <v>248</v>
      </c>
      <c r="D3" s="48" t="s">
        <v>249</v>
      </c>
      <c r="E3" s="51">
        <v>119976179.789873</v>
      </c>
      <c r="F3" s="51">
        <v>119976179.789873</v>
      </c>
      <c r="G3" s="50" t="s">
        <v>261</v>
      </c>
      <c r="H3" s="48" t="s">
        <v>262</v>
      </c>
      <c r="I3" s="48" t="s">
        <v>262</v>
      </c>
    </row>
    <row r="4" spans="1:9" x14ac:dyDescent="0.3">
      <c r="A4" s="48">
        <v>3</v>
      </c>
      <c r="B4" s="48" t="s">
        <v>29</v>
      </c>
      <c r="C4" s="48" t="s">
        <v>250</v>
      </c>
      <c r="D4" s="48" t="s">
        <v>247</v>
      </c>
      <c r="E4" s="51">
        <v>81643720</v>
      </c>
      <c r="F4" s="51">
        <v>86661720</v>
      </c>
      <c r="G4" s="50"/>
      <c r="H4" s="48" t="s">
        <v>262</v>
      </c>
      <c r="I4" s="48"/>
    </row>
    <row r="5" spans="1:9" x14ac:dyDescent="0.3">
      <c r="A5" s="48">
        <v>4</v>
      </c>
      <c r="B5" s="48" t="s">
        <v>251</v>
      </c>
      <c r="C5" s="48" t="s">
        <v>252</v>
      </c>
      <c r="D5" s="48" t="s">
        <v>253</v>
      </c>
      <c r="E5" s="51">
        <v>181765190</v>
      </c>
      <c r="F5" s="51">
        <v>183610190</v>
      </c>
      <c r="G5" s="50"/>
      <c r="H5" s="48" t="s">
        <v>262</v>
      </c>
      <c r="I5" s="48"/>
    </row>
    <row r="6" spans="1:9" x14ac:dyDescent="0.3">
      <c r="A6" s="48">
        <v>5</v>
      </c>
      <c r="B6" s="48" t="s">
        <v>254</v>
      </c>
      <c r="C6" s="48" t="s">
        <v>255</v>
      </c>
      <c r="D6" s="48" t="s">
        <v>256</v>
      </c>
      <c r="E6" s="51">
        <v>182845575</v>
      </c>
      <c r="F6" s="51">
        <v>185170575</v>
      </c>
      <c r="G6" s="50"/>
      <c r="H6" s="48" t="s">
        <v>262</v>
      </c>
      <c r="I6" s="48" t="s">
        <v>262</v>
      </c>
    </row>
    <row r="7" spans="1:9" x14ac:dyDescent="0.3">
      <c r="A7" s="48">
        <v>6</v>
      </c>
      <c r="B7" s="48" t="s">
        <v>257</v>
      </c>
      <c r="C7" s="48" t="s">
        <v>258</v>
      </c>
      <c r="D7" s="48" t="s">
        <v>256</v>
      </c>
      <c r="E7" s="51">
        <v>94620010</v>
      </c>
      <c r="F7" s="51">
        <v>96905010</v>
      </c>
      <c r="G7" s="50"/>
      <c r="H7" s="48" t="s">
        <v>262</v>
      </c>
      <c r="I7" s="48"/>
    </row>
    <row r="8" spans="1:9" x14ac:dyDescent="0.3">
      <c r="F8" s="52"/>
    </row>
    <row r="9" spans="1:9" x14ac:dyDescent="0.3">
      <c r="F9" s="52">
        <f>F4+F5+F7</f>
        <v>367176920</v>
      </c>
    </row>
    <row r="20" spans="6:6" x14ac:dyDescent="0.3">
      <c r="F20" s="38">
        <v>44658</v>
      </c>
    </row>
    <row r="21" spans="6:6" x14ac:dyDescent="0.3">
      <c r="F21" s="38">
        <f>F20+365*5</f>
        <v>46483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V10"/>
  <sheetViews>
    <sheetView zoomScale="80" zoomScaleNormal="80" workbookViewId="0">
      <selection activeCell="L11" sqref="L11"/>
    </sheetView>
  </sheetViews>
  <sheetFormatPr defaultColWidth="9" defaultRowHeight="12" x14ac:dyDescent="0.25"/>
  <cols>
    <col min="1" max="1" width="5.44140625" style="3" bestFit="1" customWidth="1"/>
    <col min="2" max="4" width="9.21875" style="3" bestFit="1" customWidth="1"/>
    <col min="5" max="5" width="11" style="3" customWidth="1"/>
    <col min="6" max="6" width="10" style="3" bestFit="1" customWidth="1"/>
    <col min="7" max="11" width="9.21875" style="3" customWidth="1"/>
    <col min="12" max="12" width="14.77734375" style="3" customWidth="1"/>
    <col min="13" max="13" width="9.21875" style="3" bestFit="1" customWidth="1"/>
    <col min="14" max="14" width="10" style="3" bestFit="1" customWidth="1"/>
    <col min="15" max="18" width="9.21875" style="3" bestFit="1" customWidth="1"/>
    <col min="19" max="19" width="10" style="3" bestFit="1" customWidth="1"/>
    <col min="20" max="21" width="9.21875" style="3" bestFit="1" customWidth="1"/>
    <col min="22" max="16384" width="9" style="3"/>
  </cols>
  <sheetData>
    <row r="1" spans="1:22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01" t="s">
        <v>1</v>
      </c>
      <c r="M1" s="301"/>
      <c r="N1" s="301"/>
      <c r="O1" s="301"/>
      <c r="P1" s="301"/>
      <c r="Q1" s="302" t="s">
        <v>2</v>
      </c>
      <c r="R1" s="302"/>
      <c r="S1" s="302"/>
      <c r="T1" s="302"/>
      <c r="U1" s="302"/>
    </row>
    <row r="2" spans="1:22" ht="48" x14ac:dyDescent="0.25">
      <c r="A2" s="4" t="s">
        <v>24</v>
      </c>
      <c r="B2" s="5" t="s">
        <v>3</v>
      </c>
      <c r="C2" s="6" t="s">
        <v>4</v>
      </c>
      <c r="D2" s="5" t="s">
        <v>5</v>
      </c>
      <c r="E2" s="7" t="s">
        <v>27</v>
      </c>
      <c r="F2" s="7" t="s">
        <v>28</v>
      </c>
      <c r="G2" s="7" t="s">
        <v>35</v>
      </c>
      <c r="H2" s="7" t="s">
        <v>36</v>
      </c>
      <c r="I2" s="7" t="s">
        <v>34</v>
      </c>
      <c r="J2" s="7" t="s">
        <v>40</v>
      </c>
      <c r="K2" s="7" t="s">
        <v>41</v>
      </c>
      <c r="L2" s="5" t="s">
        <v>6</v>
      </c>
      <c r="M2" s="5" t="s">
        <v>7</v>
      </c>
      <c r="N2" s="8" t="s">
        <v>8</v>
      </c>
      <c r="O2" s="9" t="s">
        <v>9</v>
      </c>
      <c r="P2" s="10" t="s">
        <v>10</v>
      </c>
      <c r="Q2" s="11" t="s">
        <v>11</v>
      </c>
      <c r="R2" s="11" t="s">
        <v>7</v>
      </c>
      <c r="S2" s="12" t="s">
        <v>8</v>
      </c>
      <c r="T2" s="13" t="s">
        <v>12</v>
      </c>
      <c r="U2" s="14" t="s">
        <v>13</v>
      </c>
    </row>
    <row r="3" spans="1:22" x14ac:dyDescent="0.25">
      <c r="A3" s="4">
        <f>SUBTOTAL(3,A5:A50)</f>
        <v>5</v>
      </c>
      <c r="B3" s="1">
        <f t="shared" ref="B3:U3" si="0">SUBTOTAL(3,B5:B50)</f>
        <v>5</v>
      </c>
      <c r="C3" s="1">
        <f t="shared" si="0"/>
        <v>5</v>
      </c>
      <c r="D3" s="1">
        <f t="shared" si="0"/>
        <v>4</v>
      </c>
      <c r="E3" s="1">
        <f t="shared" si="0"/>
        <v>4</v>
      </c>
      <c r="F3" s="1">
        <f t="shared" si="0"/>
        <v>4</v>
      </c>
      <c r="G3" s="1"/>
      <c r="H3" s="1"/>
      <c r="I3" s="1"/>
      <c r="J3" s="1"/>
      <c r="K3" s="1"/>
      <c r="L3" s="1">
        <f t="shared" si="0"/>
        <v>2</v>
      </c>
      <c r="M3" s="1">
        <f t="shared" si="0"/>
        <v>2</v>
      </c>
      <c r="N3" s="1">
        <f t="shared" si="0"/>
        <v>2</v>
      </c>
      <c r="O3" s="1">
        <f t="shared" si="0"/>
        <v>2</v>
      </c>
      <c r="P3" s="1">
        <f t="shared" si="0"/>
        <v>0</v>
      </c>
      <c r="Q3" s="1">
        <f t="shared" si="0"/>
        <v>2</v>
      </c>
      <c r="R3" s="1">
        <f t="shared" si="0"/>
        <v>2</v>
      </c>
      <c r="S3" s="1">
        <f t="shared" si="0"/>
        <v>2</v>
      </c>
      <c r="T3" s="1">
        <f t="shared" si="0"/>
        <v>1</v>
      </c>
      <c r="U3" s="1">
        <f t="shared" si="0"/>
        <v>0</v>
      </c>
    </row>
    <row r="4" spans="1:22" x14ac:dyDescent="0.25">
      <c r="A4" s="6" t="s">
        <v>0</v>
      </c>
      <c r="B4" s="6" t="s">
        <v>0</v>
      </c>
      <c r="C4" s="6" t="s">
        <v>0</v>
      </c>
      <c r="D4" s="6" t="s">
        <v>0</v>
      </c>
      <c r="E4" s="6" t="s">
        <v>0</v>
      </c>
      <c r="F4" s="6" t="s">
        <v>0</v>
      </c>
      <c r="G4" s="6"/>
      <c r="H4" s="6"/>
      <c r="I4" s="6"/>
      <c r="J4" s="6"/>
      <c r="K4" s="6"/>
      <c r="L4" s="5" t="s">
        <v>0</v>
      </c>
      <c r="M4" s="5" t="s">
        <v>0</v>
      </c>
      <c r="N4" s="5" t="s">
        <v>0</v>
      </c>
      <c r="O4" s="5" t="s">
        <v>0</v>
      </c>
      <c r="P4" s="5" t="s">
        <v>0</v>
      </c>
      <c r="Q4" s="11" t="s">
        <v>0</v>
      </c>
      <c r="R4" s="11" t="s">
        <v>0</v>
      </c>
      <c r="S4" s="11" t="s">
        <v>0</v>
      </c>
      <c r="T4" s="11" t="s">
        <v>0</v>
      </c>
      <c r="U4" s="11" t="s">
        <v>0</v>
      </c>
    </row>
    <row r="5" spans="1:22" ht="48" x14ac:dyDescent="0.25">
      <c r="A5" s="4">
        <v>1</v>
      </c>
      <c r="B5" s="2" t="s">
        <v>14</v>
      </c>
      <c r="C5" s="2" t="s">
        <v>15</v>
      </c>
      <c r="D5" s="2" t="s">
        <v>16</v>
      </c>
      <c r="E5" s="2">
        <v>106.60143100000001</v>
      </c>
      <c r="F5" s="2">
        <v>10.829214</v>
      </c>
      <c r="G5" s="2" t="s">
        <v>45</v>
      </c>
      <c r="H5" s="2" t="s">
        <v>46</v>
      </c>
      <c r="I5" s="2" t="s">
        <v>43</v>
      </c>
      <c r="J5" s="2">
        <v>15.5</v>
      </c>
      <c r="K5" s="8" t="s">
        <v>47</v>
      </c>
      <c r="L5" s="2" t="s">
        <v>44</v>
      </c>
      <c r="M5" s="2" t="s">
        <v>17</v>
      </c>
      <c r="N5" s="2">
        <v>308</v>
      </c>
      <c r="O5" s="8" t="s">
        <v>25</v>
      </c>
      <c r="P5" s="2"/>
      <c r="Q5" s="2" t="s">
        <v>18</v>
      </c>
      <c r="R5" s="2" t="s">
        <v>17</v>
      </c>
      <c r="S5" s="2">
        <v>192</v>
      </c>
      <c r="T5" s="2"/>
      <c r="U5" s="2"/>
    </row>
    <row r="6" spans="1:22" ht="48" x14ac:dyDescent="0.25">
      <c r="A6" s="4">
        <v>2</v>
      </c>
      <c r="B6" s="2" t="s">
        <v>19</v>
      </c>
      <c r="C6" s="2" t="s">
        <v>15</v>
      </c>
      <c r="D6" s="2" t="s">
        <v>20</v>
      </c>
      <c r="E6" s="2">
        <v>106.603728</v>
      </c>
      <c r="F6" s="2">
        <v>10.871266</v>
      </c>
      <c r="G6" s="2" t="s">
        <v>42</v>
      </c>
      <c r="H6" s="2" t="s">
        <v>51</v>
      </c>
      <c r="I6" s="2" t="s">
        <v>43</v>
      </c>
      <c r="J6" s="2">
        <v>13</v>
      </c>
      <c r="K6" s="2">
        <v>9</v>
      </c>
      <c r="L6" s="2" t="s">
        <v>21</v>
      </c>
      <c r="M6" s="2" t="s">
        <v>22</v>
      </c>
      <c r="N6" s="2">
        <v>346</v>
      </c>
      <c r="O6" s="8" t="s">
        <v>25</v>
      </c>
      <c r="P6" s="2"/>
      <c r="Q6" s="2" t="s">
        <v>23</v>
      </c>
      <c r="R6" s="2" t="s">
        <v>17</v>
      </c>
      <c r="S6" s="2">
        <v>222</v>
      </c>
      <c r="T6" s="8" t="s">
        <v>26</v>
      </c>
      <c r="U6" s="2"/>
    </row>
    <row r="7" spans="1:22" ht="72" x14ac:dyDescent="0.25">
      <c r="A7" s="4">
        <v>3</v>
      </c>
      <c r="B7" s="2" t="s">
        <v>29</v>
      </c>
      <c r="C7" s="2" t="s">
        <v>15</v>
      </c>
      <c r="D7" s="2" t="s">
        <v>31</v>
      </c>
      <c r="E7" s="2">
        <v>106.585566</v>
      </c>
      <c r="F7" s="2">
        <v>10.872354</v>
      </c>
      <c r="G7" s="2" t="s">
        <v>37</v>
      </c>
      <c r="H7" s="2" t="s">
        <v>38</v>
      </c>
      <c r="I7" s="2" t="s">
        <v>39</v>
      </c>
      <c r="J7" s="2">
        <v>17</v>
      </c>
      <c r="K7" s="2">
        <v>6</v>
      </c>
      <c r="L7" s="2"/>
      <c r="M7" s="2"/>
      <c r="N7" s="2"/>
      <c r="O7" s="2"/>
      <c r="P7" s="2"/>
      <c r="Q7" s="2"/>
      <c r="R7" s="2"/>
      <c r="S7" s="2"/>
      <c r="T7" s="2"/>
      <c r="U7" s="2"/>
    </row>
    <row r="8" spans="1:22" ht="24" x14ac:dyDescent="0.25">
      <c r="A8" s="4">
        <v>4</v>
      </c>
      <c r="B8" s="2" t="s">
        <v>30</v>
      </c>
      <c r="C8" s="2" t="s">
        <v>32</v>
      </c>
      <c r="D8" s="2" t="s">
        <v>33</v>
      </c>
      <c r="E8" s="2">
        <v>106.712692</v>
      </c>
      <c r="F8" s="2">
        <v>10.798098</v>
      </c>
      <c r="G8" s="2"/>
      <c r="H8" s="2"/>
      <c r="I8" s="2" t="s">
        <v>48</v>
      </c>
      <c r="J8" s="2">
        <v>22</v>
      </c>
      <c r="K8" s="2" t="s">
        <v>49</v>
      </c>
      <c r="L8" s="2"/>
      <c r="M8" s="2"/>
      <c r="N8" s="2"/>
      <c r="O8" s="2"/>
      <c r="P8" s="2"/>
      <c r="Q8" s="2"/>
      <c r="R8" s="2"/>
      <c r="S8" s="2"/>
      <c r="T8" s="2"/>
      <c r="U8" s="2"/>
      <c r="V8" s="3" t="s">
        <v>50</v>
      </c>
    </row>
    <row r="9" spans="1:22" ht="24" x14ac:dyDescent="0.25">
      <c r="A9" s="4">
        <v>5</v>
      </c>
      <c r="B9" s="2" t="s">
        <v>52</v>
      </c>
      <c r="C9" s="2" t="s">
        <v>32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2" x14ac:dyDescent="0.25">
      <c r="A10" s="4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</sheetData>
  <mergeCells count="2">
    <mergeCell ref="L1:P1"/>
    <mergeCell ref="Q1:U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Theo dõi HĐ_Chi tiết</vt:lpstr>
      <vt:lpstr>Theo dõi thanh toán chủ nhà</vt:lpstr>
      <vt:lpstr>Trạm Viettel thanh toán</vt:lpstr>
      <vt:lpstr>Trạm Vina thanh toán</vt:lpstr>
      <vt:lpstr>Trạm Mobi thanh toán</vt:lpstr>
      <vt:lpstr>Sheet 6_time hoàn vốn</vt:lpstr>
      <vt:lpstr>Tính tiền đóng</vt:lpstr>
      <vt:lpstr>Sheet3</vt:lpstr>
      <vt:lpstr>Sheet4</vt:lpstr>
      <vt:lpstr>Sheet5</vt:lpstr>
      <vt:lpstr>Sheet6</vt:lpstr>
      <vt:lpstr>Sheet7</vt:lpstr>
      <vt:lpstr>Sheet8</vt:lpstr>
      <vt:lpstr>Sheet9</vt:lpstr>
      <vt:lpstr>Dulich</vt:lpstr>
      <vt:lpstr>Phân công</vt:lpstr>
      <vt:lpstr>DS chủ nhà nok_Tham khảo</vt:lpstr>
      <vt:lpstr>Sheet2</vt:lpstr>
      <vt:lpstr>Báo giá DD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2026-10-04T13:15:24Z</dcterms:modified>
</cp:coreProperties>
</file>