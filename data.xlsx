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9DE856C5-9D7C-4616-93C8-3BEB796FFB00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2" i="27" l="1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12" i="26"/>
  <c r="AD12" i="26" s="1"/>
  <c r="AE12" i="26" s="1"/>
  <c r="AC11" i="26"/>
  <c r="AD11" i="26" s="1"/>
  <c r="AE11" i="26" s="1"/>
  <c r="AC10" i="26"/>
  <c r="AD10" i="26" s="1"/>
  <c r="AE10" i="26" s="1"/>
  <c r="AC9" i="26"/>
  <c r="AD9" i="26" s="1"/>
  <c r="AE9" i="26" s="1"/>
  <c r="AC8" i="26"/>
  <c r="AD8" i="26" s="1"/>
  <c r="AE8" i="26" s="1"/>
  <c r="AC7" i="26"/>
  <c r="AD7" i="26" s="1"/>
  <c r="AE7" i="26" s="1"/>
  <c r="AC6" i="26"/>
  <c r="AC2" i="26" s="1"/>
  <c r="AC5" i="26"/>
  <c r="AD5" i="26" s="1"/>
  <c r="AE5" i="26" s="1"/>
  <c r="AC4" i="26"/>
  <c r="AD4" i="26" s="1"/>
  <c r="Y7" i="26"/>
  <c r="Z7" i="26" s="1"/>
  <c r="AA7" i="26" s="1"/>
  <c r="AB7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F10" i="26"/>
  <c r="AF10" i="26" s="1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C17" i="25"/>
  <c r="Z17" i="25" s="1"/>
  <c r="C14" i="25"/>
  <c r="Z14" i="25" s="1"/>
  <c r="C11" i="25"/>
  <c r="Z11" i="25" s="1"/>
  <c r="C8" i="25"/>
  <c r="Z8" i="25" s="1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K85" i="24"/>
  <c r="AH85" i="24" s="1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S29" i="24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Q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E4" i="26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AD2" i="26"/>
  <c r="AE2" i="26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X5" i="26"/>
  <c r="W2" i="26"/>
  <c r="W4" i="25"/>
  <c r="V2" i="25"/>
  <c r="Z4" i="24"/>
  <c r="Y2" i="24"/>
  <c r="C6" i="15"/>
  <c r="D6" i="15"/>
  <c r="X2" i="26" l="1"/>
  <c r="Y5" i="26"/>
  <c r="X4" i="25"/>
  <c r="W2" i="25"/>
  <c r="AA4" i="24"/>
  <c r="Z2" i="24"/>
  <c r="E6" i="15"/>
  <c r="Z5" i="26" l="1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B2" i="26" s="1"/>
  <c r="AA2" i="26"/>
  <c r="AC2" i="24"/>
  <c r="AD4" i="24"/>
  <c r="D11" i="12"/>
  <c r="C11" i="12"/>
  <c r="AD2" i="24" l="1"/>
  <c r="AE4" i="24"/>
  <c r="E11" i="12"/>
  <c r="F11" i="12" s="1"/>
  <c r="AE2" i="24" l="1"/>
  <c r="AF4" i="24"/>
  <c r="P11" i="2"/>
  <c r="P13" i="2"/>
  <c r="N6" i="2"/>
  <c r="N5" i="2"/>
  <c r="N4" i="2"/>
  <c r="AF2" i="24" l="1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<sst xmlns="http://schemas.openxmlformats.org/spreadsheetml/2006/main" count="3199" uniqueCount="1142">
  <si>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</si>
  <si>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</si>
  <si>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</si>
  <si>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</si>
  <si>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</si>
  <si>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</si>
  <si>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</si>
  <si>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</si>
  <si>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</si>
  <si>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</si>
  <si>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</si>
  <si>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</si>
  <si>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</si>
  <si>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</si>
  <si>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</si>
  <si>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</si>
  <si>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</si>
  <si>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</si>
  <si>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</si>
  <si>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</si>
  <si>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</si>
  <si>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</si>
  <si>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</si>
  <si>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</si>
  <si>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</si>
  <si>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</si>
  <si>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</si>
  <si>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</si>
  <si>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</si>
  <si>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</si>
  <si>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</si>
  <si>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</si>
  <si>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</si>
  <si>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</si>
  <si>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</si>
  <si>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</si>
  <si>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</si>
  <si>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</si>
  <si>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</si>
  <si>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</si>
  <si>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</si>
  <si>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</si>
  <si>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</si>
  <si>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</si>
  <si>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</si>
  <si>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</si>
  <si>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</si>
  <si>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</si>
  <si>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</si>
  <si>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</si>
  <si>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</si>
  <si>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</si>
  <si>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</si>
  <si>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</si>
  <si>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</si>
  <si>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</si>
  <si>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</si>
  <si>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</si>
  <si>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</si>
  <si>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</si>
  <si>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</si>
  <si>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</si>
  <si>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</si>
  <si>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</si>
  <si>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</si>
  <si>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</si>
  <si>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</si>
  <si>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</si>
  <si>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</si>
  <si>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</si>
  <si>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</si>
  <si>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</si>
  <si>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</si>
  <si>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</si>
  <si>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</si>
  <si>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</si>
  <si>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</si>
  <si>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</si>
  <si>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</si>
  <si>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</si>
  <si>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</si>
  <si>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</si>
  <si>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</si>
  <si>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</si>
  <si>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</si>
  <si>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</si>
  <si>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</si>
  <si>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</si>
  <si>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</si>
  <si>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</si>
  <si>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</si>
  <si>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</si>
  <si>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</si>
  <si>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</si>
  <si>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</si>
  <si>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</si>
  <si>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</si>
  <si>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</si>
  <si>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</si>
  <si>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</si>
  <si>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</si>
  <si>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</si>
  <si>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</si>
  <si>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</si>
  <si>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</si>
  <si>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</si>
  <si>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</si>
  <si>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</si>
  <si>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</si>
  <si>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</si>
  <si>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</si>
  <si>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</si>
  <si>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</si>
  <si>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</si>
  <si>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</si>
  <si>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</si>
  <si>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</si>
  <si>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</si>
  <si>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</si>
  <si>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</si>
  <si>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</si>
  <si>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</si>
  <si>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</si>
  <si>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</si>
  <si>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</si>
  <si>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</si>
  <si>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</si>
  <si>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</si>
  <si>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</si>
  <si>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</si>
  <si>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</si>
  <si>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</si>
  <si>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</si>
  <si>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</si>
  <si>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</si>
  <si>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</si>
  <si>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</si>
  <si>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</si>
  <si>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</si>
  <si>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</si>
  <si>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</si>
  <si>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</si>
  <si>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</si>
  <si>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</si>
  <si>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</si>
  <si>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</si>
  <si>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</si>
  <si>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</si>
  <si>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</si>
  <si>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</si>
  <si>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</si>
  <si>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</si>
  <si>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</si>
  <si>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</si>
  <si>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</si>
  <si>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</si>
  <si>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</si>
  <si>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</si>
  <si>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</si>
  <si>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</si>
  <si>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</si>
  <si>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</si>
  <si>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</si>
  <si>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</si>
  <si>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</si>
  <si>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</si>
  <si>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</si>
  <si>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</si>
  <si>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</si>
  <si>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</si>
  <si>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</si>
  <si>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</si>
  <si>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</si>
  <si>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</si>
  <si>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</si>
  <si>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</si>
  <si>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</si>
  <si>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</si>
  <si>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</si>
  <si>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</si>
  <si>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</si>
  <si>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</si>
  <si>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</si>
  <si>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</si>
  <si>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</si>
  <si>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</si>
  <si>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</si>
  <si>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</si>
  <si>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</si>
  <si>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</si>
  <si>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</si>
  <si>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</si>
  <si>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</si>
  <si>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</si>
  <si>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</si>
  <si>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</si>
  <si>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</si>
  <si>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</si>
  <si>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</si>
  <si>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</si>
  <si>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</si>
  <si>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</si>
  <si>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</si>
  <si>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</si>
  <si>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</si>
  <si>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</si>
  <si>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</si>
  <si>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</si>
  <si>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</si>
  <si>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</si>
  <si>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</si>
  <si>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</si>
  <si>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</si>
  <si>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</si>
  <si>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</si>
  <si>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</si>
  <si>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</si>
  <si>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</si>
  <si>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</si>
  <si>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</si>
  <si>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</si>
  <si>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</si>
  <si>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</si>
  <si>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</si>
  <si>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</si>
  <si>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</si>
  <si>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</si>
  <si>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</si>
  <si>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</si>
  <si>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</si>
  <si>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</si>
  <si>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</si>
  <si>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</si>
  <si>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</si>
  <si>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</si>
  <si>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</si>
  <si>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</si>
  <si>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</si>
  <si>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</si>
  <si>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</si>
  <si>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</si>
  <si>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</si>
  <si>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</si>
  <si>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</si>
  <si>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</si>
  <si>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</si>
  <si>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</si>
  <si>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</si>
  <si>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</si>
  <si>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</si>
  <si>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</si>
  <si>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</si>
  <si>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</si>
  <si>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</si>
  <si>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</si>
  <si>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</si>
  <si>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</si>
  <si>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</si>
  <si>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</si>
  <si>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</si>
  <si>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</si>
  <si>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</si>
  <si>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</si>
  <si>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</si>
  <si>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</si>
  <si>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</si>
  <si>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</si>
  <si>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</si>
  <si>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</si>
  <si>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</si>
  <si>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</si>
  <si>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</si>
  <si>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</si>
  <si>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</si>
  <si>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</si>
  <si>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</si>
  <si>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</si>
  <si>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</si>
  <si>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</si>
  <si>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</si>
  <si>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</si>
  <si>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</si>
  <si>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</si>
  <si>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</si>
  <si>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</si>
  <si>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</si>
  <si>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</si>
  <si>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</si>
  <si>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</si>
  <si>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</si>
  <si>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</si>
  <si>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</si>
  <si>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</si>
  <si>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</si>
  <si>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</si>
  <si>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</si>
  <si>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</si>
  <si>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</si>
  <si>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</si>
  <si>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</si>
  <si>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</si>
  <si>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</si>
  <si>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</si>
  <si>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</si>
  <si>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</si>
  <si>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</si>
  <si>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</si>
  <si>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</si>
  <si>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</si>
  <si>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</si>
  <si>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</si>
  <si>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</si>
  <si>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</si>
  <si>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</si>
  <si>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</si>
  <si>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</si>
  <si>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</si>
  <si>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</si>
  <si>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</si>
  <si>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</si>
  <si>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</si>
  <si>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</si>
  <si>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</si>
  <si>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</si>
  <si>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</si>
  <si>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</si>
  <si>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</si>
  <si>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</si>
  <si>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</si>
  <si>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</si>
  <si>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</si>
  <si>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</si>
  <si>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</si>
  <si>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</si>
  <si>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</si>
  <si>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</si>
  <si>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</si>
  <si>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</si>
  <si>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</si>
  <si>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</si>
  <si>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</si>
  <si>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</si>
  <si>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</si>
  <si>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</si>
  <si>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</si>
  <si>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</si>
  <si>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</si>
  <si>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</si>
  <si>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</si>
  <si>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</si>
  <si>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</si>
  <si>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</si>
  <si>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</si>
  <si>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</si>
  <si>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</si>
  <si>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</si>
  <si>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</si>
  <si>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</si>
  <si>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</si>
  <si>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</si>
  <si>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</si>
  <si>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</si>
  <si>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</si>
  <si>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</si>
  <si>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</si>
  <si>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</si>
  <si>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</si>
  <si>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</si>
  <si>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</si>
  <si>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</si>
  <si>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</si>
  <si>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</si>
  <si>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</si>
  <si>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</si>
  <si>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</si>
  <si>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</si>
  <si>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</si>
  <si>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</si>
  <si>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</si>
  <si>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</si>
  <si>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</si>
  <si>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</si>
  <si>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</si>
  <si>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</si>
  <si>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</si>
  <si>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</si>
  <si>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</si>
  <si>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</si>
  <si>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</si>
  <si>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</si>
  <si>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</si>
  <si>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</si>
  <si>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</si>
  <si>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</si>
  <si>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</si>
  <si>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</si>
  <si>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</si>
  <si>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</si>
  <si>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</si>
  <si>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</si>
  <si>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</si>
  <si>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</si>
  <si>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</si>
  <si>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</si>
  <si>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</si>
  <si>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</si>
  <si>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</si>
  <si>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</si>
  <si>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</si>
  <si>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</si>
  <si>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</si>
  <si>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</si>
  <si>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</si>
  <si>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</si>
  <si>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</si>
  <si>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</si>
  <si>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</si>
  <si>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</si>
  <si>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</si>
  <si>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</si>
  <si>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</si>
  <si>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</si>
  <si>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</si>
  <si>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</si>
  <si>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</si>
  <si>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</si>
  <si>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</si>
  <si>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</si>
  <si>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</si>
  <si>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</si>
  <si>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</si>
  <si>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</si>
  <si>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</si>
  <si>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</si>
  <si>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</si>
  <si>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</si>
  <si>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</si>
  <si>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</si>
  <si>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</si>
  <si>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</si>
  <si>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</si>
  <si>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</si>
  <si>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</si>
  <si>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</si>
  <si>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</si>
  <si>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</si>
  <si>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</si>
  <si>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</si>
  <si>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</si>
  <si>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</si>
  <si>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</si>
  <si>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</si>
  <si>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</si>
  <si>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</si>
  <si>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</si>
  <si>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</si>
  <si>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</si>
  <si>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</si>
  <si>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</si>
  <si>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</si>
  <si>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</si>
  <si>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</si>
  <si>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</si>
  <si>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</si>
  <si>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</si>
  <si>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</si>
  <si>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</si>
  <si>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</si>
  <si>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</si>
  <si>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</si>
  <si>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</si>
  <si>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</si>
  <si>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</si>
  <si>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</si>
  <si>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</si>
  <si>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</si>
  <si>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</si>
  <si>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</si>
  <si>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</si>
  <si>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</si>
  <si>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</si>
  <si>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</si>
  <si>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</si>
  <si>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</si>
  <si>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</si>
  <si>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</si>
  <si>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</si>
  <si>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</si>
  <si>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</si>
  <si>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</si>
  <si>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</si>
  <si>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</si>
  <si>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</si>
  <si>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</si>
  <si>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</si>
  <si>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</si>
  <si>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</si>
  <si>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</si>
  <si>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</si>
  <si>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</si>
  <si>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</si>
  <si>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</si>
  <si>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</si>
  <si>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</si>
  <si>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</si>
  <si>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</si>
  <si>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</si>
  <si>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</si>
  <si>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</si>
  <si>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</si>
  <si>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</si>
  <si>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</si>
  <si>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</si>
  <si>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</si>
  <si>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</si>
  <si>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</si>
  <si>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</si>
  <si>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</si>
  <si>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</si>
  <si>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</si>
  <si>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</si>
  <si>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</si>
  <si>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</si>
  <si>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</si>
  <si>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</si>
  <si>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</si>
  <si>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</si>
  <si>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</si>
  <si>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</si>
  <si>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</si>
  <si>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</si>
  <si>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</si>
  <si>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</si>
  <si>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</si>
  <si>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</si>
  <si>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</si>
  <si>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</si>
  <si>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</si>
  <si>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</si>
  <si>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</si>
  <si>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</si>
  <si>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</si>
  <si>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</si>
  <si>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</si>
  <si>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</si>
  <si>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</si>
  <si>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</si>
  <si>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</si>
  <si>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</si>
  <si>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</si>
  <si>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</si>
  <si>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</si>
  <si>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</si>
  <si>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</si>
  <si>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</si>
  <si>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</si>
  <si>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</si>
  <si>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</si>
  <si>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</si>
  <si>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</si>
  <si>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</si>
  <si>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</si>
  <si>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</si>
  <si>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</si>
  <si>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</si>
  <si>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</si>
  <si>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</si>
  <si>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</si>
  <si>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</si>
  <si>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</si>
  <si>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SGN0339_a Dũng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</si>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</sst>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11" fillId="0" borderId="1" xfId="0" applyNumberFormat="1" applyFont="1" applyFill="1" applyBorder="1" applyAlignment="1">
      <alignment horizontal="center" vertical="center"/>
    </xf>
    <xf numFmtId="14" fontId="13" fillId="0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97</v>
          </cell>
          <cell r="C2">
            <v>97</v>
          </cell>
          <cell r="D2">
            <v>97</v>
          </cell>
          <cell r="E2">
            <v>97</v>
          </cell>
          <cell r="F2">
            <v>97</v>
          </cell>
          <cell r="G2">
            <v>97</v>
          </cell>
          <cell r="H2">
            <v>97</v>
          </cell>
          <cell r="I2">
            <v>97</v>
          </cell>
          <cell r="J2">
            <v>97</v>
          </cell>
          <cell r="K2">
            <v>97</v>
          </cell>
          <cell r="L2">
            <v>38</v>
          </cell>
          <cell r="M2">
            <v>33</v>
          </cell>
          <cell r="N2">
            <v>23</v>
          </cell>
          <cell r="O2">
            <v>5</v>
          </cell>
          <cell r="P2">
            <v>16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97</v>
          </cell>
          <cell r="Z2">
            <v>97</v>
          </cell>
          <cell r="AA2">
            <v>43</v>
          </cell>
          <cell r="AB2">
            <v>97</v>
          </cell>
          <cell r="AC2">
            <v>97</v>
          </cell>
          <cell r="AD2">
            <v>97</v>
          </cell>
          <cell r="AE2">
            <v>59</v>
          </cell>
          <cell r="AF2">
            <v>97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 t="str">
            <v>7.000.000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 t="str">
            <v>6.000.000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 t="str">
            <v>6.250.000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 t="str">
            <v>4.500.000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 t="str">
            <v>5.500.000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 t="str">
            <v>6.000.000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 t="str">
            <v>7.500.000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 t="str">
            <v>6.500.000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 t="str">
            <v>7.700.000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 t="str">
            <v>7.300.000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 t="str">
            <v>5.000.000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 t="str">
            <v>6.500.000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 t="str">
            <v>7.500.000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 t="str">
            <v>6.200.000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 t="str">
            <v>7.500.000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 t="str">
            <v>5.300.000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 t="str">
            <v>5.000.000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 t="str">
            <v>4.000.000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6.600.000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5.800.000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7.300.000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4.500.000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6.500.000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"/>
  <sheetViews>
    <sheetView zoomScale="70" zoomScaleNormal="70" workbookViewId="0">
      <pane xSplit="3" ySplit="3" topLeftCell="D77" activePane="bottomRight" state="frozen"/>
      <selection pane="topRight" activeCell="D1" sqref="D1"/>
      <selection pane="bottomLeft" activeCell="A4" sqref="A4"/>
      <selection pane="bottomRight" activeCell="F96" sqref="F96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905</v>
      </c>
      <c r="H1" s="8" t="s">
        <v>906</v>
      </c>
      <c r="I1" s="31" t="s">
        <v>2</v>
      </c>
      <c r="J1" s="8" t="s">
        <v>145</v>
      </c>
      <c r="K1" s="8" t="s">
        <v>929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927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97</v>
      </c>
      <c r="B2" s="152">
        <f t="shared" si="0"/>
        <v>97</v>
      </c>
      <c r="C2" s="152">
        <f t="shared" si="0"/>
        <v>97</v>
      </c>
      <c r="D2" s="152">
        <f t="shared" si="0"/>
        <v>97</v>
      </c>
      <c r="E2" s="152">
        <f t="shared" si="0"/>
        <v>97</v>
      </c>
      <c r="F2" s="152">
        <f t="shared" si="0"/>
        <v>97</v>
      </c>
      <c r="G2" s="152">
        <f t="shared" si="0"/>
        <v>97</v>
      </c>
      <c r="H2" s="152">
        <f t="shared" si="0"/>
        <v>97</v>
      </c>
      <c r="I2" s="152">
        <f t="shared" si="0"/>
        <v>97</v>
      </c>
      <c r="J2" s="152">
        <f t="shared" si="0"/>
        <v>97</v>
      </c>
      <c r="K2" s="152">
        <f t="shared" si="0"/>
        <v>97</v>
      </c>
      <c r="L2" s="152">
        <f t="shared" si="0"/>
        <v>38</v>
      </c>
      <c r="M2" s="152">
        <f t="shared" si="0"/>
        <v>33</v>
      </c>
      <c r="N2" s="152">
        <f t="shared" si="0"/>
        <v>23</v>
      </c>
      <c r="O2" s="152">
        <f t="shared" si="0"/>
        <v>5</v>
      </c>
      <c r="P2" s="152">
        <f t="shared" si="0"/>
        <v>16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97</v>
      </c>
      <c r="Z2" s="152">
        <f t="shared" si="0"/>
        <v>97</v>
      </c>
      <c r="AA2" s="152">
        <f t="shared" si="0"/>
        <v>43</v>
      </c>
      <c r="AB2" s="152">
        <f t="shared" si="0"/>
        <v>97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97</v>
      </c>
      <c r="AG2" s="152">
        <f t="shared" si="0"/>
        <v>11</v>
      </c>
      <c r="AH2" s="152">
        <f t="shared" si="0"/>
        <v>97</v>
      </c>
      <c r="AI2" s="152">
        <f t="shared" si="0"/>
        <v>97</v>
      </c>
      <c r="AJ2" s="152">
        <f t="shared" si="0"/>
        <v>97</v>
      </c>
      <c r="AK2" s="152">
        <f t="shared" si="0"/>
        <v>97</v>
      </c>
      <c r="AL2" s="152">
        <f t="shared" si="0"/>
        <v>69</v>
      </c>
      <c r="AM2" s="152">
        <f t="shared" si="0"/>
        <v>74</v>
      </c>
      <c r="AN2" s="152">
        <f t="shared" si="0"/>
        <v>0</v>
      </c>
      <c r="AO2" s="152">
        <f t="shared" si="0"/>
        <v>97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907</v>
      </c>
      <c r="I4" s="33" t="s">
        <v>907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773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907</v>
      </c>
      <c r="I5" s="25" t="s">
        <v>902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773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902</v>
      </c>
      <c r="I6" s="25" t="s">
        <v>902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773</v>
      </c>
    </row>
    <row r="7" spans="1:43" ht="24" x14ac:dyDescent="0.3">
      <c r="A7" s="4">
        <v>4</v>
      </c>
      <c r="B7" s="2" t="s">
        <v>988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902</v>
      </c>
      <c r="I7" s="25" t="s">
        <v>902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773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907</v>
      </c>
      <c r="I8" s="25" t="s">
        <v>902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769</v>
      </c>
      <c r="AL8" s="2">
        <v>12</v>
      </c>
      <c r="AM8" s="2">
        <v>12</v>
      </c>
      <c r="AN8" s="48"/>
      <c r="AO8" t="s">
        <v>774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902</v>
      </c>
      <c r="I9" s="25" t="s">
        <v>902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773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907</v>
      </c>
      <c r="I10" s="31" t="s">
        <v>908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773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902</v>
      </c>
      <c r="I11" s="31" t="s">
        <v>908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773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902</v>
      </c>
      <c r="I12" s="25" t="s">
        <v>902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774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902</v>
      </c>
      <c r="I13" s="25" t="s">
        <v>902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774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907</v>
      </c>
      <c r="I14" s="25" t="s">
        <v>902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708</v>
      </c>
      <c r="AI14" s="99" t="s">
        <v>170</v>
      </c>
      <c r="AJ14" s="99" t="s">
        <v>709</v>
      </c>
      <c r="AK14" s="99" t="s">
        <v>172</v>
      </c>
      <c r="AL14" s="2">
        <v>12.8</v>
      </c>
      <c r="AM14" s="2">
        <v>12</v>
      </c>
      <c r="AN14" s="48"/>
      <c r="AO14" t="s">
        <v>774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907</v>
      </c>
      <c r="I15" s="35" t="s">
        <v>907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774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902</v>
      </c>
      <c r="I16" s="25" t="s">
        <v>902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774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907</v>
      </c>
      <c r="I17" s="25" t="s">
        <v>902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774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902</v>
      </c>
      <c r="I18" s="25" t="s">
        <v>902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774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902</v>
      </c>
      <c r="I19" s="25" t="s">
        <v>902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774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907</v>
      </c>
      <c r="I20" s="25" t="s">
        <v>902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774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907</v>
      </c>
      <c r="I21" s="25" t="s">
        <v>902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774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902</v>
      </c>
      <c r="I22" s="25" t="s">
        <v>902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774</v>
      </c>
    </row>
    <row r="23" spans="1:41" ht="48" x14ac:dyDescent="0.3">
      <c r="A23" s="4">
        <v>20</v>
      </c>
      <c r="B23" s="8" t="s">
        <v>650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907</v>
      </c>
      <c r="I23" s="25" t="s">
        <v>902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608</v>
      </c>
      <c r="AI23" s="2" t="s">
        <v>602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774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907</v>
      </c>
      <c r="I24" s="25" t="s">
        <v>902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774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907</v>
      </c>
      <c r="I25" s="35" t="s">
        <v>907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774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902</v>
      </c>
      <c r="I26" s="25" t="s">
        <v>902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641</v>
      </c>
      <c r="AI26" s="112" t="s">
        <v>640</v>
      </c>
      <c r="AJ26" s="112" t="s">
        <v>639</v>
      </c>
      <c r="AK26" s="18" t="s">
        <v>384</v>
      </c>
      <c r="AL26" s="8">
        <v>14.5</v>
      </c>
      <c r="AM26" s="2">
        <v>9</v>
      </c>
      <c r="AN26" s="48"/>
      <c r="AO26" t="s">
        <v>774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902</v>
      </c>
      <c r="H27" s="34" t="s">
        <v>907</v>
      </c>
      <c r="I27" s="25" t="s">
        <v>902</v>
      </c>
      <c r="J27" s="97" t="s">
        <v>909</v>
      </c>
      <c r="K27" s="97" t="s">
        <v>909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774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902</v>
      </c>
      <c r="H28" s="34" t="s">
        <v>907</v>
      </c>
      <c r="I28" s="25" t="s">
        <v>902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774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907</v>
      </c>
      <c r="I29" s="25" t="s">
        <v>902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909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774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902</v>
      </c>
      <c r="I30" s="25" t="s">
        <v>902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774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907</v>
      </c>
      <c r="I31" s="25" t="s">
        <v>902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774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902</v>
      </c>
      <c r="I32" s="25" t="s">
        <v>902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925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774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902</v>
      </c>
      <c r="I33" s="34" t="s">
        <v>907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774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902</v>
      </c>
      <c r="I34" s="25" t="s">
        <v>902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926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774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902</v>
      </c>
      <c r="I35" s="25" t="s">
        <v>902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774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902</v>
      </c>
      <c r="I36" s="34" t="s">
        <v>907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774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902</v>
      </c>
      <c r="I37" s="25" t="s">
        <v>902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911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774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903</v>
      </c>
      <c r="H38" s="27" t="s">
        <v>902</v>
      </c>
      <c r="I38" s="25" t="s">
        <v>902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909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774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902</v>
      </c>
      <c r="I39" s="25" t="s">
        <v>902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909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774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902</v>
      </c>
      <c r="I40" s="25" t="s">
        <v>902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912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774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902</v>
      </c>
      <c r="I41" s="25" t="s">
        <v>902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909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774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902</v>
      </c>
      <c r="I42" s="25" t="s">
        <v>902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909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774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902</v>
      </c>
      <c r="I43" s="34" t="s">
        <v>907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909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774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902</v>
      </c>
      <c r="I44" s="25" t="s">
        <v>902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909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775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902</v>
      </c>
      <c r="I45" s="25" t="s">
        <v>902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909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775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902</v>
      </c>
      <c r="I46" s="25" t="s">
        <v>902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913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775</v>
      </c>
      <c r="AP46" s="122"/>
    </row>
    <row r="47" spans="1:42" s="123" customFormat="1" ht="24" x14ac:dyDescent="0.3">
      <c r="A47" s="4">
        <v>44</v>
      </c>
      <c r="B47" s="155" t="s">
        <v>570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902</v>
      </c>
      <c r="I47" s="25" t="s">
        <v>902</v>
      </c>
      <c r="J47" s="125" t="s">
        <v>909</v>
      </c>
      <c r="K47" s="125" t="s">
        <v>909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914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642</v>
      </c>
      <c r="AI47" s="119" t="s">
        <v>643</v>
      </c>
      <c r="AJ47" s="112" t="s">
        <v>644</v>
      </c>
      <c r="AK47" s="2" t="s">
        <v>649</v>
      </c>
      <c r="AL47" s="2"/>
      <c r="AM47" s="2"/>
      <c r="AN47" s="48"/>
      <c r="AO47" t="s">
        <v>776</v>
      </c>
      <c r="AP47" s="122"/>
    </row>
    <row r="48" spans="1:42" s="123" customFormat="1" ht="24" x14ac:dyDescent="0.3">
      <c r="A48" s="4">
        <v>45</v>
      </c>
      <c r="B48" s="2" t="s">
        <v>577</v>
      </c>
      <c r="C48" s="2" t="s">
        <v>476</v>
      </c>
      <c r="D48" s="2">
        <v>106.627933</v>
      </c>
      <c r="E48" s="2">
        <v>10.788978999999999</v>
      </c>
      <c r="F48" s="2" t="s">
        <v>603</v>
      </c>
      <c r="G48" s="34" t="s">
        <v>357</v>
      </c>
      <c r="H48" s="27" t="s">
        <v>902</v>
      </c>
      <c r="I48" s="25" t="s">
        <v>902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915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604</v>
      </c>
      <c r="AI48" s="119" t="s">
        <v>606</v>
      </c>
      <c r="AJ48" s="112" t="s">
        <v>605</v>
      </c>
      <c r="AK48" s="2" t="s">
        <v>607</v>
      </c>
      <c r="AL48" s="2">
        <v>15.5</v>
      </c>
      <c r="AM48" s="2">
        <v>6</v>
      </c>
      <c r="AN48" s="48"/>
      <c r="AO48" t="s">
        <v>775</v>
      </c>
      <c r="AP48" s="122"/>
    </row>
    <row r="49" spans="1:42" s="123" customFormat="1" ht="24" x14ac:dyDescent="0.3">
      <c r="A49" s="4">
        <v>46</v>
      </c>
      <c r="B49" s="2" t="s">
        <v>578</v>
      </c>
      <c r="C49" s="2" t="s">
        <v>582</v>
      </c>
      <c r="D49" s="2">
        <v>106.7666253</v>
      </c>
      <c r="E49" s="2">
        <v>10.8351422</v>
      </c>
      <c r="F49" s="2" t="s">
        <v>583</v>
      </c>
      <c r="G49" s="34" t="s">
        <v>356</v>
      </c>
      <c r="H49" s="27" t="s">
        <v>902</v>
      </c>
      <c r="I49" s="25" t="s">
        <v>902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909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584</v>
      </c>
      <c r="AI49" s="119" t="s">
        <v>585</v>
      </c>
      <c r="AJ49" s="112" t="s">
        <v>406</v>
      </c>
      <c r="AK49" s="2" t="s">
        <v>586</v>
      </c>
      <c r="AL49" s="2">
        <v>11</v>
      </c>
      <c r="AM49" s="2">
        <v>12</v>
      </c>
      <c r="AN49" s="48"/>
      <c r="AO49" t="s">
        <v>775</v>
      </c>
      <c r="AP49" s="122"/>
    </row>
    <row r="50" spans="1:42" s="123" customFormat="1" ht="24" x14ac:dyDescent="0.3">
      <c r="A50" s="4">
        <v>47</v>
      </c>
      <c r="B50" s="2" t="s">
        <v>579</v>
      </c>
      <c r="C50" s="2" t="s">
        <v>588</v>
      </c>
      <c r="D50" s="2">
        <v>106.663482</v>
      </c>
      <c r="E50" s="2">
        <v>10.76826</v>
      </c>
      <c r="F50" s="2" t="s">
        <v>587</v>
      </c>
      <c r="G50" s="34" t="s">
        <v>357</v>
      </c>
      <c r="H50" s="27" t="s">
        <v>902</v>
      </c>
      <c r="I50" s="25" t="s">
        <v>902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909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589</v>
      </c>
      <c r="AI50" s="119" t="s">
        <v>590</v>
      </c>
      <c r="AJ50" s="119" t="s">
        <v>171</v>
      </c>
      <c r="AK50" s="2" t="s">
        <v>591</v>
      </c>
      <c r="AL50" s="2">
        <v>17</v>
      </c>
      <c r="AM50" s="2">
        <v>6</v>
      </c>
      <c r="AN50" s="48"/>
      <c r="AO50" t="s">
        <v>775</v>
      </c>
      <c r="AP50" s="122"/>
    </row>
    <row r="51" spans="1:42" s="123" customFormat="1" ht="24" x14ac:dyDescent="0.3">
      <c r="A51" s="4">
        <v>48</v>
      </c>
      <c r="B51" s="2" t="s">
        <v>580</v>
      </c>
      <c r="C51" s="2" t="s">
        <v>588</v>
      </c>
      <c r="D51" s="2">
        <v>106.66824699999999</v>
      </c>
      <c r="E51" s="2">
        <v>10.784117</v>
      </c>
      <c r="F51" s="2" t="s">
        <v>592</v>
      </c>
      <c r="G51" s="34" t="s">
        <v>357</v>
      </c>
      <c r="H51" s="27" t="s">
        <v>902</v>
      </c>
      <c r="I51" s="25" t="s">
        <v>902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916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594</v>
      </c>
      <c r="AI51" s="119" t="s">
        <v>593</v>
      </c>
      <c r="AJ51" s="112" t="s">
        <v>595</v>
      </c>
      <c r="AK51" s="2" t="s">
        <v>596</v>
      </c>
      <c r="AL51" s="2">
        <v>14.5</v>
      </c>
      <c r="AM51" s="2">
        <v>6</v>
      </c>
      <c r="AN51" s="48"/>
      <c r="AO51" t="s">
        <v>775</v>
      </c>
      <c r="AP51" s="122"/>
    </row>
    <row r="52" spans="1:42" s="123" customFormat="1" ht="24" x14ac:dyDescent="0.3">
      <c r="A52" s="4">
        <v>49</v>
      </c>
      <c r="B52" s="2" t="s">
        <v>581</v>
      </c>
      <c r="C52" s="2" t="s">
        <v>476</v>
      </c>
      <c r="D52" s="2">
        <v>106.636156</v>
      </c>
      <c r="E52" s="2">
        <v>10.783979</v>
      </c>
      <c r="F52" s="2" t="s">
        <v>597</v>
      </c>
      <c r="G52" s="34" t="s">
        <v>356</v>
      </c>
      <c r="H52" s="27" t="s">
        <v>902</v>
      </c>
      <c r="I52" s="25" t="s">
        <v>902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909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599</v>
      </c>
      <c r="AI52" s="119" t="s">
        <v>598</v>
      </c>
      <c r="AJ52" s="112" t="s">
        <v>600</v>
      </c>
      <c r="AK52" s="2" t="s">
        <v>601</v>
      </c>
      <c r="AL52" s="2">
        <v>24</v>
      </c>
      <c r="AM52" s="2">
        <v>6</v>
      </c>
      <c r="AN52" s="48"/>
      <c r="AO52" t="s">
        <v>775</v>
      </c>
      <c r="AP52" s="122"/>
    </row>
    <row r="53" spans="1:42" s="123" customFormat="1" ht="24" x14ac:dyDescent="0.3">
      <c r="A53" s="4">
        <v>50</v>
      </c>
      <c r="B53" s="2" t="s">
        <v>623</v>
      </c>
      <c r="C53" s="2" t="s">
        <v>582</v>
      </c>
      <c r="D53" s="2">
        <v>106.732218</v>
      </c>
      <c r="E53" s="2">
        <v>10.863514</v>
      </c>
      <c r="F53" s="2" t="s">
        <v>624</v>
      </c>
      <c r="G53" s="34" t="s">
        <v>356</v>
      </c>
      <c r="H53" s="27" t="s">
        <v>902</v>
      </c>
      <c r="I53" s="25" t="s">
        <v>902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909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626</v>
      </c>
      <c r="AI53" s="119" t="s">
        <v>625</v>
      </c>
      <c r="AJ53" s="112" t="s">
        <v>595</v>
      </c>
      <c r="AK53" s="2" t="s">
        <v>627</v>
      </c>
      <c r="AL53" s="2">
        <v>16</v>
      </c>
      <c r="AM53" s="2">
        <v>9</v>
      </c>
      <c r="AN53" s="48"/>
      <c r="AO53" t="s">
        <v>775</v>
      </c>
      <c r="AP53" s="122"/>
    </row>
    <row r="54" spans="1:42" s="123" customFormat="1" ht="24" x14ac:dyDescent="0.3">
      <c r="A54" s="4">
        <v>51</v>
      </c>
      <c r="B54" s="2" t="s">
        <v>628</v>
      </c>
      <c r="C54" s="2" t="s">
        <v>582</v>
      </c>
      <c r="D54" s="2">
        <v>106.755152</v>
      </c>
      <c r="E54" s="2">
        <v>10.838282</v>
      </c>
      <c r="F54" s="2" t="s">
        <v>629</v>
      </c>
      <c r="G54" s="34" t="s">
        <v>356</v>
      </c>
      <c r="H54" s="27" t="s">
        <v>902</v>
      </c>
      <c r="I54" s="25" t="s">
        <v>902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909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631</v>
      </c>
      <c r="AI54" s="119" t="s">
        <v>630</v>
      </c>
      <c r="AJ54" s="112" t="s">
        <v>632</v>
      </c>
      <c r="AK54" s="2" t="s">
        <v>633</v>
      </c>
      <c r="AL54" s="2">
        <v>15</v>
      </c>
      <c r="AM54" s="2">
        <v>12</v>
      </c>
      <c r="AN54" s="48"/>
      <c r="AO54" t="s">
        <v>775</v>
      </c>
      <c r="AP54" s="122"/>
    </row>
    <row r="55" spans="1:42" s="123" customFormat="1" ht="36" x14ac:dyDescent="0.3">
      <c r="A55" s="4">
        <v>52</v>
      </c>
      <c r="B55" s="2" t="s">
        <v>617</v>
      </c>
      <c r="C55" s="2" t="s">
        <v>582</v>
      </c>
      <c r="D55" s="2">
        <v>106.832753</v>
      </c>
      <c r="E55" s="2">
        <v>10.887543000000001</v>
      </c>
      <c r="F55" s="2" t="s">
        <v>634</v>
      </c>
      <c r="G55" s="34" t="s">
        <v>356</v>
      </c>
      <c r="H55" s="27" t="s">
        <v>902</v>
      </c>
      <c r="I55" s="25" t="s">
        <v>902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909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635</v>
      </c>
      <c r="AI55" s="119" t="s">
        <v>636</v>
      </c>
      <c r="AJ55" s="112" t="s">
        <v>637</v>
      </c>
      <c r="AK55" s="2" t="s">
        <v>638</v>
      </c>
      <c r="AL55" s="2">
        <v>17</v>
      </c>
      <c r="AM55" s="2">
        <v>9</v>
      </c>
      <c r="AN55" s="48"/>
      <c r="AO55" t="s">
        <v>775</v>
      </c>
      <c r="AP55" s="122"/>
    </row>
    <row r="56" spans="1:42" s="123" customFormat="1" ht="24" x14ac:dyDescent="0.3">
      <c r="A56" s="4">
        <v>53</v>
      </c>
      <c r="B56" s="2" t="s">
        <v>645</v>
      </c>
      <c r="C56" s="2" t="s">
        <v>564</v>
      </c>
      <c r="D56" s="2">
        <v>106.67816500000001</v>
      </c>
      <c r="E56" s="2">
        <v>10.767367</v>
      </c>
      <c r="F56" s="2" t="s">
        <v>647</v>
      </c>
      <c r="G56" s="34" t="s">
        <v>357</v>
      </c>
      <c r="H56" s="27" t="s">
        <v>902</v>
      </c>
      <c r="I56" s="25" t="s">
        <v>902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909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659</v>
      </c>
      <c r="AI56" s="119" t="s">
        <v>658</v>
      </c>
      <c r="AJ56" s="112" t="s">
        <v>154</v>
      </c>
      <c r="AK56" s="2" t="s">
        <v>660</v>
      </c>
      <c r="AL56" s="2">
        <v>24</v>
      </c>
      <c r="AM56" s="2">
        <v>6</v>
      </c>
      <c r="AN56" s="48"/>
      <c r="AO56" t="s">
        <v>775</v>
      </c>
      <c r="AP56" s="122"/>
    </row>
    <row r="57" spans="1:42" s="123" customFormat="1" ht="24" x14ac:dyDescent="0.3">
      <c r="A57" s="4">
        <v>54</v>
      </c>
      <c r="B57" s="2" t="s">
        <v>646</v>
      </c>
      <c r="C57" s="2" t="s">
        <v>588</v>
      </c>
      <c r="D57" s="2">
        <v>106.662549</v>
      </c>
      <c r="E57" s="2">
        <v>10.771064000000001</v>
      </c>
      <c r="F57" s="2" t="s">
        <v>648</v>
      </c>
      <c r="G57" s="34" t="s">
        <v>357</v>
      </c>
      <c r="H57" s="27" t="s">
        <v>902</v>
      </c>
      <c r="I57" s="25" t="s">
        <v>902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909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662</v>
      </c>
      <c r="AI57" s="119" t="s">
        <v>663</v>
      </c>
      <c r="AJ57" s="112" t="s">
        <v>595</v>
      </c>
      <c r="AK57" s="2" t="s">
        <v>661</v>
      </c>
      <c r="AL57" s="2">
        <v>24</v>
      </c>
      <c r="AM57" s="2">
        <v>6</v>
      </c>
      <c r="AN57" s="48"/>
      <c r="AO57" t="s">
        <v>775</v>
      </c>
      <c r="AP57" s="122"/>
    </row>
    <row r="58" spans="1:42" s="123" customFormat="1" ht="24" x14ac:dyDescent="0.3">
      <c r="A58" s="4">
        <v>55</v>
      </c>
      <c r="B58" s="2" t="s">
        <v>677</v>
      </c>
      <c r="C58" s="2" t="s">
        <v>66</v>
      </c>
      <c r="D58" s="2">
        <v>106.68352400000001</v>
      </c>
      <c r="E58" s="2">
        <v>10.845613</v>
      </c>
      <c r="F58" s="2" t="s">
        <v>682</v>
      </c>
      <c r="G58" s="34" t="s">
        <v>357</v>
      </c>
      <c r="H58" s="27" t="s">
        <v>902</v>
      </c>
      <c r="I58" s="25" t="s">
        <v>902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909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687</v>
      </c>
      <c r="AI58" s="119" t="s">
        <v>688</v>
      </c>
      <c r="AJ58" s="112" t="s">
        <v>406</v>
      </c>
      <c r="AK58" s="2" t="s">
        <v>689</v>
      </c>
      <c r="AL58" s="2">
        <v>15.5</v>
      </c>
      <c r="AM58" s="2">
        <v>6</v>
      </c>
      <c r="AN58" s="48"/>
      <c r="AO58" t="s">
        <v>777</v>
      </c>
      <c r="AP58" s="122"/>
    </row>
    <row r="59" spans="1:42" s="123" customFormat="1" ht="24" x14ac:dyDescent="0.3">
      <c r="A59" s="4">
        <v>56</v>
      </c>
      <c r="B59" s="2" t="s">
        <v>678</v>
      </c>
      <c r="C59" s="2" t="s">
        <v>32</v>
      </c>
      <c r="D59" s="2">
        <v>106.68946819999999</v>
      </c>
      <c r="E59" s="2">
        <v>10.8050829</v>
      </c>
      <c r="F59" s="2" t="s">
        <v>683</v>
      </c>
      <c r="G59" s="34" t="s">
        <v>357</v>
      </c>
      <c r="H59" s="27" t="s">
        <v>902</v>
      </c>
      <c r="I59" s="25" t="s">
        <v>902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909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691</v>
      </c>
      <c r="AI59" s="119" t="s">
        <v>692</v>
      </c>
      <c r="AJ59" s="112" t="s">
        <v>416</v>
      </c>
      <c r="AK59" s="2" t="s">
        <v>690</v>
      </c>
      <c r="AL59" s="2">
        <v>15</v>
      </c>
      <c r="AM59" s="2">
        <v>6</v>
      </c>
      <c r="AN59" s="48"/>
      <c r="AO59" t="s">
        <v>777</v>
      </c>
      <c r="AP59" s="122"/>
    </row>
    <row r="60" spans="1:42" s="123" customFormat="1" ht="24" x14ac:dyDescent="0.3">
      <c r="A60" s="4">
        <v>57</v>
      </c>
      <c r="B60" s="2" t="s">
        <v>679</v>
      </c>
      <c r="C60" s="2" t="s">
        <v>588</v>
      </c>
      <c r="D60" s="2">
        <v>106.67948699999999</v>
      </c>
      <c r="E60" s="2">
        <v>10.778354</v>
      </c>
      <c r="F60" s="2" t="s">
        <v>684</v>
      </c>
      <c r="G60" s="34" t="s">
        <v>357</v>
      </c>
      <c r="H60" s="27" t="s">
        <v>902</v>
      </c>
      <c r="I60" s="25" t="s">
        <v>902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909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694</v>
      </c>
      <c r="AI60" s="119" t="s">
        <v>695</v>
      </c>
      <c r="AJ60" s="112" t="s">
        <v>696</v>
      </c>
      <c r="AK60" s="2" t="s">
        <v>693</v>
      </c>
      <c r="AL60" s="2">
        <v>17.5</v>
      </c>
      <c r="AM60" s="2">
        <v>6</v>
      </c>
      <c r="AN60" s="48"/>
      <c r="AO60" t="s">
        <v>777</v>
      </c>
      <c r="AP60" s="122"/>
    </row>
    <row r="61" spans="1:42" s="123" customFormat="1" ht="24" x14ac:dyDescent="0.3">
      <c r="A61" s="4">
        <v>58</v>
      </c>
      <c r="B61" s="2" t="s">
        <v>680</v>
      </c>
      <c r="C61" s="2" t="s">
        <v>157</v>
      </c>
      <c r="D61" s="2">
        <v>106.64586</v>
      </c>
      <c r="E61" s="2">
        <v>10.80012</v>
      </c>
      <c r="F61" s="2" t="s">
        <v>685</v>
      </c>
      <c r="G61" s="34" t="s">
        <v>357</v>
      </c>
      <c r="H61" s="27" t="s">
        <v>902</v>
      </c>
      <c r="I61" s="25" t="s">
        <v>902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909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703</v>
      </c>
      <c r="AI61" s="119" t="s">
        <v>702</v>
      </c>
      <c r="AJ61" s="112" t="s">
        <v>416</v>
      </c>
      <c r="AK61" s="2" t="s">
        <v>701</v>
      </c>
      <c r="AL61" s="2"/>
      <c r="AM61" s="2"/>
      <c r="AN61" s="48"/>
      <c r="AO61" t="s">
        <v>777</v>
      </c>
      <c r="AP61" s="122"/>
    </row>
    <row r="62" spans="1:42" s="123" customFormat="1" ht="24" x14ac:dyDescent="0.3">
      <c r="A62" s="4">
        <v>59</v>
      </c>
      <c r="B62" s="2" t="s">
        <v>681</v>
      </c>
      <c r="C62" s="2" t="s">
        <v>157</v>
      </c>
      <c r="D62" s="2">
        <v>106.64458</v>
      </c>
      <c r="E62" s="2">
        <v>10.80631</v>
      </c>
      <c r="F62" s="2" t="s">
        <v>686</v>
      </c>
      <c r="G62" s="34" t="s">
        <v>357</v>
      </c>
      <c r="H62" s="27" t="s">
        <v>902</v>
      </c>
      <c r="I62" s="25" t="s">
        <v>902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917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698</v>
      </c>
      <c r="AI62" s="119" t="s">
        <v>699</v>
      </c>
      <c r="AJ62" s="112" t="s">
        <v>700</v>
      </c>
      <c r="AK62" s="2" t="s">
        <v>697</v>
      </c>
      <c r="AL62" s="2"/>
      <c r="AM62" s="2"/>
      <c r="AN62" s="48"/>
      <c r="AO62" t="s">
        <v>777</v>
      </c>
      <c r="AP62" s="122"/>
    </row>
    <row r="63" spans="1:42" s="123" customFormat="1" ht="24" x14ac:dyDescent="0.3">
      <c r="A63" s="4">
        <v>60</v>
      </c>
      <c r="B63" s="2" t="s">
        <v>711</v>
      </c>
      <c r="C63" s="2" t="s">
        <v>291</v>
      </c>
      <c r="D63" s="2">
        <v>106.6938191</v>
      </c>
      <c r="E63" s="2">
        <v>10.8678408</v>
      </c>
      <c r="F63" s="2" t="s">
        <v>712</v>
      </c>
      <c r="G63" s="34" t="s">
        <v>356</v>
      </c>
      <c r="H63" s="27" t="s">
        <v>902</v>
      </c>
      <c r="I63" s="25" t="s">
        <v>902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918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728</v>
      </c>
      <c r="AF63" s="113" t="s">
        <v>79</v>
      </c>
      <c r="AG63" s="120"/>
      <c r="AH63" s="121" t="s">
        <v>730</v>
      </c>
      <c r="AI63" s="119" t="s">
        <v>729</v>
      </c>
      <c r="AJ63" s="112" t="s">
        <v>154</v>
      </c>
      <c r="AK63" s="2" t="s">
        <v>713</v>
      </c>
      <c r="AL63" s="2">
        <v>12.5</v>
      </c>
      <c r="AM63" s="2">
        <v>9</v>
      </c>
      <c r="AN63" s="48"/>
      <c r="AO63" t="s">
        <v>777</v>
      </c>
      <c r="AP63" s="122"/>
    </row>
    <row r="64" spans="1:42" s="123" customFormat="1" ht="24" x14ac:dyDescent="0.3">
      <c r="A64" s="4">
        <v>61</v>
      </c>
      <c r="B64" s="2" t="s">
        <v>714</v>
      </c>
      <c r="C64" s="2" t="s">
        <v>291</v>
      </c>
      <c r="D64" s="2">
        <v>106.643762</v>
      </c>
      <c r="E64" s="2">
        <v>10.889957000000001</v>
      </c>
      <c r="F64" s="2" t="s">
        <v>715</v>
      </c>
      <c r="G64" s="34" t="s">
        <v>356</v>
      </c>
      <c r="H64" s="27" t="s">
        <v>902</v>
      </c>
      <c r="I64" s="34" t="s">
        <v>907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919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727</v>
      </c>
      <c r="AF64" s="113" t="s">
        <v>79</v>
      </c>
      <c r="AG64" s="120"/>
      <c r="AH64" s="121" t="s">
        <v>726</v>
      </c>
      <c r="AI64" s="119" t="s">
        <v>725</v>
      </c>
      <c r="AJ64" s="112" t="s">
        <v>416</v>
      </c>
      <c r="AK64" s="2" t="s">
        <v>716</v>
      </c>
      <c r="AL64" s="2">
        <v>13.5</v>
      </c>
      <c r="AM64" s="2">
        <v>12</v>
      </c>
      <c r="AN64" s="48"/>
      <c r="AO64" t="s">
        <v>777</v>
      </c>
      <c r="AP64" s="122"/>
    </row>
    <row r="65" spans="1:42" s="123" customFormat="1" ht="36" x14ac:dyDescent="0.3">
      <c r="A65" s="4">
        <v>62</v>
      </c>
      <c r="B65" s="2" t="s">
        <v>717</v>
      </c>
      <c r="C65" s="2" t="s">
        <v>32</v>
      </c>
      <c r="D65" s="2">
        <v>106.722944</v>
      </c>
      <c r="E65" s="2">
        <v>10.80025</v>
      </c>
      <c r="F65" s="2" t="s">
        <v>718</v>
      </c>
      <c r="G65" s="34" t="s">
        <v>356</v>
      </c>
      <c r="H65" s="27" t="s">
        <v>902</v>
      </c>
      <c r="I65" s="25" t="s">
        <v>902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909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748</v>
      </c>
      <c r="AF65" s="113" t="s">
        <v>79</v>
      </c>
      <c r="AG65" s="120"/>
      <c r="AH65" s="150" t="s">
        <v>738</v>
      </c>
      <c r="AI65" s="151" t="s">
        <v>737</v>
      </c>
      <c r="AJ65" s="36" t="s">
        <v>812</v>
      </c>
      <c r="AK65" s="8" t="s">
        <v>719</v>
      </c>
      <c r="AL65" s="8">
        <v>25</v>
      </c>
      <c r="AM65" s="8">
        <v>12</v>
      </c>
      <c r="AN65" s="100"/>
      <c r="AO65" t="s">
        <v>777</v>
      </c>
      <c r="AP65" s="122"/>
    </row>
    <row r="66" spans="1:42" s="123" customFormat="1" ht="24" x14ac:dyDescent="0.3">
      <c r="A66" s="4">
        <v>63</v>
      </c>
      <c r="B66" s="2" t="s">
        <v>720</v>
      </c>
      <c r="C66" s="2" t="s">
        <v>230</v>
      </c>
      <c r="D66" s="2">
        <v>106.577326</v>
      </c>
      <c r="E66" s="2">
        <v>10.760555999999999</v>
      </c>
      <c r="F66" s="2" t="s">
        <v>721</v>
      </c>
      <c r="G66" s="34" t="s">
        <v>356</v>
      </c>
      <c r="H66" s="27" t="s">
        <v>902</v>
      </c>
      <c r="I66" s="25" t="s">
        <v>902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920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731</v>
      </c>
      <c r="AF66" s="113" t="s">
        <v>79</v>
      </c>
      <c r="AG66" s="120"/>
      <c r="AH66" s="121" t="s">
        <v>723</v>
      </c>
      <c r="AI66" s="119" t="s">
        <v>724</v>
      </c>
      <c r="AJ66" s="112" t="s">
        <v>171</v>
      </c>
      <c r="AK66" s="2" t="s">
        <v>722</v>
      </c>
      <c r="AL66" s="2">
        <v>14</v>
      </c>
      <c r="AM66" s="2"/>
      <c r="AN66" s="48"/>
      <c r="AO66" t="s">
        <v>777</v>
      </c>
      <c r="AP66" s="122"/>
    </row>
    <row r="67" spans="1:42" s="123" customFormat="1" ht="24" x14ac:dyDescent="0.3">
      <c r="A67" s="4">
        <v>64</v>
      </c>
      <c r="B67" s="2" t="s">
        <v>732</v>
      </c>
      <c r="C67" s="2" t="s">
        <v>15</v>
      </c>
      <c r="D67" s="2">
        <v>106.610331</v>
      </c>
      <c r="E67" s="2">
        <v>10.845826000000001</v>
      </c>
      <c r="F67" s="2" t="s">
        <v>733</v>
      </c>
      <c r="G67" s="34" t="s">
        <v>356</v>
      </c>
      <c r="H67" s="27" t="s">
        <v>902</v>
      </c>
      <c r="I67" s="34" t="s">
        <v>907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921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746</v>
      </c>
      <c r="AF67" s="113" t="s">
        <v>79</v>
      </c>
      <c r="AG67" s="120"/>
      <c r="AH67" s="121" t="s">
        <v>734</v>
      </c>
      <c r="AI67" s="119" t="s">
        <v>735</v>
      </c>
      <c r="AJ67" s="112" t="s">
        <v>401</v>
      </c>
      <c r="AK67" s="2" t="s">
        <v>736</v>
      </c>
      <c r="AL67" s="2">
        <v>22</v>
      </c>
      <c r="AM67" s="2">
        <v>6</v>
      </c>
      <c r="AN67" s="48"/>
      <c r="AO67" t="s">
        <v>777</v>
      </c>
      <c r="AP67" s="122"/>
    </row>
    <row r="68" spans="1:42" s="123" customFormat="1" ht="36" x14ac:dyDescent="0.3">
      <c r="A68" s="4">
        <v>65</v>
      </c>
      <c r="B68" s="2" t="s">
        <v>739</v>
      </c>
      <c r="C68" s="2" t="s">
        <v>291</v>
      </c>
      <c r="D68" s="2">
        <v>106.695172</v>
      </c>
      <c r="E68" s="2">
        <v>10.842267</v>
      </c>
      <c r="F68" s="2" t="s">
        <v>740</v>
      </c>
      <c r="G68" s="34" t="s">
        <v>357</v>
      </c>
      <c r="H68" s="27" t="s">
        <v>902</v>
      </c>
      <c r="I68" s="25" t="s">
        <v>902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909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743</v>
      </c>
      <c r="AF68" s="113" t="s">
        <v>79</v>
      </c>
      <c r="AG68" s="120"/>
      <c r="AH68" s="121" t="s">
        <v>742</v>
      </c>
      <c r="AI68" s="119" t="s">
        <v>741</v>
      </c>
      <c r="AJ68" s="112" t="s">
        <v>744</v>
      </c>
      <c r="AK68" s="2" t="s">
        <v>745</v>
      </c>
      <c r="AL68" s="2">
        <v>13</v>
      </c>
      <c r="AM68" s="2">
        <v>6</v>
      </c>
      <c r="AN68" s="48"/>
      <c r="AO68" t="s">
        <v>777</v>
      </c>
      <c r="AP68" s="122"/>
    </row>
    <row r="69" spans="1:42" s="123" customFormat="1" ht="24" x14ac:dyDescent="0.3">
      <c r="A69" s="4">
        <v>66</v>
      </c>
      <c r="B69" s="2" t="s">
        <v>749</v>
      </c>
      <c r="C69" s="2" t="s">
        <v>15</v>
      </c>
      <c r="D69" s="2">
        <v>106.608891</v>
      </c>
      <c r="E69" s="2">
        <v>10.858193999999999</v>
      </c>
      <c r="F69" s="2" t="s">
        <v>762</v>
      </c>
      <c r="G69" s="34" t="s">
        <v>356</v>
      </c>
      <c r="H69" s="27" t="s">
        <v>902</v>
      </c>
      <c r="I69" s="25" t="s">
        <v>902</v>
      </c>
      <c r="J69" s="125">
        <v>45465</v>
      </c>
      <c r="K69" s="20">
        <f t="shared" ref="K69:K100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922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768</v>
      </c>
      <c r="AF69" s="113" t="s">
        <v>79</v>
      </c>
      <c r="AG69" s="120"/>
      <c r="AH69" s="121" t="s">
        <v>763</v>
      </c>
      <c r="AI69" s="119" t="s">
        <v>764</v>
      </c>
      <c r="AJ69" s="112" t="s">
        <v>710</v>
      </c>
      <c r="AK69" s="2" t="s">
        <v>761</v>
      </c>
      <c r="AL69" s="2"/>
      <c r="AM69" s="2"/>
      <c r="AN69" s="48"/>
      <c r="AO69" t="s">
        <v>777</v>
      </c>
      <c r="AP69" s="122"/>
    </row>
    <row r="70" spans="1:42" s="123" customFormat="1" ht="24" x14ac:dyDescent="0.3">
      <c r="A70" s="4">
        <v>67</v>
      </c>
      <c r="B70" s="2" t="s">
        <v>750</v>
      </c>
      <c r="C70" s="2" t="s">
        <v>117</v>
      </c>
      <c r="D70" s="2">
        <v>106.58026</v>
      </c>
      <c r="E70" s="2">
        <v>10.693832</v>
      </c>
      <c r="F70" s="2" t="s">
        <v>757</v>
      </c>
      <c r="G70" s="34" t="s">
        <v>357</v>
      </c>
      <c r="H70" s="27" t="s">
        <v>902</v>
      </c>
      <c r="I70" s="25" t="s">
        <v>902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909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759</v>
      </c>
      <c r="AI70" s="119" t="s">
        <v>758</v>
      </c>
      <c r="AJ70" s="112" t="s">
        <v>710</v>
      </c>
      <c r="AK70" s="2" t="s">
        <v>760</v>
      </c>
      <c r="AL70" s="2"/>
      <c r="AM70" s="2"/>
      <c r="AN70" s="48"/>
      <c r="AO70" t="s">
        <v>777</v>
      </c>
      <c r="AP70" s="122"/>
    </row>
    <row r="71" spans="1:42" s="123" customFormat="1" ht="24" x14ac:dyDescent="0.3">
      <c r="A71" s="4">
        <v>68</v>
      </c>
      <c r="B71" s="2" t="s">
        <v>751</v>
      </c>
      <c r="C71" s="2" t="s">
        <v>15</v>
      </c>
      <c r="D71" s="2">
        <v>106.648195</v>
      </c>
      <c r="E71" s="2">
        <v>10.901745</v>
      </c>
      <c r="F71" s="2" t="s">
        <v>753</v>
      </c>
      <c r="G71" s="34" t="s">
        <v>356</v>
      </c>
      <c r="H71" s="27" t="s">
        <v>902</v>
      </c>
      <c r="I71" s="25" t="s">
        <v>902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909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766</v>
      </c>
      <c r="AI71" s="119" t="s">
        <v>765</v>
      </c>
      <c r="AJ71" s="112" t="s">
        <v>767</v>
      </c>
      <c r="AK71" s="2" t="s">
        <v>754</v>
      </c>
      <c r="AL71" s="2">
        <v>12</v>
      </c>
      <c r="AM71" s="2">
        <v>12</v>
      </c>
      <c r="AN71" s="48"/>
      <c r="AO71" t="s">
        <v>777</v>
      </c>
      <c r="AP71" s="122"/>
    </row>
    <row r="72" spans="1:42" s="123" customFormat="1" ht="24" x14ac:dyDescent="0.3">
      <c r="A72" s="4">
        <v>69</v>
      </c>
      <c r="B72" s="2" t="s">
        <v>752</v>
      </c>
      <c r="C72" s="2" t="s">
        <v>230</v>
      </c>
      <c r="D72" s="2">
        <v>106.599693</v>
      </c>
      <c r="E72" s="2">
        <v>10.779717</v>
      </c>
      <c r="F72" s="2" t="s">
        <v>755</v>
      </c>
      <c r="G72" s="34" t="s">
        <v>356</v>
      </c>
      <c r="H72" s="27" t="s">
        <v>902</v>
      </c>
      <c r="I72" s="25" t="s">
        <v>902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909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778</v>
      </c>
      <c r="AI72" s="119" t="s">
        <v>779</v>
      </c>
      <c r="AJ72" s="112" t="s">
        <v>780</v>
      </c>
      <c r="AK72" s="2" t="s">
        <v>756</v>
      </c>
      <c r="AL72" s="2">
        <v>11</v>
      </c>
      <c r="AM72" s="2">
        <v>12</v>
      </c>
      <c r="AN72" s="48"/>
      <c r="AO72" t="s">
        <v>777</v>
      </c>
      <c r="AP72" s="122"/>
    </row>
    <row r="73" spans="1:42" s="123" customFormat="1" ht="24" x14ac:dyDescent="0.3">
      <c r="A73" s="4">
        <v>70</v>
      </c>
      <c r="B73" s="2" t="s">
        <v>747</v>
      </c>
      <c r="C73" s="2" t="s">
        <v>32</v>
      </c>
      <c r="D73" s="2">
        <v>106.699208</v>
      </c>
      <c r="E73" s="2">
        <v>10.805695099999999</v>
      </c>
      <c r="F73" s="2" t="s">
        <v>770</v>
      </c>
      <c r="G73" s="34" t="s">
        <v>357</v>
      </c>
      <c r="H73" s="27" t="s">
        <v>902</v>
      </c>
      <c r="I73" s="25" t="s">
        <v>902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909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704</v>
      </c>
      <c r="AI73" s="119" t="s">
        <v>705</v>
      </c>
      <c r="AJ73" s="112" t="s">
        <v>706</v>
      </c>
      <c r="AK73" s="2" t="s">
        <v>707</v>
      </c>
      <c r="AL73" s="2"/>
      <c r="AM73" s="2"/>
      <c r="AN73" s="48"/>
      <c r="AO73" t="s">
        <v>777</v>
      </c>
      <c r="AP73" s="122"/>
    </row>
    <row r="74" spans="1:42" s="123" customFormat="1" ht="24" x14ac:dyDescent="0.3">
      <c r="A74" s="4">
        <v>71</v>
      </c>
      <c r="B74" s="2" t="s">
        <v>616</v>
      </c>
      <c r="C74" s="2" t="s">
        <v>771</v>
      </c>
      <c r="D74" s="2">
        <v>106.69146499999999</v>
      </c>
      <c r="E74" s="2">
        <v>10.760405</v>
      </c>
      <c r="F74" s="2" t="s">
        <v>772</v>
      </c>
      <c r="G74" s="34" t="s">
        <v>357</v>
      </c>
      <c r="H74" s="27" t="s">
        <v>902</v>
      </c>
      <c r="I74" s="25" t="s">
        <v>902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909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673</v>
      </c>
      <c r="AI74" s="119" t="s">
        <v>674</v>
      </c>
      <c r="AJ74" s="112" t="s">
        <v>675</v>
      </c>
      <c r="AK74" s="2" t="s">
        <v>676</v>
      </c>
      <c r="AL74" s="2"/>
      <c r="AM74" s="2"/>
      <c r="AN74" s="48"/>
      <c r="AO74" t="s">
        <v>775</v>
      </c>
      <c r="AP74" s="122"/>
    </row>
    <row r="75" spans="1:42" s="123" customFormat="1" ht="24" x14ac:dyDescent="0.3">
      <c r="A75" s="4">
        <v>72</v>
      </c>
      <c r="B75" s="2" t="s">
        <v>781</v>
      </c>
      <c r="C75" s="2" t="s">
        <v>32</v>
      </c>
      <c r="D75" s="2">
        <v>106.70027</v>
      </c>
      <c r="E75" s="2">
        <v>10.828835</v>
      </c>
      <c r="F75" s="2" t="s">
        <v>782</v>
      </c>
      <c r="G75" s="34" t="s">
        <v>356</v>
      </c>
      <c r="H75" s="27" t="s">
        <v>902</v>
      </c>
      <c r="I75" s="25" t="s">
        <v>902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909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783</v>
      </c>
      <c r="AF75" s="113" t="s">
        <v>79</v>
      </c>
      <c r="AG75" s="120"/>
      <c r="AH75" s="121" t="s">
        <v>784</v>
      </c>
      <c r="AI75" s="119" t="s">
        <v>785</v>
      </c>
      <c r="AJ75" s="112" t="s">
        <v>780</v>
      </c>
      <c r="AK75" s="2" t="s">
        <v>786</v>
      </c>
      <c r="AL75" s="2" t="s">
        <v>787</v>
      </c>
      <c r="AM75" s="2">
        <v>9</v>
      </c>
      <c r="AN75" s="48"/>
      <c r="AO75" t="s">
        <v>777</v>
      </c>
      <c r="AP75" s="122"/>
    </row>
    <row r="76" spans="1:42" s="123" customFormat="1" ht="24" x14ac:dyDescent="0.3">
      <c r="A76" s="4">
        <v>73</v>
      </c>
      <c r="B76" s="2" t="s">
        <v>788</v>
      </c>
      <c r="C76" s="2" t="s">
        <v>157</v>
      </c>
      <c r="D76" s="2">
        <v>106.66424809999999</v>
      </c>
      <c r="E76" s="2">
        <v>10.790502399999999</v>
      </c>
      <c r="F76" s="2" t="s">
        <v>789</v>
      </c>
      <c r="G76" s="34" t="s">
        <v>357</v>
      </c>
      <c r="H76" s="27" t="s">
        <v>902</v>
      </c>
      <c r="I76" s="25" t="s">
        <v>902</v>
      </c>
      <c r="J76" s="125" t="s">
        <v>909</v>
      </c>
      <c r="K76" s="125" t="s">
        <v>909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909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783</v>
      </c>
      <c r="AF76" s="113" t="s">
        <v>79</v>
      </c>
      <c r="AG76" s="120"/>
      <c r="AH76" s="121" t="s">
        <v>790</v>
      </c>
      <c r="AI76" s="119" t="s">
        <v>791</v>
      </c>
      <c r="AJ76" s="112" t="s">
        <v>792</v>
      </c>
      <c r="AK76" s="2" t="s">
        <v>793</v>
      </c>
      <c r="AL76" s="2" t="s">
        <v>794</v>
      </c>
      <c r="AM76" s="2">
        <v>6</v>
      </c>
      <c r="AN76" s="48"/>
      <c r="AO76" t="s">
        <v>777</v>
      </c>
      <c r="AP76" s="122"/>
    </row>
    <row r="77" spans="1:42" s="123" customFormat="1" ht="24" x14ac:dyDescent="0.3">
      <c r="A77" s="4">
        <v>74</v>
      </c>
      <c r="B77" s="2" t="s">
        <v>797</v>
      </c>
      <c r="C77" s="2" t="s">
        <v>582</v>
      </c>
      <c r="D77" s="2">
        <v>106.787966</v>
      </c>
      <c r="E77" s="2">
        <v>10.769964999999999</v>
      </c>
      <c r="F77" s="2" t="s">
        <v>796</v>
      </c>
      <c r="G77" s="34" t="s">
        <v>356</v>
      </c>
      <c r="H77" s="27" t="s">
        <v>902</v>
      </c>
      <c r="I77" s="25" t="s">
        <v>902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909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783</v>
      </c>
      <c r="AF77" s="113" t="s">
        <v>79</v>
      </c>
      <c r="AG77" s="120"/>
      <c r="AH77" s="121" t="s">
        <v>799</v>
      </c>
      <c r="AI77" s="119" t="s">
        <v>798</v>
      </c>
      <c r="AJ77" s="112" t="s">
        <v>800</v>
      </c>
      <c r="AK77" s="2" t="s">
        <v>795</v>
      </c>
      <c r="AL77" s="2" t="s">
        <v>794</v>
      </c>
      <c r="AM77" s="2">
        <v>9</v>
      </c>
      <c r="AN77" s="48"/>
      <c r="AO77" t="s">
        <v>777</v>
      </c>
      <c r="AP77" s="122"/>
    </row>
    <row r="78" spans="1:42" s="123" customFormat="1" ht="24" x14ac:dyDescent="0.3">
      <c r="A78" s="4">
        <v>75</v>
      </c>
      <c r="B78" s="2" t="s">
        <v>801</v>
      </c>
      <c r="C78" s="2" t="s">
        <v>32</v>
      </c>
      <c r="D78" s="2">
        <v>106.715318</v>
      </c>
      <c r="E78" s="2">
        <v>10.795153000000001</v>
      </c>
      <c r="F78" s="2" t="s">
        <v>811</v>
      </c>
      <c r="G78" s="34" t="s">
        <v>357</v>
      </c>
      <c r="H78" s="27" t="s">
        <v>902</v>
      </c>
      <c r="I78" s="25" t="s">
        <v>902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909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809</v>
      </c>
      <c r="AF78" s="113" t="s">
        <v>79</v>
      </c>
      <c r="AG78" s="120"/>
      <c r="AH78" s="121" t="s">
        <v>808</v>
      </c>
      <c r="AI78" s="119" t="s">
        <v>868</v>
      </c>
      <c r="AJ78" s="112" t="s">
        <v>706</v>
      </c>
      <c r="AK78" s="2" t="s">
        <v>807</v>
      </c>
      <c r="AL78" s="2"/>
      <c r="AM78" s="2">
        <v>6</v>
      </c>
      <c r="AN78" s="48"/>
      <c r="AO78" t="s">
        <v>777</v>
      </c>
      <c r="AP78" s="122"/>
    </row>
    <row r="79" spans="1:42" s="123" customFormat="1" ht="24" x14ac:dyDescent="0.3">
      <c r="A79" s="4">
        <v>76</v>
      </c>
      <c r="B79" s="2" t="s">
        <v>802</v>
      </c>
      <c r="C79" s="2" t="s">
        <v>157</v>
      </c>
      <c r="D79" s="2">
        <v>106.6566996</v>
      </c>
      <c r="E79" s="2">
        <v>10.793421199999999</v>
      </c>
      <c r="F79" s="2" t="s">
        <v>803</v>
      </c>
      <c r="G79" s="34" t="s">
        <v>357</v>
      </c>
      <c r="H79" s="27" t="s">
        <v>902</v>
      </c>
      <c r="I79" s="25" t="s">
        <v>902</v>
      </c>
      <c r="J79" s="125" t="s">
        <v>909</v>
      </c>
      <c r="K79" s="125" t="s">
        <v>909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909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810</v>
      </c>
      <c r="AF79" s="113" t="s">
        <v>79</v>
      </c>
      <c r="AG79" s="120"/>
      <c r="AH79" s="121" t="s">
        <v>804</v>
      </c>
      <c r="AI79" s="119" t="s">
        <v>805</v>
      </c>
      <c r="AJ79" s="112" t="s">
        <v>171</v>
      </c>
      <c r="AK79" s="2" t="s">
        <v>806</v>
      </c>
      <c r="AL79" s="2"/>
      <c r="AM79" s="2">
        <v>6</v>
      </c>
      <c r="AN79" s="48"/>
      <c r="AO79" t="s">
        <v>777</v>
      </c>
      <c r="AP79" s="122"/>
    </row>
    <row r="80" spans="1:42" s="123" customFormat="1" ht="24" x14ac:dyDescent="0.3">
      <c r="A80" s="4">
        <v>77</v>
      </c>
      <c r="B80" s="2" t="s">
        <v>813</v>
      </c>
      <c r="C80" s="2" t="s">
        <v>117</v>
      </c>
      <c r="D80" s="2">
        <v>106.652019</v>
      </c>
      <c r="E80" s="2">
        <v>10.706345000000001</v>
      </c>
      <c r="F80" s="2" t="s">
        <v>814</v>
      </c>
      <c r="G80" s="34" t="s">
        <v>356</v>
      </c>
      <c r="H80" s="27" t="s">
        <v>902</v>
      </c>
      <c r="I80" s="25" t="s">
        <v>902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909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810</v>
      </c>
      <c r="AF80" s="113" t="s">
        <v>79</v>
      </c>
      <c r="AG80" s="120"/>
      <c r="AH80" s="121" t="s">
        <v>815</v>
      </c>
      <c r="AI80" s="119" t="s">
        <v>816</v>
      </c>
      <c r="AJ80" s="112" t="s">
        <v>154</v>
      </c>
      <c r="AK80" s="2" t="s">
        <v>817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824</v>
      </c>
      <c r="C81" s="2" t="s">
        <v>66</v>
      </c>
      <c r="D81" s="2" t="s">
        <v>869</v>
      </c>
      <c r="E81" s="2" t="s">
        <v>870</v>
      </c>
      <c r="F81" s="2" t="s">
        <v>481</v>
      </c>
      <c r="G81" s="34" t="s">
        <v>904</v>
      </c>
      <c r="H81" s="27" t="s">
        <v>902</v>
      </c>
      <c r="I81" s="25" t="s">
        <v>902</v>
      </c>
      <c r="J81" s="125" t="s">
        <v>909</v>
      </c>
      <c r="K81" s="125" t="s">
        <v>909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909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910</v>
      </c>
      <c r="AG81" s="120"/>
      <c r="AH81" s="121" t="s">
        <v>910</v>
      </c>
      <c r="AI81" s="121" t="s">
        <v>910</v>
      </c>
      <c r="AJ81" s="121" t="s">
        <v>910</v>
      </c>
      <c r="AK81" s="121" t="s">
        <v>910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825</v>
      </c>
      <c r="C82" s="2" t="s">
        <v>66</v>
      </c>
      <c r="D82" s="2" t="s">
        <v>871</v>
      </c>
      <c r="E82" s="2" t="s">
        <v>870</v>
      </c>
      <c r="F82" s="2" t="s">
        <v>481</v>
      </c>
      <c r="G82" s="34" t="s">
        <v>904</v>
      </c>
      <c r="H82" s="27" t="s">
        <v>902</v>
      </c>
      <c r="I82" s="25" t="s">
        <v>902</v>
      </c>
      <c r="J82" s="125" t="s">
        <v>909</v>
      </c>
      <c r="K82" s="125" t="s">
        <v>909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909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910</v>
      </c>
      <c r="AG82" s="120"/>
      <c r="AH82" s="121" t="s">
        <v>910</v>
      </c>
      <c r="AI82" s="121" t="s">
        <v>910</v>
      </c>
      <c r="AJ82" s="121" t="s">
        <v>910</v>
      </c>
      <c r="AK82" s="121" t="s">
        <v>910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826</v>
      </c>
      <c r="C83" s="2" t="s">
        <v>66</v>
      </c>
      <c r="D83" s="2" t="s">
        <v>872</v>
      </c>
      <c r="E83" s="2" t="s">
        <v>873</v>
      </c>
      <c r="F83" s="2" t="s">
        <v>481</v>
      </c>
      <c r="G83" s="34" t="s">
        <v>904</v>
      </c>
      <c r="H83" s="27" t="s">
        <v>902</v>
      </c>
      <c r="I83" s="25" t="s">
        <v>902</v>
      </c>
      <c r="J83" s="125" t="s">
        <v>909</v>
      </c>
      <c r="K83" s="125" t="s">
        <v>909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909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910</v>
      </c>
      <c r="AG83" s="120"/>
      <c r="AH83" s="121" t="s">
        <v>910</v>
      </c>
      <c r="AI83" s="121" t="s">
        <v>910</v>
      </c>
      <c r="AJ83" s="121" t="s">
        <v>910</v>
      </c>
      <c r="AK83" s="121" t="s">
        <v>910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827</v>
      </c>
      <c r="C84" s="2" t="s">
        <v>66</v>
      </c>
      <c r="D84" s="2" t="s">
        <v>874</v>
      </c>
      <c r="E84" s="2" t="s">
        <v>875</v>
      </c>
      <c r="F84" s="2" t="s">
        <v>481</v>
      </c>
      <c r="G84" s="34" t="s">
        <v>904</v>
      </c>
      <c r="H84" s="27" t="s">
        <v>902</v>
      </c>
      <c r="I84" s="25" t="s">
        <v>902</v>
      </c>
      <c r="J84" s="125" t="s">
        <v>909</v>
      </c>
      <c r="K84" s="125" t="s">
        <v>909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909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910</v>
      </c>
      <c r="AG84" s="120"/>
      <c r="AH84" s="121" t="s">
        <v>910</v>
      </c>
      <c r="AI84" s="121" t="s">
        <v>910</v>
      </c>
      <c r="AJ84" s="121" t="s">
        <v>910</v>
      </c>
      <c r="AK84" s="121" t="s">
        <v>910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828</v>
      </c>
      <c r="C85" s="2" t="s">
        <v>66</v>
      </c>
      <c r="D85" s="2" t="s">
        <v>876</v>
      </c>
      <c r="E85" s="2" t="s">
        <v>877</v>
      </c>
      <c r="F85" s="2" t="s">
        <v>481</v>
      </c>
      <c r="G85" s="34" t="s">
        <v>904</v>
      </c>
      <c r="H85" s="27" t="s">
        <v>902</v>
      </c>
      <c r="I85" s="25" t="s">
        <v>902</v>
      </c>
      <c r="J85" s="125" t="s">
        <v>909</v>
      </c>
      <c r="K85" s="125" t="s">
        <v>909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909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910</v>
      </c>
      <c r="AG85" s="120"/>
      <c r="AH85" s="121" t="s">
        <v>910</v>
      </c>
      <c r="AI85" s="121" t="s">
        <v>910</v>
      </c>
      <c r="AJ85" s="121" t="s">
        <v>910</v>
      </c>
      <c r="AK85" s="121" t="s">
        <v>910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829</v>
      </c>
      <c r="C86" s="2" t="s">
        <v>66</v>
      </c>
      <c r="D86" s="2" t="s">
        <v>878</v>
      </c>
      <c r="E86" s="2" t="s">
        <v>879</v>
      </c>
      <c r="F86" s="2" t="s">
        <v>481</v>
      </c>
      <c r="G86" s="34" t="s">
        <v>904</v>
      </c>
      <c r="H86" s="27" t="s">
        <v>902</v>
      </c>
      <c r="I86" s="25" t="s">
        <v>902</v>
      </c>
      <c r="J86" s="125" t="s">
        <v>909</v>
      </c>
      <c r="K86" s="125" t="s">
        <v>909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909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910</v>
      </c>
      <c r="AG86" s="120"/>
      <c r="AH86" s="121" t="s">
        <v>910</v>
      </c>
      <c r="AI86" s="121" t="s">
        <v>910</v>
      </c>
      <c r="AJ86" s="121" t="s">
        <v>910</v>
      </c>
      <c r="AK86" s="121" t="s">
        <v>910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830</v>
      </c>
      <c r="C87" s="2" t="s">
        <v>66</v>
      </c>
      <c r="D87" s="2" t="s">
        <v>880</v>
      </c>
      <c r="E87" s="2" t="s">
        <v>881</v>
      </c>
      <c r="F87" s="2" t="s">
        <v>481</v>
      </c>
      <c r="G87" s="34" t="s">
        <v>904</v>
      </c>
      <c r="H87" s="27" t="s">
        <v>902</v>
      </c>
      <c r="I87" s="25" t="s">
        <v>902</v>
      </c>
      <c r="J87" s="125" t="s">
        <v>909</v>
      </c>
      <c r="K87" s="125" t="s">
        <v>909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909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910</v>
      </c>
      <c r="AG87" s="120"/>
      <c r="AH87" s="121" t="s">
        <v>910</v>
      </c>
      <c r="AI87" s="121" t="s">
        <v>910</v>
      </c>
      <c r="AJ87" s="121" t="s">
        <v>910</v>
      </c>
      <c r="AK87" s="121" t="s">
        <v>910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831</v>
      </c>
      <c r="C88" s="2" t="s">
        <v>66</v>
      </c>
      <c r="D88" s="2" t="s">
        <v>882</v>
      </c>
      <c r="E88" s="2" t="s">
        <v>883</v>
      </c>
      <c r="F88" s="2" t="s">
        <v>481</v>
      </c>
      <c r="G88" s="34" t="s">
        <v>904</v>
      </c>
      <c r="H88" s="27" t="s">
        <v>902</v>
      </c>
      <c r="I88" s="25" t="s">
        <v>902</v>
      </c>
      <c r="J88" s="125" t="s">
        <v>909</v>
      </c>
      <c r="K88" s="125" t="s">
        <v>909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909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910</v>
      </c>
      <c r="AG88" s="120"/>
      <c r="AH88" s="121" t="s">
        <v>910</v>
      </c>
      <c r="AI88" s="121" t="s">
        <v>910</v>
      </c>
      <c r="AJ88" s="121" t="s">
        <v>910</v>
      </c>
      <c r="AK88" s="121" t="s">
        <v>910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832</v>
      </c>
      <c r="C89" s="2" t="s">
        <v>66</v>
      </c>
      <c r="D89" s="2" t="s">
        <v>884</v>
      </c>
      <c r="E89" s="2" t="s">
        <v>885</v>
      </c>
      <c r="F89" s="2" t="s">
        <v>836</v>
      </c>
      <c r="G89" s="34" t="s">
        <v>904</v>
      </c>
      <c r="H89" s="27" t="s">
        <v>902</v>
      </c>
      <c r="I89" s="25" t="s">
        <v>902</v>
      </c>
      <c r="J89" s="125" t="s">
        <v>909</v>
      </c>
      <c r="K89" s="125" t="s">
        <v>909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909</v>
      </c>
      <c r="Z89" s="102" t="s">
        <v>840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928</v>
      </c>
      <c r="AG89" s="120"/>
      <c r="AH89" s="121" t="s">
        <v>910</v>
      </c>
      <c r="AI89" s="121" t="s">
        <v>910</v>
      </c>
      <c r="AJ89" s="121" t="s">
        <v>910</v>
      </c>
      <c r="AK89" s="121" t="s">
        <v>910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833</v>
      </c>
      <c r="C90" s="2" t="s">
        <v>66</v>
      </c>
      <c r="D90" s="2" t="s">
        <v>886</v>
      </c>
      <c r="E90" s="2" t="s">
        <v>887</v>
      </c>
      <c r="F90" s="2" t="s">
        <v>837</v>
      </c>
      <c r="G90" s="34" t="s">
        <v>904</v>
      </c>
      <c r="H90" s="27" t="s">
        <v>902</v>
      </c>
      <c r="I90" s="25" t="s">
        <v>902</v>
      </c>
      <c r="J90" s="125" t="s">
        <v>909</v>
      </c>
      <c r="K90" s="125" t="s">
        <v>909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909</v>
      </c>
      <c r="Z90" s="102" t="s">
        <v>840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928</v>
      </c>
      <c r="AG90" s="120"/>
      <c r="AH90" s="121" t="s">
        <v>910</v>
      </c>
      <c r="AI90" s="121" t="s">
        <v>910</v>
      </c>
      <c r="AJ90" s="121" t="s">
        <v>910</v>
      </c>
      <c r="AK90" s="121" t="s">
        <v>910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834</v>
      </c>
      <c r="C91" s="2" t="s">
        <v>66</v>
      </c>
      <c r="D91" s="2" t="s">
        <v>888</v>
      </c>
      <c r="E91" s="2" t="s">
        <v>889</v>
      </c>
      <c r="F91" s="2" t="s">
        <v>838</v>
      </c>
      <c r="G91" s="34" t="s">
        <v>904</v>
      </c>
      <c r="H91" s="27" t="s">
        <v>902</v>
      </c>
      <c r="I91" s="25" t="s">
        <v>902</v>
      </c>
      <c r="J91" s="125" t="s">
        <v>909</v>
      </c>
      <c r="K91" s="125" t="s">
        <v>909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909</v>
      </c>
      <c r="Z91" s="102" t="s">
        <v>840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928</v>
      </c>
      <c r="AG91" s="120"/>
      <c r="AH91" s="121" t="s">
        <v>910</v>
      </c>
      <c r="AI91" s="121" t="s">
        <v>910</v>
      </c>
      <c r="AJ91" s="121" t="s">
        <v>910</v>
      </c>
      <c r="AK91" s="121" t="s">
        <v>910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835</v>
      </c>
      <c r="C92" s="2" t="s">
        <v>66</v>
      </c>
      <c r="D92" s="2" t="s">
        <v>890</v>
      </c>
      <c r="E92" s="2" t="s">
        <v>891</v>
      </c>
      <c r="F92" s="2" t="s">
        <v>839</v>
      </c>
      <c r="G92" s="34" t="s">
        <v>904</v>
      </c>
      <c r="H92" s="27" t="s">
        <v>902</v>
      </c>
      <c r="I92" s="25" t="s">
        <v>902</v>
      </c>
      <c r="J92" s="125" t="s">
        <v>909</v>
      </c>
      <c r="K92" s="125" t="s">
        <v>909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909</v>
      </c>
      <c r="Z92" s="102" t="s">
        <v>840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928</v>
      </c>
      <c r="AG92" s="120"/>
      <c r="AH92" s="121" t="s">
        <v>910</v>
      </c>
      <c r="AI92" s="121" t="s">
        <v>910</v>
      </c>
      <c r="AJ92" s="121" t="s">
        <v>910</v>
      </c>
      <c r="AK92" s="121" t="s">
        <v>910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841</v>
      </c>
      <c r="C93" s="2" t="s">
        <v>15</v>
      </c>
      <c r="D93" s="2">
        <v>106.597342</v>
      </c>
      <c r="E93" s="2">
        <v>10.860189999999999</v>
      </c>
      <c r="F93" s="2" t="s">
        <v>842</v>
      </c>
      <c r="G93" s="34" t="s">
        <v>356</v>
      </c>
      <c r="H93" s="27" t="s">
        <v>902</v>
      </c>
      <c r="I93" s="25" t="s">
        <v>902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923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849</v>
      </c>
      <c r="AI93" s="119" t="s">
        <v>848</v>
      </c>
      <c r="AJ93" s="112" t="s">
        <v>154</v>
      </c>
      <c r="AK93" s="2" t="s">
        <v>850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843</v>
      </c>
      <c r="C94" s="2" t="s">
        <v>230</v>
      </c>
      <c r="D94" s="2">
        <v>106.608164</v>
      </c>
      <c r="E94" s="2">
        <v>10.803616</v>
      </c>
      <c r="F94" s="2" t="s">
        <v>857</v>
      </c>
      <c r="G94" s="34" t="s">
        <v>356</v>
      </c>
      <c r="H94" s="27" t="s">
        <v>902</v>
      </c>
      <c r="I94" s="25" t="s">
        <v>902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909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859</v>
      </c>
      <c r="AI94" s="119" t="s">
        <v>858</v>
      </c>
      <c r="AJ94" s="112" t="s">
        <v>860</v>
      </c>
      <c r="AK94" s="2" t="s">
        <v>856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845</v>
      </c>
      <c r="C95" s="2" t="s">
        <v>291</v>
      </c>
      <c r="D95" s="2">
        <v>106.6436025</v>
      </c>
      <c r="E95" s="2">
        <v>10.869358</v>
      </c>
      <c r="F95" s="2" t="s">
        <v>852</v>
      </c>
      <c r="G95" s="34" t="s">
        <v>357</v>
      </c>
      <c r="H95" s="27" t="s">
        <v>902</v>
      </c>
      <c r="I95" s="25" t="s">
        <v>902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909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854</v>
      </c>
      <c r="AI95" s="121" t="s">
        <v>853</v>
      </c>
      <c r="AJ95" s="112" t="s">
        <v>855</v>
      </c>
      <c r="AK95" s="2" t="s">
        <v>851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989</v>
      </c>
      <c r="C96" s="2" t="s">
        <v>66</v>
      </c>
      <c r="D96" s="2">
        <v>106.683274</v>
      </c>
      <c r="E96" s="2">
        <v>10.837393199999999</v>
      </c>
      <c r="F96" s="2" t="s">
        <v>846</v>
      </c>
      <c r="G96" s="34" t="s">
        <v>357</v>
      </c>
      <c r="H96" s="27" t="s">
        <v>902</v>
      </c>
      <c r="I96" s="25" t="s">
        <v>902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909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822</v>
      </c>
      <c r="AI96" s="121" t="s">
        <v>821</v>
      </c>
      <c r="AJ96" s="112" t="s">
        <v>847</v>
      </c>
      <c r="AK96" s="2" t="s">
        <v>823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818</v>
      </c>
      <c r="C97" s="2" t="s">
        <v>117</v>
      </c>
      <c r="D97" s="2">
        <v>106.518545</v>
      </c>
      <c r="E97" s="2">
        <v>10.738443</v>
      </c>
      <c r="F97" s="2" t="s">
        <v>861</v>
      </c>
      <c r="G97" s="34" t="s">
        <v>356</v>
      </c>
      <c r="H97" s="27" t="s">
        <v>902</v>
      </c>
      <c r="I97" s="25" t="s">
        <v>902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924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819</v>
      </c>
      <c r="AI97" s="121" t="s">
        <v>820</v>
      </c>
      <c r="AJ97" s="112" t="s">
        <v>171</v>
      </c>
      <c r="AK97" s="2" t="s">
        <v>862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844</v>
      </c>
      <c r="C98" s="2" t="s">
        <v>588</v>
      </c>
      <c r="D98" s="2">
        <v>106.6705798</v>
      </c>
      <c r="E98" s="2">
        <v>10.763659000000001</v>
      </c>
      <c r="F98" s="2" t="s">
        <v>863</v>
      </c>
      <c r="G98" s="34" t="s">
        <v>357</v>
      </c>
      <c r="H98" s="27" t="s">
        <v>902</v>
      </c>
      <c r="I98" s="25" t="s">
        <v>902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909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866</v>
      </c>
      <c r="AI98" s="119" t="s">
        <v>864</v>
      </c>
      <c r="AJ98" s="112" t="s">
        <v>865</v>
      </c>
      <c r="AK98" s="2" t="s">
        <v>867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892</v>
      </c>
      <c r="C99" s="2" t="s">
        <v>66</v>
      </c>
      <c r="D99" s="2">
        <v>106.6493112</v>
      </c>
      <c r="E99" s="2">
        <v>10.8455811</v>
      </c>
      <c r="F99" s="2" t="s">
        <v>896</v>
      </c>
      <c r="G99" s="34" t="s">
        <v>357</v>
      </c>
      <c r="H99" s="27" t="s">
        <v>902</v>
      </c>
      <c r="I99" s="25" t="s">
        <v>902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909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894</v>
      </c>
      <c r="AI99" s="154" t="s">
        <v>893</v>
      </c>
      <c r="AJ99" s="41" t="s">
        <v>700</v>
      </c>
      <c r="AK99" s="2" t="s">
        <v>895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899</v>
      </c>
      <c r="C100" s="2" t="s">
        <v>66</v>
      </c>
      <c r="D100" s="2">
        <v>106.688222</v>
      </c>
      <c r="E100" s="2">
        <v>10.824833</v>
      </c>
      <c r="F100" s="2" t="s">
        <v>897</v>
      </c>
      <c r="G100" s="34" t="s">
        <v>356</v>
      </c>
      <c r="H100" s="27" t="s">
        <v>902</v>
      </c>
      <c r="I100" s="25" t="s">
        <v>902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898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900</v>
      </c>
      <c r="AI100" s="154" t="s">
        <v>898</v>
      </c>
      <c r="AJ100" s="41" t="s">
        <v>102</v>
      </c>
      <c r="AK100" s="2" t="s">
        <v>901</v>
      </c>
      <c r="AL100" s="2"/>
      <c r="AM100" s="2"/>
      <c r="AN100" s="48"/>
      <c r="AO100">
        <v>2025</v>
      </c>
      <c r="AP100" s="122"/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K14" sqref="K14"/>
    </sheetView>
  </sheetViews>
  <sheetFormatPr defaultRowHeight="10.199999999999999" x14ac:dyDescent="0.2"/>
  <cols>
    <col min="1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930</v>
      </c>
      <c r="D1" s="157" t="s">
        <v>931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932</v>
      </c>
      <c r="J1" s="157" t="s">
        <v>995</v>
      </c>
      <c r="K1" s="157" t="s">
        <v>933</v>
      </c>
      <c r="L1" s="157" t="s">
        <v>934</v>
      </c>
      <c r="M1" s="157" t="s">
        <v>935</v>
      </c>
      <c r="N1" s="157" t="s">
        <v>936</v>
      </c>
      <c r="O1" s="157" t="s">
        <v>937</v>
      </c>
      <c r="P1" s="157" t="s">
        <v>938</v>
      </c>
      <c r="Q1" s="157" t="s">
        <v>939</v>
      </c>
      <c r="R1" s="157" t="s">
        <v>940</v>
      </c>
      <c r="S1" s="157" t="s">
        <v>941</v>
      </c>
      <c r="T1" s="159" t="s">
        <v>942</v>
      </c>
      <c r="U1" s="159" t="s">
        <v>943</v>
      </c>
      <c r="V1" s="159" t="s">
        <v>944</v>
      </c>
      <c r="W1" s="159" t="s">
        <v>945</v>
      </c>
      <c r="X1" s="159" t="s">
        <v>946</v>
      </c>
      <c r="Y1" s="159" t="s">
        <v>947</v>
      </c>
      <c r="Z1" s="159" t="s">
        <v>948</v>
      </c>
      <c r="AA1" s="159" t="s">
        <v>949</v>
      </c>
      <c r="AB1" s="159" t="s">
        <v>949</v>
      </c>
      <c r="AC1" s="159" t="s">
        <v>990</v>
      </c>
      <c r="AD1" s="159" t="s">
        <v>991</v>
      </c>
      <c r="AE1" s="159" t="s">
        <v>992</v>
      </c>
      <c r="AF1" s="159" t="s">
        <v>993</v>
      </c>
      <c r="AG1" s="159" t="s">
        <v>994</v>
      </c>
      <c r="AH1" s="160" t="s">
        <v>950</v>
      </c>
      <c r="AI1" s="157" t="s">
        <v>951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>
        <f>VLOOKUP($B4,'[1]Theo dõi HĐ_Chi tiết'!$B$4:$AK$60,32,0)</f>
        <v>44683</v>
      </c>
      <c r="F4" s="166" t="str">
        <f>VLOOKUP($B4,'[1]Theo dõi HĐ_Chi tiết'!$B$4:$AK$60,33,0)</f>
        <v>221954599</v>
      </c>
      <c r="G4" s="166" t="str">
        <f>VLOOKUP($B4,'[1]Theo dõi HĐ_Chi tiết'!$B$4:$AK$60,34,0)</f>
        <v>Nguyễn Phùng Thành</v>
      </c>
      <c r="H4" s="166" t="str">
        <f>VLOOKUP($B4,'[1]Theo dõi HĐ_Chi tiết'!$B$4:$AK$60,35,0)</f>
        <v xml:space="preserve">Ngân hàng VP Bank 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33</v>
      </c>
      <c r="AI4" s="172">
        <f>3*D4</f>
        <v>19500000</v>
      </c>
      <c r="AJ4" s="164" t="s">
        <v>952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68</v>
      </c>
      <c r="AI5" s="175">
        <f>3*D5</f>
        <v>21000000</v>
      </c>
      <c r="AJ5" s="173" t="s">
        <v>953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32</v>
      </c>
      <c r="AI6" s="172">
        <f>3*D6</f>
        <v>17625000</v>
      </c>
      <c r="AJ6" s="164" t="s">
        <v>954</v>
      </c>
    </row>
    <row r="7" spans="1:36" x14ac:dyDescent="0.2">
      <c r="A7" s="173">
        <v>4</v>
      </c>
      <c r="B7" s="173" t="s">
        <v>988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3</v>
      </c>
      <c r="AI7" s="175">
        <f>6*D7</f>
        <v>24000000</v>
      </c>
      <c r="AJ7" s="173" t="s">
        <v>955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63</v>
      </c>
      <c r="AI8" s="166">
        <f>3*D8</f>
        <v>14250000</v>
      </c>
      <c r="AJ8" s="164" t="s">
        <v>954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47</v>
      </c>
      <c r="AI9" s="166">
        <f>3*D9</f>
        <v>24900000</v>
      </c>
      <c r="AJ9" s="164" t="s">
        <v>956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3</v>
      </c>
      <c r="AI10" s="166">
        <f>D10*3</f>
        <v>18000000</v>
      </c>
      <c r="AJ10" s="164" t="s">
        <v>954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-4</v>
      </c>
      <c r="AI11" s="189">
        <f>D11*3</f>
        <v>21000000</v>
      </c>
      <c r="AJ11" s="165" t="s">
        <v>954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3</v>
      </c>
      <c r="AI12" s="166">
        <f>3*D12</f>
        <v>19500000</v>
      </c>
      <c r="AJ12" s="164" t="s">
        <v>957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958</v>
      </c>
      <c r="F13" s="166" t="s">
        <v>170</v>
      </c>
      <c r="G13" s="191" t="s">
        <v>710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4</v>
      </c>
      <c r="AI13" s="166">
        <f>3*7000000</f>
        <v>21000000</v>
      </c>
      <c r="AJ13" s="164" t="s">
        <v>954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13</v>
      </c>
      <c r="AI14" s="166">
        <f>3*D14</f>
        <v>18000000</v>
      </c>
      <c r="AJ14" s="164" t="s">
        <v>957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144</v>
      </c>
      <c r="AI15" s="166">
        <f>6*D15</f>
        <v>42000000</v>
      </c>
      <c r="AJ15" s="164" t="s">
        <v>955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57</v>
      </c>
      <c r="AI16" s="166">
        <f>6*D16</f>
        <v>39600000</v>
      </c>
      <c r="AJ16" s="164" t="s">
        <v>955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959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EDATE(Y17,3)-1</f>
        <v>46173</v>
      </c>
      <c r="AA17" s="168">
        <f t="shared" si="16"/>
        <v>46265</v>
      </c>
      <c r="AB17" s="168">
        <f t="shared" si="16"/>
        <v>46356</v>
      </c>
      <c r="AC17" s="168">
        <f t="shared" si="16"/>
        <v>46446</v>
      </c>
      <c r="AD17" s="168">
        <f t="shared" si="16"/>
        <v>46535</v>
      </c>
      <c r="AE17" s="168">
        <f t="shared" si="16"/>
        <v>46627</v>
      </c>
      <c r="AF17" s="168">
        <f t="shared" si="16"/>
        <v>46719</v>
      </c>
      <c r="AG17" s="168">
        <f t="shared" si="16"/>
        <v>46811</v>
      </c>
      <c r="AH17" s="188">
        <f ca="1">Z17-TODAY()</f>
        <v>63</v>
      </c>
      <c r="AI17" s="166">
        <f>3*D17</f>
        <v>21000000</v>
      </c>
      <c r="AJ17" s="164" t="s">
        <v>954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78</v>
      </c>
      <c r="AI18" s="166">
        <f>6*D18</f>
        <v>31800000</v>
      </c>
      <c r="AJ18" s="164" t="s">
        <v>955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44</v>
      </c>
      <c r="AI19" s="166">
        <f>3*D19</f>
        <v>18000000</v>
      </c>
      <c r="AJ19" s="164" t="s">
        <v>957</v>
      </c>
    </row>
    <row r="20" spans="1:36" x14ac:dyDescent="0.2">
      <c r="A20" s="164">
        <v>17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156</v>
      </c>
      <c r="AI20" s="175">
        <f>6*D20</f>
        <v>30000000</v>
      </c>
      <c r="AJ20" s="173" t="s">
        <v>955</v>
      </c>
    </row>
    <row r="21" spans="1:36" x14ac:dyDescent="0.2">
      <c r="A21" s="173">
        <v>18</v>
      </c>
      <c r="B21" s="195" t="s">
        <v>650</v>
      </c>
      <c r="C21" s="165" t="s">
        <v>66</v>
      </c>
      <c r="D21" s="166">
        <v>6500000</v>
      </c>
      <c r="E21" s="166" t="s">
        <v>608</v>
      </c>
      <c r="F21" s="166" t="s">
        <v>602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68</v>
      </c>
      <c r="AI21" s="166">
        <f>3*D21</f>
        <v>19500000</v>
      </c>
      <c r="AJ21" s="164" t="s">
        <v>954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132</v>
      </c>
      <c r="AI22" s="166">
        <f>6*D22</f>
        <v>24000000</v>
      </c>
      <c r="AJ22" s="164" t="s">
        <v>955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960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132</v>
      </c>
      <c r="AI23" s="166">
        <f>D23*6</f>
        <v>36000000</v>
      </c>
      <c r="AJ23" s="164" t="s">
        <v>955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85</v>
      </c>
      <c r="AI24" s="189">
        <f>3*D24</f>
        <v>15000000</v>
      </c>
      <c r="AJ24" s="164" t="s">
        <v>961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962</v>
      </c>
      <c r="F25" s="175" t="s">
        <v>963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47</v>
      </c>
      <c r="AI25" s="175">
        <f>3*D25</f>
        <v>19500000</v>
      </c>
      <c r="AJ25" s="173" t="s">
        <v>957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3</v>
      </c>
      <c r="AI26" s="166">
        <f>6*D26</f>
        <v>36000000</v>
      </c>
      <c r="AJ26" s="164" t="s">
        <v>964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965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33</v>
      </c>
      <c r="AI27" s="166">
        <f>3*D27</f>
        <v>15000000</v>
      </c>
      <c r="AJ27" s="164" t="s">
        <v>957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79</v>
      </c>
      <c r="AI28" s="175">
        <f>6*D28</f>
        <v>34500000</v>
      </c>
      <c r="AJ28" s="173" t="s">
        <v>955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>
        <f>EDATE(P29,6)-1</f>
        <v>46112</v>
      </c>
      <c r="R29" s="202">
        <v>46023</v>
      </c>
      <c r="S29" s="170">
        <f>EDATE(R29,6)-1</f>
        <v>46203</v>
      </c>
      <c r="T29" s="169">
        <f t="shared" si="32"/>
        <v>46386</v>
      </c>
      <c r="U29" s="169">
        <f t="shared" si="32"/>
        <v>46568</v>
      </c>
      <c r="V29" s="169">
        <f t="shared" si="30"/>
        <v>46751</v>
      </c>
      <c r="W29" s="169">
        <f t="shared" si="30"/>
        <v>46934</v>
      </c>
      <c r="X29" s="169">
        <f t="shared" si="30"/>
        <v>47117</v>
      </c>
      <c r="Y29" s="169">
        <f t="shared" si="30"/>
        <v>47299</v>
      </c>
      <c r="Z29" s="169">
        <f t="shared" si="30"/>
        <v>47482</v>
      </c>
      <c r="AA29" s="169">
        <f t="shared" si="30"/>
        <v>47664</v>
      </c>
      <c r="AB29" s="169">
        <f t="shared" si="30"/>
        <v>47847</v>
      </c>
      <c r="AC29" s="169">
        <f t="shared" si="30"/>
        <v>48029</v>
      </c>
      <c r="AD29" s="169">
        <f t="shared" si="30"/>
        <v>48212</v>
      </c>
      <c r="AE29" s="169">
        <f t="shared" si="30"/>
        <v>48395</v>
      </c>
      <c r="AF29" s="169">
        <f t="shared" si="30"/>
        <v>48578</v>
      </c>
      <c r="AG29" s="169">
        <f t="shared" si="30"/>
        <v>48760</v>
      </c>
      <c r="AH29" s="188">
        <f ca="1">S29-TODAY()</f>
        <v>93</v>
      </c>
      <c r="AI29" s="203">
        <f>D29*6</f>
        <v>42000000</v>
      </c>
      <c r="AJ29" s="164" t="s">
        <v>966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37</v>
      </c>
      <c r="AI30" s="203">
        <f>D30*3</f>
        <v>9000000</v>
      </c>
      <c r="AJ30" s="164" t="s">
        <v>961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165</v>
      </c>
      <c r="AI31" s="196">
        <f>D31*6</f>
        <v>51000000</v>
      </c>
      <c r="AJ31" s="173" t="s">
        <v>955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73</v>
      </c>
      <c r="AI32" s="203">
        <f t="shared" ref="AI32:AI36" si="40">D32*3</f>
        <v>15000000</v>
      </c>
      <c r="AJ32" s="164" t="s">
        <v>961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30</v>
      </c>
      <c r="AI33" s="207">
        <f t="shared" si="40"/>
        <v>21000000</v>
      </c>
      <c r="AJ33" s="164" t="s">
        <v>961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57</v>
      </c>
      <c r="AI34" s="196">
        <f t="shared" si="40"/>
        <v>15000000</v>
      </c>
      <c r="AJ34" s="173" t="s">
        <v>961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63</v>
      </c>
      <c r="AI35" s="203">
        <f t="shared" si="40"/>
        <v>15000000</v>
      </c>
      <c r="AJ35" s="164" t="s">
        <v>961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63</v>
      </c>
      <c r="AI36" s="203">
        <f t="shared" si="40"/>
        <v>16500000</v>
      </c>
      <c r="AJ36" s="164" t="s">
        <v>961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64</v>
      </c>
      <c r="AI37" s="203">
        <f>D37*6</f>
        <v>46200000</v>
      </c>
      <c r="AJ37" s="164" t="s">
        <v>964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64</v>
      </c>
      <c r="AI38" s="203">
        <f>D38*6</f>
        <v>36000000</v>
      </c>
      <c r="AJ38" s="164" t="s">
        <v>964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78</v>
      </c>
      <c r="AI39" s="203">
        <f>D39*6</f>
        <v>42000000</v>
      </c>
      <c r="AJ39" s="164" t="s">
        <v>964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78</v>
      </c>
      <c r="AI40" s="203">
        <f>D40*3</f>
        <v>24000000</v>
      </c>
      <c r="AJ40" s="164" t="s">
        <v>961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-4</v>
      </c>
      <c r="AI41" s="203">
        <f>D41*3</f>
        <v>21000000</v>
      </c>
      <c r="AJ41" s="164" t="s">
        <v>967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33</v>
      </c>
      <c r="AI42" s="203">
        <f t="shared" ref="AI42:AI43" si="49">D42*3</f>
        <v>19500000</v>
      </c>
      <c r="AJ42" s="164" t="s">
        <v>968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47</v>
      </c>
      <c r="AI43" s="196">
        <f t="shared" si="49"/>
        <v>18000000</v>
      </c>
      <c r="AJ43" s="173" t="s">
        <v>968</v>
      </c>
    </row>
    <row r="44" spans="1:36" x14ac:dyDescent="0.2">
      <c r="A44" s="164">
        <v>41</v>
      </c>
      <c r="B44" s="164" t="s">
        <v>570</v>
      </c>
      <c r="C44" s="165" t="s">
        <v>32</v>
      </c>
      <c r="D44" s="203">
        <v>6000000</v>
      </c>
      <c r="E44" s="166" t="s">
        <v>642</v>
      </c>
      <c r="F44" s="166" t="s">
        <v>643</v>
      </c>
      <c r="G44" s="166" t="s">
        <v>644</v>
      </c>
      <c r="H44" s="166" t="s">
        <v>649</v>
      </c>
      <c r="I44" s="164" t="s">
        <v>79</v>
      </c>
      <c r="J44" s="169" t="s">
        <v>969</v>
      </c>
      <c r="K44" s="169" t="s">
        <v>969</v>
      </c>
      <c r="L44" s="169" t="s">
        <v>969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33</v>
      </c>
      <c r="AI44" s="203">
        <f>D44*6</f>
        <v>36000000</v>
      </c>
      <c r="AJ44" s="164" t="s">
        <v>970</v>
      </c>
    </row>
    <row r="45" spans="1:36" x14ac:dyDescent="0.2">
      <c r="A45" s="173">
        <v>42</v>
      </c>
      <c r="B45" s="215" t="s">
        <v>577</v>
      </c>
      <c r="C45" s="165" t="s">
        <v>476</v>
      </c>
      <c r="D45" s="196">
        <v>4300000</v>
      </c>
      <c r="E45" s="175" t="s">
        <v>604</v>
      </c>
      <c r="F45" s="175" t="s">
        <v>606</v>
      </c>
      <c r="G45" s="175" t="s">
        <v>605</v>
      </c>
      <c r="H45" s="175" t="s">
        <v>607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165</v>
      </c>
      <c r="AI45" s="196">
        <f>D45*6</f>
        <v>25800000</v>
      </c>
      <c r="AJ45" s="173" t="s">
        <v>971</v>
      </c>
    </row>
    <row r="46" spans="1:36" x14ac:dyDescent="0.2">
      <c r="A46" s="164">
        <v>43</v>
      </c>
      <c r="B46" s="164" t="s">
        <v>578</v>
      </c>
      <c r="C46" s="165" t="s">
        <v>582</v>
      </c>
      <c r="D46" s="203">
        <v>6000000</v>
      </c>
      <c r="E46" s="166" t="s">
        <v>584</v>
      </c>
      <c r="F46" s="166" t="s">
        <v>585</v>
      </c>
      <c r="G46" s="166" t="s">
        <v>406</v>
      </c>
      <c r="H46" s="166" t="s">
        <v>586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17</v>
      </c>
      <c r="AI46" s="203">
        <f>D46*1</f>
        <v>6000000</v>
      </c>
      <c r="AJ46" s="164" t="s">
        <v>972</v>
      </c>
    </row>
    <row r="47" spans="1:36" x14ac:dyDescent="0.2">
      <c r="A47" s="173">
        <v>44</v>
      </c>
      <c r="B47" s="164" t="s">
        <v>579</v>
      </c>
      <c r="C47" s="165" t="s">
        <v>588</v>
      </c>
      <c r="D47" s="203">
        <v>4000000</v>
      </c>
      <c r="E47" s="166" t="s">
        <v>589</v>
      </c>
      <c r="F47" s="166" t="s">
        <v>590</v>
      </c>
      <c r="G47" s="166" t="s">
        <v>171</v>
      </c>
      <c r="H47" s="166" t="s">
        <v>591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139</v>
      </c>
      <c r="AI47" s="203">
        <v>24000000</v>
      </c>
      <c r="AJ47" s="164" t="s">
        <v>971</v>
      </c>
    </row>
    <row r="48" spans="1:36" x14ac:dyDescent="0.2">
      <c r="A48" s="164">
        <v>45</v>
      </c>
      <c r="B48" s="164" t="s">
        <v>580</v>
      </c>
      <c r="C48" s="165" t="s">
        <v>588</v>
      </c>
      <c r="D48" s="203">
        <v>4000000</v>
      </c>
      <c r="E48" s="166" t="s">
        <v>594</v>
      </c>
      <c r="F48" s="166" t="s">
        <v>593</v>
      </c>
      <c r="G48" s="166" t="s">
        <v>595</v>
      </c>
      <c r="H48" s="166" t="s">
        <v>596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139</v>
      </c>
      <c r="AI48" s="203">
        <v>24000000</v>
      </c>
      <c r="AJ48" s="164" t="s">
        <v>971</v>
      </c>
    </row>
    <row r="49" spans="1:36" x14ac:dyDescent="0.2">
      <c r="A49" s="173">
        <v>46</v>
      </c>
      <c r="B49" s="211" t="s">
        <v>581</v>
      </c>
      <c r="C49" s="165" t="s">
        <v>476</v>
      </c>
      <c r="D49" s="203">
        <v>6500000</v>
      </c>
      <c r="E49" s="166" t="s">
        <v>599</v>
      </c>
      <c r="F49" s="166" t="s">
        <v>598</v>
      </c>
      <c r="G49" s="166" t="s">
        <v>600</v>
      </c>
      <c r="H49" s="166" t="s">
        <v>601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155</v>
      </c>
      <c r="AI49" s="203">
        <f>D49*6</f>
        <v>39000000</v>
      </c>
      <c r="AJ49" s="164" t="s">
        <v>971</v>
      </c>
    </row>
    <row r="50" spans="1:36" x14ac:dyDescent="0.2">
      <c r="A50" s="164">
        <v>47</v>
      </c>
      <c r="B50" s="164" t="s">
        <v>617</v>
      </c>
      <c r="C50" s="165" t="s">
        <v>582</v>
      </c>
      <c r="D50" s="203">
        <v>6000000</v>
      </c>
      <c r="E50" s="166" t="s">
        <v>635</v>
      </c>
      <c r="F50" s="166" t="s">
        <v>636</v>
      </c>
      <c r="G50" s="166" t="s">
        <v>637</v>
      </c>
      <c r="H50" s="166" t="s">
        <v>638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33</v>
      </c>
      <c r="AI50" s="203">
        <f>D50*6</f>
        <v>36000000</v>
      </c>
      <c r="AJ50" s="164" t="s">
        <v>973</v>
      </c>
    </row>
    <row r="51" spans="1:36" x14ac:dyDescent="0.2">
      <c r="A51" s="173">
        <v>48</v>
      </c>
      <c r="B51" s="217" t="s">
        <v>628</v>
      </c>
      <c r="C51" s="165" t="s">
        <v>582</v>
      </c>
      <c r="D51" s="196">
        <v>6000000</v>
      </c>
      <c r="E51" s="198" t="s">
        <v>974</v>
      </c>
      <c r="F51" s="175" t="s">
        <v>630</v>
      </c>
      <c r="G51" s="175" t="s">
        <v>975</v>
      </c>
      <c r="H51" s="175" t="s">
        <v>976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115</v>
      </c>
      <c r="AI51" s="196">
        <f t="shared" ref="AI51:AI60" si="56">D51*6</f>
        <v>36000000</v>
      </c>
      <c r="AJ51" s="173" t="s">
        <v>973</v>
      </c>
    </row>
    <row r="52" spans="1:36" x14ac:dyDescent="0.2">
      <c r="A52" s="164">
        <v>49</v>
      </c>
      <c r="B52" s="164" t="s">
        <v>623</v>
      </c>
      <c r="C52" s="165" t="s">
        <v>582</v>
      </c>
      <c r="D52" s="203">
        <v>6500000</v>
      </c>
      <c r="E52" s="197" t="s">
        <v>626</v>
      </c>
      <c r="F52" s="166" t="s">
        <v>625</v>
      </c>
      <c r="G52" s="166" t="s">
        <v>406</v>
      </c>
      <c r="H52" s="166" t="s">
        <v>977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94</v>
      </c>
      <c r="AI52" s="203">
        <f>D52*6</f>
        <v>39000000</v>
      </c>
      <c r="AJ52" s="164" t="s">
        <v>973</v>
      </c>
    </row>
    <row r="53" spans="1:36" x14ac:dyDescent="0.2">
      <c r="A53" s="173">
        <v>50</v>
      </c>
      <c r="B53" s="164" t="s">
        <v>646</v>
      </c>
      <c r="C53" s="165" t="s">
        <v>978</v>
      </c>
      <c r="D53" s="203">
        <v>4500000</v>
      </c>
      <c r="E53" s="166" t="s">
        <v>662</v>
      </c>
      <c r="F53" s="166" t="s">
        <v>663</v>
      </c>
      <c r="G53" s="166" t="s">
        <v>595</v>
      </c>
      <c r="H53" s="166" t="s">
        <v>661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90</v>
      </c>
      <c r="AI53" s="203">
        <f t="shared" si="56"/>
        <v>27000000</v>
      </c>
      <c r="AJ53" s="164" t="s">
        <v>973</v>
      </c>
    </row>
    <row r="54" spans="1:36" x14ac:dyDescent="0.2">
      <c r="A54" s="164">
        <v>51</v>
      </c>
      <c r="B54" s="164" t="s">
        <v>645</v>
      </c>
      <c r="C54" s="165" t="s">
        <v>564</v>
      </c>
      <c r="D54" s="203">
        <v>4000000</v>
      </c>
      <c r="E54" s="166" t="s">
        <v>659</v>
      </c>
      <c r="F54" s="166" t="s">
        <v>658</v>
      </c>
      <c r="G54" s="166" t="s">
        <v>154</v>
      </c>
      <c r="H54" s="166" t="s">
        <v>660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89</v>
      </c>
      <c r="AI54" s="203">
        <f t="shared" si="56"/>
        <v>24000000</v>
      </c>
      <c r="AJ54" s="164" t="s">
        <v>973</v>
      </c>
    </row>
    <row r="55" spans="1:36" x14ac:dyDescent="0.2">
      <c r="A55" s="173">
        <v>52</v>
      </c>
      <c r="B55" s="164" t="s">
        <v>616</v>
      </c>
      <c r="C55" s="165" t="s">
        <v>771</v>
      </c>
      <c r="D55" s="203">
        <v>5500000</v>
      </c>
      <c r="E55" s="197" t="s">
        <v>673</v>
      </c>
      <c r="F55" s="166" t="s">
        <v>674</v>
      </c>
      <c r="G55" s="166" t="s">
        <v>675</v>
      </c>
      <c r="H55" s="166" t="s">
        <v>676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125</v>
      </c>
      <c r="AI55" s="203">
        <f t="shared" si="56"/>
        <v>33000000</v>
      </c>
      <c r="AJ55" s="164" t="s">
        <v>971</v>
      </c>
    </row>
    <row r="56" spans="1:36" x14ac:dyDescent="0.2">
      <c r="A56" s="164">
        <v>53</v>
      </c>
      <c r="B56" s="164" t="s">
        <v>677</v>
      </c>
      <c r="C56" s="165" t="s">
        <v>66</v>
      </c>
      <c r="D56" s="203">
        <v>4000000</v>
      </c>
      <c r="E56" s="197" t="s">
        <v>687</v>
      </c>
      <c r="F56" s="166" t="s">
        <v>688</v>
      </c>
      <c r="G56" s="166" t="s">
        <v>406</v>
      </c>
      <c r="H56" s="166" t="s">
        <v>689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-1</v>
      </c>
      <c r="AI56" s="203">
        <f t="shared" si="56"/>
        <v>24000000</v>
      </c>
      <c r="AJ56" s="164" t="s">
        <v>979</v>
      </c>
    </row>
    <row r="57" spans="1:36" x14ac:dyDescent="0.2">
      <c r="A57" s="173">
        <v>54</v>
      </c>
      <c r="B57" s="164" t="s">
        <v>678</v>
      </c>
      <c r="C57" s="165" t="s">
        <v>32</v>
      </c>
      <c r="D57" s="203">
        <v>4000000</v>
      </c>
      <c r="E57" s="197" t="s">
        <v>691</v>
      </c>
      <c r="F57" s="166" t="s">
        <v>692</v>
      </c>
      <c r="G57" s="166" t="s">
        <v>416</v>
      </c>
      <c r="H57" s="166" t="s">
        <v>690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12</v>
      </c>
      <c r="AI57" s="203">
        <f t="shared" si="56"/>
        <v>24000000</v>
      </c>
      <c r="AJ57" s="164" t="s">
        <v>980</v>
      </c>
    </row>
    <row r="58" spans="1:36" x14ac:dyDescent="0.2">
      <c r="A58" s="164">
        <v>55</v>
      </c>
      <c r="B58" s="195" t="s">
        <v>679</v>
      </c>
      <c r="C58" s="165" t="s">
        <v>588</v>
      </c>
      <c r="D58" s="203">
        <v>4000000</v>
      </c>
      <c r="E58" s="197" t="s">
        <v>694</v>
      </c>
      <c r="F58" s="166" t="s">
        <v>695</v>
      </c>
      <c r="G58" s="166" t="s">
        <v>696</v>
      </c>
      <c r="H58" s="166" t="s">
        <v>693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160</v>
      </c>
      <c r="AI58" s="203">
        <f t="shared" si="56"/>
        <v>24000000</v>
      </c>
      <c r="AJ58" s="164" t="s">
        <v>973</v>
      </c>
    </row>
    <row r="59" spans="1:36" x14ac:dyDescent="0.2">
      <c r="A59" s="173">
        <v>56</v>
      </c>
      <c r="B59" s="164" t="s">
        <v>680</v>
      </c>
      <c r="C59" s="165" t="s">
        <v>157</v>
      </c>
      <c r="D59" s="203">
        <v>4000000</v>
      </c>
      <c r="E59" s="197" t="s">
        <v>703</v>
      </c>
      <c r="F59" s="166" t="s">
        <v>702</v>
      </c>
      <c r="G59" s="166" t="s">
        <v>416</v>
      </c>
      <c r="H59" s="166" t="s">
        <v>701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33</v>
      </c>
      <c r="AI59" s="203">
        <f t="shared" si="56"/>
        <v>24000000</v>
      </c>
      <c r="AJ59" s="164" t="s">
        <v>980</v>
      </c>
    </row>
    <row r="60" spans="1:36" x14ac:dyDescent="0.2">
      <c r="A60" s="164">
        <v>57</v>
      </c>
      <c r="B60" s="164" t="s">
        <v>681</v>
      </c>
      <c r="C60" s="165" t="s">
        <v>157</v>
      </c>
      <c r="D60" s="203">
        <v>4000000</v>
      </c>
      <c r="E60" s="197" t="s">
        <v>698</v>
      </c>
      <c r="F60" s="166" t="s">
        <v>699</v>
      </c>
      <c r="G60" s="166" t="s">
        <v>700</v>
      </c>
      <c r="H60" s="166" t="s">
        <v>697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33</v>
      </c>
      <c r="AI60" s="203">
        <f t="shared" si="56"/>
        <v>24000000</v>
      </c>
      <c r="AJ60" s="164" t="s">
        <v>980</v>
      </c>
    </row>
    <row r="61" spans="1:36" x14ac:dyDescent="0.2">
      <c r="A61" s="173">
        <v>58</v>
      </c>
      <c r="B61" s="164" t="s">
        <v>747</v>
      </c>
      <c r="C61" s="165" t="s">
        <v>32</v>
      </c>
      <c r="D61" s="166">
        <v>4000000</v>
      </c>
      <c r="E61" s="166" t="s">
        <v>704</v>
      </c>
      <c r="F61" s="166" t="s">
        <v>705</v>
      </c>
      <c r="G61" s="166" t="s">
        <v>706</v>
      </c>
      <c r="H61" s="166" t="s">
        <v>707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24</v>
      </c>
      <c r="AI61" s="203">
        <f>D61*6</f>
        <v>24000000</v>
      </c>
      <c r="AJ61" s="164" t="s">
        <v>980</v>
      </c>
    </row>
    <row r="62" spans="1:36" x14ac:dyDescent="0.2">
      <c r="A62" s="164">
        <v>59</v>
      </c>
      <c r="B62" s="164" t="s">
        <v>739</v>
      </c>
      <c r="C62" s="165" t="s">
        <v>291</v>
      </c>
      <c r="D62" s="166">
        <v>4000000</v>
      </c>
      <c r="E62" s="166" t="s">
        <v>742</v>
      </c>
      <c r="F62" s="166" t="s">
        <v>741</v>
      </c>
      <c r="G62" s="166" t="s">
        <v>981</v>
      </c>
      <c r="H62" s="166" t="s">
        <v>745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69</v>
      </c>
      <c r="AI62" s="203">
        <f t="shared" ref="AI62:AI85" si="61">D62*6</f>
        <v>24000000</v>
      </c>
      <c r="AJ62" s="164" t="s">
        <v>980</v>
      </c>
    </row>
    <row r="63" spans="1:36" x14ac:dyDescent="0.2">
      <c r="A63" s="173">
        <v>60</v>
      </c>
      <c r="B63" s="221" t="s">
        <v>732</v>
      </c>
      <c r="C63" s="165" t="s">
        <v>15</v>
      </c>
      <c r="D63" s="166">
        <v>5000000</v>
      </c>
      <c r="E63" s="166" t="s">
        <v>734</v>
      </c>
      <c r="F63" s="166" t="s">
        <v>735</v>
      </c>
      <c r="G63" s="166" t="s">
        <v>401</v>
      </c>
      <c r="H63" s="166" t="s">
        <v>736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78</v>
      </c>
      <c r="AI63" s="203">
        <f t="shared" si="61"/>
        <v>30000000</v>
      </c>
      <c r="AJ63" s="164" t="s">
        <v>980</v>
      </c>
    </row>
    <row r="64" spans="1:36" x14ac:dyDescent="0.2">
      <c r="A64" s="164">
        <v>61</v>
      </c>
      <c r="B64" s="164" t="s">
        <v>711</v>
      </c>
      <c r="C64" s="165" t="s">
        <v>291</v>
      </c>
      <c r="D64" s="166">
        <v>5500000</v>
      </c>
      <c r="E64" s="166" t="s">
        <v>730</v>
      </c>
      <c r="F64" s="166" t="s">
        <v>729</v>
      </c>
      <c r="G64" s="166" t="s">
        <v>154</v>
      </c>
      <c r="H64" s="166" t="s">
        <v>713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73</v>
      </c>
      <c r="AI64" s="203">
        <f>D64*6</f>
        <v>33000000</v>
      </c>
      <c r="AJ64" s="164" t="s">
        <v>980</v>
      </c>
    </row>
    <row r="65" spans="1:36" x14ac:dyDescent="0.2">
      <c r="A65" s="173">
        <v>62</v>
      </c>
      <c r="B65" s="165" t="s">
        <v>714</v>
      </c>
      <c r="C65" s="165" t="s">
        <v>291</v>
      </c>
      <c r="D65" s="166">
        <v>7000000</v>
      </c>
      <c r="E65" s="166" t="s">
        <v>726</v>
      </c>
      <c r="F65" s="166" t="s">
        <v>725</v>
      </c>
      <c r="G65" s="166" t="s">
        <v>416</v>
      </c>
      <c r="H65" s="166" t="s">
        <v>716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83</v>
      </c>
      <c r="AI65" s="203">
        <f t="shared" si="61"/>
        <v>42000000</v>
      </c>
      <c r="AJ65" s="164" t="s">
        <v>980</v>
      </c>
    </row>
    <row r="66" spans="1:36" x14ac:dyDescent="0.2">
      <c r="A66" s="164">
        <v>63</v>
      </c>
      <c r="B66" s="164" t="s">
        <v>717</v>
      </c>
      <c r="C66" s="165" t="s">
        <v>32</v>
      </c>
      <c r="D66" s="166">
        <v>7500000</v>
      </c>
      <c r="E66" s="166" t="s">
        <v>738</v>
      </c>
      <c r="F66" s="166" t="s">
        <v>737</v>
      </c>
      <c r="G66" s="166" t="s">
        <v>982</v>
      </c>
      <c r="H66" s="166" t="s">
        <v>719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103</v>
      </c>
      <c r="AI66" s="203">
        <f>D66*6</f>
        <v>45000000</v>
      </c>
      <c r="AJ66" s="173" t="s">
        <v>980</v>
      </c>
    </row>
    <row r="67" spans="1:36" x14ac:dyDescent="0.2">
      <c r="A67" s="173">
        <v>64</v>
      </c>
      <c r="B67" s="164" t="s">
        <v>720</v>
      </c>
      <c r="C67" s="165" t="s">
        <v>230</v>
      </c>
      <c r="D67" s="166">
        <v>5000000</v>
      </c>
      <c r="E67" s="166" t="s">
        <v>723</v>
      </c>
      <c r="F67" s="166" t="s">
        <v>724</v>
      </c>
      <c r="G67" s="166" t="s">
        <v>171</v>
      </c>
      <c r="H67" s="166" t="s">
        <v>722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111</v>
      </c>
      <c r="AI67" s="203">
        <f t="shared" si="61"/>
        <v>30000000</v>
      </c>
      <c r="AJ67" s="164" t="s">
        <v>980</v>
      </c>
    </row>
    <row r="68" spans="1:36" x14ac:dyDescent="0.2">
      <c r="A68" s="164">
        <v>65</v>
      </c>
      <c r="B68" s="221" t="s">
        <v>751</v>
      </c>
      <c r="C68" s="165" t="s">
        <v>15</v>
      </c>
      <c r="D68" s="166">
        <v>5500000</v>
      </c>
      <c r="E68" s="166" t="s">
        <v>766</v>
      </c>
      <c r="F68" s="166" t="s">
        <v>765</v>
      </c>
      <c r="G68" s="166" t="s">
        <v>767</v>
      </c>
      <c r="H68" s="166" t="s">
        <v>754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165</v>
      </c>
      <c r="AI68" s="203">
        <f t="shared" si="61"/>
        <v>33000000</v>
      </c>
      <c r="AJ68" s="164" t="s">
        <v>980</v>
      </c>
    </row>
    <row r="69" spans="1:36" x14ac:dyDescent="0.2">
      <c r="A69" s="173">
        <v>66</v>
      </c>
      <c r="B69" s="221" t="s">
        <v>752</v>
      </c>
      <c r="C69" s="165" t="s">
        <v>230</v>
      </c>
      <c r="D69" s="166">
        <v>5000000</v>
      </c>
      <c r="E69" s="166" t="s">
        <v>778</v>
      </c>
      <c r="F69" s="166" t="s">
        <v>779</v>
      </c>
      <c r="G69" s="166" t="s">
        <v>780</v>
      </c>
      <c r="H69" s="166" t="s">
        <v>756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165</v>
      </c>
      <c r="AI69" s="203">
        <f t="shared" si="61"/>
        <v>30000000</v>
      </c>
      <c r="AJ69" s="164" t="s">
        <v>980</v>
      </c>
    </row>
    <row r="70" spans="1:36" x14ac:dyDescent="0.2">
      <c r="A70" s="164">
        <v>67</v>
      </c>
      <c r="B70" s="164" t="s">
        <v>749</v>
      </c>
      <c r="C70" s="165" t="s">
        <v>15</v>
      </c>
      <c r="D70" s="166">
        <v>5000000</v>
      </c>
      <c r="E70" s="166" t="s">
        <v>763</v>
      </c>
      <c r="F70" s="166" t="s">
        <v>764</v>
      </c>
      <c r="G70" s="166" t="s">
        <v>710</v>
      </c>
      <c r="H70" s="166" t="s">
        <v>761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20</v>
      </c>
      <c r="AI70" s="203">
        <f t="shared" si="61"/>
        <v>30000000</v>
      </c>
      <c r="AJ70" s="164" t="s">
        <v>979</v>
      </c>
    </row>
    <row r="71" spans="1:36" x14ac:dyDescent="0.2">
      <c r="A71" s="173">
        <v>68</v>
      </c>
      <c r="B71" s="164" t="s">
        <v>750</v>
      </c>
      <c r="C71" s="165" t="s">
        <v>117</v>
      </c>
      <c r="D71" s="166">
        <v>4500000</v>
      </c>
      <c r="E71" s="166" t="s">
        <v>759</v>
      </c>
      <c r="F71" s="166" t="s">
        <v>758</v>
      </c>
      <c r="G71" s="166" t="s">
        <v>710</v>
      </c>
      <c r="H71" s="166" t="s">
        <v>760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150</v>
      </c>
      <c r="AI71" s="203">
        <f t="shared" si="61"/>
        <v>27000000</v>
      </c>
      <c r="AJ71" s="164" t="s">
        <v>980</v>
      </c>
    </row>
    <row r="72" spans="1:36" x14ac:dyDescent="0.2">
      <c r="A72" s="164">
        <v>69</v>
      </c>
      <c r="B72" s="164" t="s">
        <v>781</v>
      </c>
      <c r="C72" s="165" t="s">
        <v>32</v>
      </c>
      <c r="D72" s="166">
        <v>6000000</v>
      </c>
      <c r="E72" s="166" t="s">
        <v>784</v>
      </c>
      <c r="F72" s="166" t="s">
        <v>785</v>
      </c>
      <c r="G72" s="166" t="s">
        <v>780</v>
      </c>
      <c r="H72" s="166" t="s">
        <v>786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58</v>
      </c>
      <c r="AI72" s="203">
        <f t="shared" si="61"/>
        <v>36000000</v>
      </c>
      <c r="AJ72" s="164" t="s">
        <v>983</v>
      </c>
    </row>
    <row r="73" spans="1:36" x14ac:dyDescent="0.2">
      <c r="A73" s="164">
        <v>70</v>
      </c>
      <c r="B73" s="221" t="s">
        <v>788</v>
      </c>
      <c r="C73" s="165" t="s">
        <v>157</v>
      </c>
      <c r="D73" s="166">
        <v>4000000</v>
      </c>
      <c r="E73" s="166" t="s">
        <v>790</v>
      </c>
      <c r="F73" s="166" t="s">
        <v>791</v>
      </c>
      <c r="G73" s="166" t="s">
        <v>792</v>
      </c>
      <c r="H73" s="166" t="s">
        <v>793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76</v>
      </c>
      <c r="AI73" s="203">
        <f t="shared" si="61"/>
        <v>24000000</v>
      </c>
      <c r="AJ73" s="164" t="s">
        <v>983</v>
      </c>
    </row>
    <row r="74" spans="1:36" x14ac:dyDescent="0.2">
      <c r="A74" s="164">
        <v>71</v>
      </c>
      <c r="B74" s="165" t="s">
        <v>797</v>
      </c>
      <c r="C74" s="165" t="s">
        <v>582</v>
      </c>
      <c r="D74" s="166">
        <v>7000000</v>
      </c>
      <c r="E74" s="166" t="s">
        <v>799</v>
      </c>
      <c r="F74" s="166" t="s">
        <v>798</v>
      </c>
      <c r="G74" s="166" t="s">
        <v>800</v>
      </c>
      <c r="H74" s="166" t="s">
        <v>795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113</v>
      </c>
      <c r="AI74" s="203">
        <f t="shared" si="61"/>
        <v>42000000</v>
      </c>
      <c r="AJ74" s="164" t="s">
        <v>979</v>
      </c>
    </row>
    <row r="75" spans="1:36" x14ac:dyDescent="0.2">
      <c r="A75" s="164">
        <v>73</v>
      </c>
      <c r="B75" s="165" t="s">
        <v>801</v>
      </c>
      <c r="C75" s="165" t="s">
        <v>32</v>
      </c>
      <c r="D75" s="166">
        <v>4000000</v>
      </c>
      <c r="E75" s="166" t="s">
        <v>808</v>
      </c>
      <c r="F75" s="166" t="s">
        <v>868</v>
      </c>
      <c r="G75" s="166" t="s">
        <v>706</v>
      </c>
      <c r="H75" s="166" t="s">
        <v>807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119</v>
      </c>
      <c r="AI75" s="203">
        <f t="shared" si="61"/>
        <v>24000000</v>
      </c>
      <c r="AJ75" s="164" t="s">
        <v>979</v>
      </c>
    </row>
    <row r="76" spans="1:36" x14ac:dyDescent="0.2">
      <c r="A76" s="164">
        <v>74</v>
      </c>
      <c r="B76" s="165" t="s">
        <v>802</v>
      </c>
      <c r="C76" s="165" t="s">
        <v>157</v>
      </c>
      <c r="D76" s="166">
        <v>4000000</v>
      </c>
      <c r="E76" s="166" t="s">
        <v>804</v>
      </c>
      <c r="F76" s="166" t="s">
        <v>805</v>
      </c>
      <c r="G76" s="166" t="s">
        <v>171</v>
      </c>
      <c r="H76" s="166" t="s">
        <v>806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111</v>
      </c>
      <c r="AI76" s="203">
        <f t="shared" si="61"/>
        <v>24000000</v>
      </c>
      <c r="AJ76" s="164" t="s">
        <v>979</v>
      </c>
    </row>
    <row r="77" spans="1:36" x14ac:dyDescent="0.2">
      <c r="A77" s="164">
        <v>75</v>
      </c>
      <c r="B77" s="164" t="s">
        <v>813</v>
      </c>
      <c r="C77" s="165" t="s">
        <v>117</v>
      </c>
      <c r="D77" s="166">
        <v>5000000</v>
      </c>
      <c r="E77" s="183" t="s">
        <v>815</v>
      </c>
      <c r="F77" s="165" t="s">
        <v>816</v>
      </c>
      <c r="G77" s="165" t="s">
        <v>154</v>
      </c>
      <c r="H77" s="164" t="s">
        <v>817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141</v>
      </c>
      <c r="AI77" s="203">
        <f t="shared" si="61"/>
        <v>30000000</v>
      </c>
      <c r="AJ77" s="164" t="s">
        <v>979</v>
      </c>
    </row>
    <row r="78" spans="1:36" x14ac:dyDescent="0.2">
      <c r="A78" s="164">
        <v>76</v>
      </c>
      <c r="B78" s="164" t="s">
        <v>818</v>
      </c>
      <c r="C78" s="165" t="s">
        <v>117</v>
      </c>
      <c r="D78" s="166">
        <v>3000000</v>
      </c>
      <c r="E78" s="183" t="s">
        <v>819</v>
      </c>
      <c r="F78" s="165" t="s">
        <v>820</v>
      </c>
      <c r="G78" s="165" t="s">
        <v>171</v>
      </c>
      <c r="H78" s="164" t="s">
        <v>984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54</v>
      </c>
      <c r="AI78" s="203">
        <f t="shared" si="61"/>
        <v>18000000</v>
      </c>
      <c r="AJ78" s="164" t="s">
        <v>985</v>
      </c>
    </row>
    <row r="79" spans="1:36" x14ac:dyDescent="0.2">
      <c r="A79" s="164">
        <v>77</v>
      </c>
      <c r="B79" s="164" t="s">
        <v>989</v>
      </c>
      <c r="C79" s="165" t="s">
        <v>66</v>
      </c>
      <c r="D79" s="166">
        <v>4000000</v>
      </c>
      <c r="E79" s="183" t="s">
        <v>822</v>
      </c>
      <c r="F79" s="165" t="s">
        <v>821</v>
      </c>
      <c r="G79" s="165" t="s">
        <v>986</v>
      </c>
      <c r="H79" s="164" t="s">
        <v>823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59</v>
      </c>
      <c r="AI79" s="203">
        <f t="shared" si="61"/>
        <v>24000000</v>
      </c>
      <c r="AJ79" s="164" t="s">
        <v>985</v>
      </c>
    </row>
    <row r="80" spans="1:36" x14ac:dyDescent="0.2">
      <c r="A80" s="164">
        <v>78</v>
      </c>
      <c r="B80" s="189" t="s">
        <v>841</v>
      </c>
      <c r="C80" s="165" t="s">
        <v>15</v>
      </c>
      <c r="D80" s="166">
        <v>5000000</v>
      </c>
      <c r="E80" s="165" t="s">
        <v>849</v>
      </c>
      <c r="F80" s="165" t="s">
        <v>848</v>
      </c>
      <c r="G80" s="164" t="s">
        <v>154</v>
      </c>
      <c r="H80" s="164" t="s">
        <v>850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112</v>
      </c>
      <c r="AI80" s="203">
        <f t="shared" si="61"/>
        <v>30000000</v>
      </c>
      <c r="AJ80" s="222" t="s">
        <v>985</v>
      </c>
    </row>
    <row r="81" spans="1:36" x14ac:dyDescent="0.2">
      <c r="A81" s="164">
        <v>79</v>
      </c>
      <c r="B81" s="189" t="s">
        <v>843</v>
      </c>
      <c r="C81" s="165" t="s">
        <v>230</v>
      </c>
      <c r="D81" s="166">
        <v>5000000</v>
      </c>
      <c r="E81" s="165" t="s">
        <v>859</v>
      </c>
      <c r="F81" s="165" t="s">
        <v>858</v>
      </c>
      <c r="G81" s="164" t="s">
        <v>860</v>
      </c>
      <c r="H81" s="164" t="s">
        <v>856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125</v>
      </c>
      <c r="AI81" s="203">
        <f t="shared" si="61"/>
        <v>30000000</v>
      </c>
      <c r="AJ81" s="164" t="s">
        <v>985</v>
      </c>
    </row>
    <row r="82" spans="1:36" x14ac:dyDescent="0.2">
      <c r="A82" s="164">
        <v>80</v>
      </c>
      <c r="B82" s="189" t="s">
        <v>845</v>
      </c>
      <c r="C82" s="165" t="s">
        <v>291</v>
      </c>
      <c r="D82" s="166">
        <v>4000000</v>
      </c>
      <c r="E82" s="165" t="s">
        <v>854</v>
      </c>
      <c r="F82" s="165" t="s">
        <v>853</v>
      </c>
      <c r="G82" s="164" t="s">
        <v>855</v>
      </c>
      <c r="H82" s="164" t="s">
        <v>851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101</v>
      </c>
      <c r="AI82" s="203">
        <f t="shared" si="61"/>
        <v>24000000</v>
      </c>
      <c r="AJ82" s="222" t="s">
        <v>985</v>
      </c>
    </row>
    <row r="83" spans="1:36" x14ac:dyDescent="0.2">
      <c r="A83" s="164">
        <v>81</v>
      </c>
      <c r="B83" s="189" t="s">
        <v>844</v>
      </c>
      <c r="C83" s="165" t="s">
        <v>588</v>
      </c>
      <c r="D83" s="166">
        <v>5000000</v>
      </c>
      <c r="E83" s="165" t="s">
        <v>866</v>
      </c>
      <c r="F83" s="165" t="s">
        <v>864</v>
      </c>
      <c r="G83" s="164" t="s">
        <v>865</v>
      </c>
      <c r="H83" s="164" t="s">
        <v>867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102</v>
      </c>
      <c r="AI83" s="203">
        <f t="shared" si="61"/>
        <v>30000000</v>
      </c>
      <c r="AJ83" s="164" t="s">
        <v>985</v>
      </c>
    </row>
    <row r="84" spans="1:36" x14ac:dyDescent="0.2">
      <c r="A84" s="164">
        <v>82</v>
      </c>
      <c r="B84" s="223" t="s">
        <v>892</v>
      </c>
      <c r="C84" s="165" t="s">
        <v>66</v>
      </c>
      <c r="D84" s="166">
        <v>4000000</v>
      </c>
      <c r="E84" s="183" t="s">
        <v>894</v>
      </c>
      <c r="F84" s="165" t="s">
        <v>893</v>
      </c>
      <c r="G84" s="164" t="s">
        <v>700</v>
      </c>
      <c r="H84" s="164" t="s">
        <v>895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160</v>
      </c>
      <c r="AI84" s="203">
        <f t="shared" si="61"/>
        <v>24000000</v>
      </c>
      <c r="AJ84" s="164" t="s">
        <v>985</v>
      </c>
    </row>
    <row r="85" spans="1:36" x14ac:dyDescent="0.2">
      <c r="A85" s="164">
        <v>83</v>
      </c>
      <c r="B85" s="189" t="s">
        <v>899</v>
      </c>
      <c r="C85" s="165" t="s">
        <v>66</v>
      </c>
      <c r="D85" s="166">
        <v>6000000</v>
      </c>
      <c r="E85" s="183" t="s">
        <v>900</v>
      </c>
      <c r="F85" s="165" t="s">
        <v>898</v>
      </c>
      <c r="G85" s="164" t="s">
        <v>102</v>
      </c>
      <c r="H85" s="164" t="s">
        <v>901</v>
      </c>
      <c r="I85" s="202" t="s">
        <v>79</v>
      </c>
      <c r="J85" s="169">
        <v>45931</v>
      </c>
      <c r="K85" s="184">
        <f>EDATE(J85,6)-1</f>
        <v>46112</v>
      </c>
      <c r="L85" s="184">
        <f t="shared" si="67"/>
        <v>46295</v>
      </c>
      <c r="M85" s="184">
        <f t="shared" si="67"/>
        <v>46476</v>
      </c>
      <c r="N85" s="184">
        <f t="shared" si="67"/>
        <v>46660</v>
      </c>
      <c r="O85" s="184">
        <f t="shared" si="67"/>
        <v>46842</v>
      </c>
      <c r="P85" s="184">
        <f t="shared" si="67"/>
        <v>47026</v>
      </c>
      <c r="Q85" s="184">
        <f t="shared" si="67"/>
        <v>47207</v>
      </c>
      <c r="R85" s="184">
        <f t="shared" si="67"/>
        <v>47391</v>
      </c>
      <c r="S85" s="184">
        <f t="shared" si="67"/>
        <v>47572</v>
      </c>
      <c r="T85" s="184">
        <f t="shared" si="67"/>
        <v>47756</v>
      </c>
      <c r="U85" s="184">
        <f t="shared" si="67"/>
        <v>47937</v>
      </c>
      <c r="V85" s="184">
        <f t="shared" si="67"/>
        <v>48121</v>
      </c>
      <c r="W85" s="184">
        <f t="shared" si="66"/>
        <v>48303</v>
      </c>
      <c r="X85" s="184">
        <f t="shared" si="66"/>
        <v>48487</v>
      </c>
      <c r="Y85" s="184">
        <f t="shared" si="66"/>
        <v>48668</v>
      </c>
      <c r="Z85" s="184">
        <f t="shared" si="66"/>
        <v>48852</v>
      </c>
      <c r="AA85" s="184">
        <f t="shared" si="66"/>
        <v>49033</v>
      </c>
      <c r="AB85" s="184">
        <f t="shared" si="66"/>
        <v>49217</v>
      </c>
      <c r="AC85" s="184">
        <f t="shared" si="66"/>
        <v>49398</v>
      </c>
      <c r="AD85" s="184">
        <f t="shared" si="66"/>
        <v>49582</v>
      </c>
      <c r="AE85" s="184">
        <f t="shared" si="66"/>
        <v>49764</v>
      </c>
      <c r="AF85" s="184">
        <f t="shared" si="66"/>
        <v>49948</v>
      </c>
      <c r="AG85" s="184">
        <f t="shared" si="66"/>
        <v>50129</v>
      </c>
      <c r="AH85" s="188">
        <f ca="1">K85-TODAY()</f>
        <v>2</v>
      </c>
      <c r="AI85" s="203">
        <f t="shared" si="61"/>
        <v>36000000</v>
      </c>
      <c r="AJ85" s="164" t="s">
        <v>987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89"/>
  <sheetViews>
    <sheetView topLeftCell="A56" zoomScale="85" zoomScaleNormal="85" workbookViewId="0">
      <selection activeCell="I80" sqref="I80"/>
    </sheetView>
  </sheetViews>
  <sheetFormatPr defaultRowHeight="14.4" x14ac:dyDescent="0.3"/>
  <cols>
    <col min="1" max="1" width="9" bestFit="1" customWidth="1"/>
    <col min="2" max="2" width="26" bestFit="1" customWidth="1"/>
    <col min="3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1063</v>
      </c>
      <c r="D1" s="157" t="s">
        <v>996</v>
      </c>
      <c r="E1" s="157" t="s">
        <v>997</v>
      </c>
      <c r="F1" s="157" t="s">
        <v>1064</v>
      </c>
      <c r="G1" s="230" t="s">
        <v>998</v>
      </c>
      <c r="H1" s="230" t="s">
        <v>999</v>
      </c>
      <c r="I1" s="230" t="s">
        <v>1000</v>
      </c>
      <c r="J1" s="230" t="s">
        <v>1001</v>
      </c>
      <c r="K1" s="230" t="s">
        <v>1002</v>
      </c>
      <c r="L1" s="230" t="s">
        <v>1003</v>
      </c>
      <c r="M1" s="230" t="s">
        <v>1004</v>
      </c>
      <c r="N1" s="230" t="s">
        <v>1005</v>
      </c>
      <c r="O1" s="230" t="s">
        <v>1005</v>
      </c>
      <c r="P1" s="230" t="s">
        <v>1006</v>
      </c>
      <c r="Q1" s="230" t="s">
        <v>1006</v>
      </c>
      <c r="R1" s="230" t="s">
        <v>1055</v>
      </c>
      <c r="S1" s="230" t="s">
        <v>1056</v>
      </c>
      <c r="T1" s="230" t="s">
        <v>1057</v>
      </c>
      <c r="U1" s="230" t="s">
        <v>1058</v>
      </c>
      <c r="V1" s="230" t="s">
        <v>1059</v>
      </c>
      <c r="W1" s="230" t="s">
        <v>1060</v>
      </c>
      <c r="X1" s="230" t="s">
        <v>1061</v>
      </c>
      <c r="Y1" s="230" t="s">
        <v>1062</v>
      </c>
      <c r="Z1" s="231" t="s">
        <v>1007</v>
      </c>
    </row>
    <row r="2" spans="1:26" x14ac:dyDescent="0.3">
      <c r="A2" s="164">
        <f t="shared" ref="A2:Q2" si="0">SUBTOTAL(3,A4:A199)</f>
        <v>86</v>
      </c>
      <c r="B2" s="164">
        <f t="shared" si="0"/>
        <v>86</v>
      </c>
      <c r="C2" s="164">
        <f t="shared" si="0"/>
        <v>86</v>
      </c>
      <c r="D2" s="164">
        <f t="shared" si="0"/>
        <v>14</v>
      </c>
      <c r="E2" s="164">
        <f t="shared" si="0"/>
        <v>78</v>
      </c>
      <c r="F2" s="164">
        <f t="shared" si="0"/>
        <v>86</v>
      </c>
      <c r="G2" s="164">
        <f t="shared" si="0"/>
        <v>86</v>
      </c>
      <c r="H2" s="164">
        <f t="shared" si="0"/>
        <v>86</v>
      </c>
      <c r="I2" s="164">
        <f t="shared" si="0"/>
        <v>86</v>
      </c>
      <c r="J2" s="164">
        <f t="shared" si="0"/>
        <v>86</v>
      </c>
      <c r="K2" s="164">
        <f t="shared" si="0"/>
        <v>86</v>
      </c>
      <c r="L2" s="164">
        <f t="shared" si="0"/>
        <v>86</v>
      </c>
      <c r="M2" s="164">
        <f t="shared" si="0"/>
        <v>86</v>
      </c>
      <c r="N2" s="164">
        <f t="shared" si="0"/>
        <v>86</v>
      </c>
      <c r="O2" s="164">
        <f t="shared" si="0"/>
        <v>86</v>
      </c>
      <c r="P2" s="164">
        <f t="shared" si="0"/>
        <v>86</v>
      </c>
      <c r="Q2" s="164">
        <f t="shared" si="0"/>
        <v>86</v>
      </c>
      <c r="R2" s="164">
        <f t="shared" ref="R2:Y2" si="1">SUBTOTAL(3,R4:R199)</f>
        <v>86</v>
      </c>
      <c r="S2" s="164">
        <f t="shared" si="1"/>
        <v>86</v>
      </c>
      <c r="T2" s="164">
        <f t="shared" si="1"/>
        <v>86</v>
      </c>
      <c r="U2" s="164">
        <f t="shared" si="1"/>
        <v>86</v>
      </c>
      <c r="V2" s="164">
        <f t="shared" si="1"/>
        <v>86</v>
      </c>
      <c r="W2" s="164">
        <f t="shared" si="1"/>
        <v>86</v>
      </c>
      <c r="X2" s="164">
        <f t="shared" si="1"/>
        <v>86</v>
      </c>
      <c r="Y2" s="164">
        <f t="shared" si="1"/>
        <v>86</v>
      </c>
      <c r="Z2" s="232">
        <f>SUBTOTAL(9,Z4:Z199)</f>
        <v>4725480000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1008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1008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1008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988</v>
      </c>
      <c r="C7" s="189">
        <v>6300000</v>
      </c>
      <c r="D7" s="189"/>
      <c r="E7" s="164" t="s">
        <v>1008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>
        <v>5</v>
      </c>
      <c r="B8" s="165" t="s">
        <v>95</v>
      </c>
      <c r="C8" s="189">
        <f>9600000*0.8</f>
        <v>7680000</v>
      </c>
      <c r="D8" s="189"/>
      <c r="E8" s="164" t="s">
        <v>1009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1008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1008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f>10800000*0.8</f>
        <v>8640000</v>
      </c>
      <c r="D11" s="237" t="s">
        <v>1010</v>
      </c>
      <c r="E11" s="164" t="s">
        <v>1008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1008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1008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f>7400000*0.8</f>
        <v>5920000</v>
      </c>
      <c r="D14" s="208"/>
      <c r="E14" s="173" t="s">
        <v>1011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1008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1008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f>9900000*0.8</f>
        <v>7920000</v>
      </c>
      <c r="D17" s="208"/>
      <c r="E17" s="173" t="s">
        <v>1008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1012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1013</v>
      </c>
      <c r="E19" s="173" t="s">
        <v>1014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1015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1016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1017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1018</v>
      </c>
      <c r="E23" s="164" t="s">
        <v>1019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1020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1021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1022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1023</v>
      </c>
      <c r="E29" s="164" t="s">
        <v>1024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1025</v>
      </c>
      <c r="E32" s="173" t="s">
        <v>1026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1027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1028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1029</v>
      </c>
      <c r="E36" s="173" t="s">
        <v>1024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1030</v>
      </c>
      <c r="E37" s="164" t="s">
        <v>1031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>
        <v>35</v>
      </c>
      <c r="B38" s="212" t="s">
        <v>1032</v>
      </c>
      <c r="C38" s="189">
        <v>8030000</v>
      </c>
      <c r="D38" s="189"/>
      <c r="E38" s="164" t="s">
        <v>1033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650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1034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>
        <v>38</v>
      </c>
      <c r="B41" s="241" t="s">
        <v>570</v>
      </c>
      <c r="C41" s="208">
        <v>10700000</v>
      </c>
      <c r="D41" s="208"/>
      <c r="E41" s="173" t="s">
        <v>1035</v>
      </c>
      <c r="F41" s="234" t="s">
        <v>970</v>
      </c>
      <c r="G41" s="234" t="s">
        <v>970</v>
      </c>
      <c r="H41" s="234" t="s">
        <v>970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1021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1036</v>
      </c>
      <c r="E43" s="173" t="s">
        <v>1021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>
        <v>41</v>
      </c>
      <c r="B44" s="235" t="s">
        <v>565</v>
      </c>
      <c r="C44" s="189">
        <v>6500000</v>
      </c>
      <c r="D44" s="189"/>
      <c r="E44" s="164" t="s">
        <v>1021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578</v>
      </c>
      <c r="C45" s="189">
        <v>11200000</v>
      </c>
      <c r="D45" s="189"/>
      <c r="E45" s="164" t="s">
        <v>1037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581</v>
      </c>
      <c r="C46" s="189">
        <v>10100000</v>
      </c>
      <c r="D46" s="189"/>
      <c r="E46" s="164" t="s">
        <v>1038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580</v>
      </c>
      <c r="C47" s="189">
        <v>7000000</v>
      </c>
      <c r="D47" s="189"/>
      <c r="E47" s="164" t="s">
        <v>1039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579</v>
      </c>
      <c r="C48" s="189">
        <v>7000000</v>
      </c>
      <c r="D48" s="189"/>
      <c r="E48" s="164" t="s">
        <v>1039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616</v>
      </c>
      <c r="C49" s="208">
        <v>7500000</v>
      </c>
      <c r="D49" s="208"/>
      <c r="E49" s="176" t="s">
        <v>1040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577</v>
      </c>
      <c r="C50" s="189">
        <v>6400000</v>
      </c>
      <c r="D50" s="189"/>
      <c r="E50" s="164" t="s">
        <v>1041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>
        <v>48</v>
      </c>
      <c r="B51" s="165" t="s">
        <v>1042</v>
      </c>
      <c r="C51" s="189">
        <v>8000000</v>
      </c>
      <c r="D51" s="189"/>
      <c r="E51" s="164" t="s">
        <v>1043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617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645</v>
      </c>
      <c r="C53" s="189">
        <v>6600000</v>
      </c>
      <c r="D53" s="237" t="s">
        <v>1044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646</v>
      </c>
      <c r="C54" s="189">
        <v>6700000</v>
      </c>
      <c r="D54" s="237" t="s">
        <v>1045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623</v>
      </c>
      <c r="C55" s="189">
        <v>10200000</v>
      </c>
      <c r="D55" s="189"/>
      <c r="E55" s="222" t="s">
        <v>1046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628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681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747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739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680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678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>
        <v>59</v>
      </c>
      <c r="B62" s="236" t="s">
        <v>1047</v>
      </c>
      <c r="C62" s="189">
        <v>12000000</v>
      </c>
      <c r="D62" s="189"/>
      <c r="E62" s="222" t="s">
        <v>1048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711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714</v>
      </c>
      <c r="C64" s="189">
        <v>9800000</v>
      </c>
      <c r="D64" s="237" t="s">
        <v>1049</v>
      </c>
      <c r="E64" s="222" t="s">
        <v>1050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717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720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732</v>
      </c>
      <c r="C67" s="189">
        <v>9500000</v>
      </c>
      <c r="D67" s="237" t="s">
        <v>1051</v>
      </c>
      <c r="E67" s="222" t="s">
        <v>1052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750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89" si="23">EDATE(Q68,6)</f>
        <v>47696</v>
      </c>
      <c r="S68" s="233">
        <f t="shared" ref="S68:S89" si="24">EDATE(R68,6)</f>
        <v>47880</v>
      </c>
      <c r="T68" s="233">
        <f t="shared" ref="T68:T89" si="25">EDATE(S68,6)</f>
        <v>48061</v>
      </c>
      <c r="U68" s="233">
        <f t="shared" ref="U68:U89" si="26">EDATE(T68,6)</f>
        <v>48245</v>
      </c>
      <c r="V68" s="233">
        <f t="shared" ref="V68:V89" si="27">EDATE(U68,6)</f>
        <v>48427</v>
      </c>
      <c r="W68" s="233">
        <f t="shared" ref="W68:W89" si="28">EDATE(V68,6)</f>
        <v>48611</v>
      </c>
      <c r="X68" s="233">
        <f t="shared" ref="X68:X89" si="29">EDATE(W68,6)</f>
        <v>48792</v>
      </c>
      <c r="Y68" s="233">
        <f t="shared" ref="Y68:Y89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679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677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749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751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752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781</v>
      </c>
      <c r="C74" s="189">
        <v>10500000</v>
      </c>
      <c r="D74" s="189"/>
      <c r="E74" s="222" t="s">
        <v>1021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797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788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89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801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802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1053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813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845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89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841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843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989</v>
      </c>
      <c r="C84" s="189">
        <v>6400000</v>
      </c>
      <c r="D84" s="189"/>
      <c r="E84" s="222" t="s">
        <v>1021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818</v>
      </c>
      <c r="C85" s="189">
        <v>13400000</v>
      </c>
      <c r="D85" s="189"/>
      <c r="E85" s="222" t="s">
        <v>17</v>
      </c>
      <c r="F85" s="233">
        <v>45884</v>
      </c>
      <c r="G85" s="233">
        <f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844</v>
      </c>
      <c r="C86" s="189">
        <v>6800000</v>
      </c>
      <c r="D86" s="189"/>
      <c r="E86" s="222" t="s">
        <v>17</v>
      </c>
      <c r="F86" s="233">
        <v>45891</v>
      </c>
      <c r="G86" s="233">
        <f>EDATE(F86,6)</f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>
        <v>84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>EDATE(F87,6)</f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892</v>
      </c>
      <c r="C88" s="189">
        <v>6500000</v>
      </c>
      <c r="D88" s="189"/>
      <c r="E88" s="222" t="s">
        <v>17</v>
      </c>
      <c r="F88" s="233">
        <v>45905</v>
      </c>
      <c r="G88" s="233">
        <f>EDATE(F88,6)</f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1054</v>
      </c>
      <c r="C89" s="189">
        <v>8800000</v>
      </c>
      <c r="D89" s="189"/>
      <c r="E89" s="222" t="s">
        <v>17</v>
      </c>
      <c r="F89" s="233">
        <v>45827</v>
      </c>
      <c r="G89" s="233">
        <f>EDATE(F89,6)</f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F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" sqref="F1"/>
    </sheetView>
  </sheetViews>
  <sheetFormatPr defaultRowHeight="14.4" x14ac:dyDescent="0.3"/>
  <cols>
    <col min="1" max="1" width="3.44140625" bestFit="1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2" ht="41.4" x14ac:dyDescent="0.3">
      <c r="A1" s="225" t="s">
        <v>24</v>
      </c>
      <c r="B1" s="225" t="s">
        <v>366</v>
      </c>
      <c r="C1" s="225" t="s">
        <v>1065</v>
      </c>
      <c r="D1" s="225" t="s">
        <v>1066</v>
      </c>
      <c r="E1" s="225" t="s">
        <v>1067</v>
      </c>
      <c r="F1" s="225" t="s">
        <v>1098</v>
      </c>
      <c r="G1" s="225" t="s">
        <v>1097</v>
      </c>
      <c r="H1" s="225" t="s">
        <v>1099</v>
      </c>
      <c r="I1" s="225" t="s">
        <v>998</v>
      </c>
      <c r="J1" s="225" t="s">
        <v>999</v>
      </c>
      <c r="K1" s="225" t="s">
        <v>1000</v>
      </c>
      <c r="L1" s="225" t="s">
        <v>1001</v>
      </c>
      <c r="M1" s="225" t="s">
        <v>1002</v>
      </c>
      <c r="N1" s="225" t="s">
        <v>1003</v>
      </c>
      <c r="O1" s="225" t="s">
        <v>1004</v>
      </c>
      <c r="P1" s="225" t="s">
        <v>1005</v>
      </c>
      <c r="Q1" s="225" t="s">
        <v>1006</v>
      </c>
      <c r="R1" s="225" t="s">
        <v>1055</v>
      </c>
      <c r="S1" s="225" t="s">
        <v>1056</v>
      </c>
      <c r="T1" s="225" t="s">
        <v>1057</v>
      </c>
      <c r="U1" s="225" t="s">
        <v>1058</v>
      </c>
      <c r="V1" s="225" t="s">
        <v>1059</v>
      </c>
      <c r="W1" s="225" t="s">
        <v>1059</v>
      </c>
      <c r="X1" s="225" t="s">
        <v>1060</v>
      </c>
      <c r="Y1" s="225" t="s">
        <v>1061</v>
      </c>
      <c r="Z1" s="225" t="s">
        <v>1062</v>
      </c>
      <c r="AA1" s="225" t="s">
        <v>1101</v>
      </c>
      <c r="AB1" s="225" t="s">
        <v>1102</v>
      </c>
      <c r="AC1" s="225" t="s">
        <v>1103</v>
      </c>
      <c r="AD1" s="225" t="s">
        <v>1104</v>
      </c>
      <c r="AE1" s="225" t="s">
        <v>1105</v>
      </c>
      <c r="AF1" s="249" t="s">
        <v>1100</v>
      </c>
    </row>
    <row r="2" spans="1:32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</row>
    <row r="3" spans="1:32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</row>
    <row r="4" spans="1:32" x14ac:dyDescent="0.3">
      <c r="A4" s="226">
        <v>1</v>
      </c>
      <c r="B4" s="226" t="s">
        <v>1068</v>
      </c>
      <c r="C4" s="226" t="s">
        <v>1069</v>
      </c>
      <c r="D4" s="226" t="s">
        <v>1070</v>
      </c>
      <c r="E4" s="250" t="s">
        <v>1071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</row>
    <row r="5" spans="1:32" x14ac:dyDescent="0.3">
      <c r="A5" s="226">
        <v>2</v>
      </c>
      <c r="B5" s="226" t="s">
        <v>190</v>
      </c>
      <c r="C5" s="226" t="s">
        <v>1072</v>
      </c>
      <c r="D5" s="226" t="s">
        <v>1073</v>
      </c>
      <c r="E5" s="250" t="s">
        <v>1074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64">
        <f t="shared" si="4"/>
        <v>45992</v>
      </c>
      <c r="W5" s="264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</row>
    <row r="6" spans="1:32" x14ac:dyDescent="0.3">
      <c r="A6" s="226">
        <v>3</v>
      </c>
      <c r="B6" s="226" t="s">
        <v>260</v>
      </c>
      <c r="C6" s="226" t="s">
        <v>1075</v>
      </c>
      <c r="D6" s="226" t="s">
        <v>1076</v>
      </c>
      <c r="E6" s="250" t="s">
        <v>1077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64">
        <f t="shared" si="4"/>
        <v>45931</v>
      </c>
      <c r="W6" s="264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</row>
    <row r="7" spans="1:32" x14ac:dyDescent="0.3">
      <c r="A7" s="226">
        <v>4</v>
      </c>
      <c r="B7" s="226" t="s">
        <v>1078</v>
      </c>
      <c r="C7" s="226" t="s">
        <v>1079</v>
      </c>
      <c r="D7" s="226" t="s">
        <v>1080</v>
      </c>
      <c r="E7" s="250" t="s">
        <v>1081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64">
        <f t="shared" si="4"/>
        <v>46082</v>
      </c>
      <c r="W7" s="264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</row>
    <row r="8" spans="1:32" x14ac:dyDescent="0.3">
      <c r="A8" s="226">
        <v>5</v>
      </c>
      <c r="B8" s="226" t="s">
        <v>1082</v>
      </c>
      <c r="C8" s="226" t="s">
        <v>385</v>
      </c>
      <c r="D8" s="226" t="s">
        <v>1083</v>
      </c>
      <c r="E8" s="250" t="s">
        <v>1084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64">
        <f t="shared" si="4"/>
        <v>46082</v>
      </c>
      <c r="W8" s="264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</row>
    <row r="9" spans="1:32" x14ac:dyDescent="0.3">
      <c r="A9" s="226">
        <v>6</v>
      </c>
      <c r="B9" s="226" t="s">
        <v>1085</v>
      </c>
      <c r="C9" s="226" t="s">
        <v>386</v>
      </c>
      <c r="D9" s="226" t="s">
        <v>1086</v>
      </c>
      <c r="E9" s="250" t="s">
        <v>1084</v>
      </c>
      <c r="F9" s="227">
        <v>11330000</v>
      </c>
      <c r="G9" s="226" t="s">
        <v>77</v>
      </c>
      <c r="H9" s="250" t="s">
        <v>1087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</row>
    <row r="10" spans="1:32" x14ac:dyDescent="0.3">
      <c r="A10" s="226">
        <v>7</v>
      </c>
      <c r="B10" s="226" t="s">
        <v>1088</v>
      </c>
      <c r="C10" s="226" t="s">
        <v>427</v>
      </c>
      <c r="D10" s="226" t="s">
        <v>1089</v>
      </c>
      <c r="E10" s="250" t="s">
        <v>1090</v>
      </c>
      <c r="F10" s="227">
        <f>7200000*1.1</f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</row>
    <row r="11" spans="1:32" x14ac:dyDescent="0.3">
      <c r="A11" s="226">
        <v>8</v>
      </c>
      <c r="B11" s="226" t="s">
        <v>316</v>
      </c>
      <c r="C11" s="226" t="s">
        <v>1091</v>
      </c>
      <c r="D11" s="226" t="s">
        <v>1092</v>
      </c>
      <c r="E11" s="250" t="s">
        <v>1093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</row>
    <row r="12" spans="1:32" x14ac:dyDescent="0.3">
      <c r="A12" s="226">
        <v>9</v>
      </c>
      <c r="B12" s="226" t="s">
        <v>14</v>
      </c>
      <c r="C12" s="226" t="s">
        <v>1094</v>
      </c>
      <c r="D12" s="226" t="s">
        <v>1095</v>
      </c>
      <c r="E12" s="250" t="s">
        <v>1096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tabSelected="1"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9" sqref="H19"/>
    </sheetView>
  </sheetViews>
  <sheetFormatPr defaultRowHeight="14.4" x14ac:dyDescent="0.3"/>
  <cols>
    <col min="1" max="1" width="3.44140625" bestFit="1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1106</v>
      </c>
      <c r="D1" s="225" t="s">
        <v>1107</v>
      </c>
      <c r="E1" s="225" t="s">
        <v>1067</v>
      </c>
      <c r="F1" s="225" t="s">
        <v>366</v>
      </c>
      <c r="G1" s="225" t="s">
        <v>1108</v>
      </c>
      <c r="H1" s="225" t="s">
        <v>1141</v>
      </c>
      <c r="I1" s="225" t="s">
        <v>1109</v>
      </c>
      <c r="J1" s="225" t="s">
        <v>1110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1003</v>
      </c>
      <c r="R1" s="225" t="s">
        <v>1003</v>
      </c>
      <c r="S1" s="225" t="s">
        <v>1004</v>
      </c>
      <c r="T1" s="225" t="s">
        <v>1004</v>
      </c>
      <c r="U1" s="225" t="s">
        <v>1005</v>
      </c>
      <c r="V1" s="225" t="s">
        <v>1006</v>
      </c>
      <c r="W1" s="225" t="s">
        <v>1055</v>
      </c>
      <c r="X1" s="225" t="s">
        <v>1056</v>
      </c>
      <c r="Y1" s="254" t="s">
        <v>1111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1112</v>
      </c>
      <c r="D4" s="41" t="s">
        <v>1113</v>
      </c>
      <c r="E4" s="255" t="s">
        <v>1114</v>
      </c>
      <c r="F4" s="226" t="s">
        <v>1112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64">
        <f t="shared" ref="L4:T6" si="2">EDATE(K4,6)</f>
        <v>45031</v>
      </c>
      <c r="M4" s="264">
        <f t="shared" si="2"/>
        <v>45214</v>
      </c>
      <c r="N4" s="264">
        <f t="shared" si="2"/>
        <v>45397</v>
      </c>
      <c r="O4" s="264">
        <f t="shared" si="2"/>
        <v>45580</v>
      </c>
      <c r="P4" s="264">
        <f t="shared" si="2"/>
        <v>45762</v>
      </c>
      <c r="Q4" s="264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1115</v>
      </c>
      <c r="E5" s="255" t="s">
        <v>1116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64">
        <f t="shared" si="2"/>
        <v>45108</v>
      </c>
      <c r="M5" s="264">
        <f t="shared" si="2"/>
        <v>45292</v>
      </c>
      <c r="N5" s="264">
        <f t="shared" si="2"/>
        <v>45474</v>
      </c>
      <c r="O5" s="264">
        <f t="shared" si="2"/>
        <v>45658</v>
      </c>
      <c r="P5" s="264">
        <f t="shared" si="2"/>
        <v>45839</v>
      </c>
      <c r="Q5" s="264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1117</v>
      </c>
      <c r="D6" s="41" t="s">
        <v>1118</v>
      </c>
      <c r="E6" s="41" t="s">
        <v>1119</v>
      </c>
      <c r="F6" s="226" t="s">
        <v>1120</v>
      </c>
      <c r="G6" s="41" t="s">
        <v>1117</v>
      </c>
      <c r="H6" s="256">
        <v>7000000</v>
      </c>
      <c r="I6" s="226">
        <v>6</v>
      </c>
      <c r="J6" s="251">
        <v>44835</v>
      </c>
      <c r="K6" s="251">
        <v>44927</v>
      </c>
      <c r="L6" s="265">
        <f t="shared" si="2"/>
        <v>45108</v>
      </c>
      <c r="M6" s="265">
        <f t="shared" si="2"/>
        <v>45292</v>
      </c>
      <c r="N6" s="265">
        <f t="shared" si="2"/>
        <v>45474</v>
      </c>
      <c r="O6" s="264">
        <f t="shared" si="2"/>
        <v>45658</v>
      </c>
      <c r="P6" s="264">
        <f t="shared" si="2"/>
        <v>45839</v>
      </c>
      <c r="Q6" s="264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1121</v>
      </c>
      <c r="D7" s="41" t="s">
        <v>1122</v>
      </c>
      <c r="E7" s="255" t="s">
        <v>1123</v>
      </c>
      <c r="F7" s="226" t="s">
        <v>1124</v>
      </c>
      <c r="G7" s="41" t="s">
        <v>1121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64">
        <f>EDATE(K7,3)</f>
        <v>45658</v>
      </c>
      <c r="M7" s="264">
        <f t="shared" ref="M7:T7" si="8">EDATE(L7,3)</f>
        <v>45748</v>
      </c>
      <c r="N7" s="264">
        <f t="shared" si="8"/>
        <v>45839</v>
      </c>
      <c r="O7" s="264">
        <f t="shared" si="8"/>
        <v>45931</v>
      </c>
      <c r="P7" s="264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1125</v>
      </c>
      <c r="C8" s="226" t="s">
        <v>1126</v>
      </c>
      <c r="D8" s="41" t="s">
        <v>1127</v>
      </c>
      <c r="E8" s="255" t="s">
        <v>1128</v>
      </c>
      <c r="F8" s="226" t="s">
        <v>1126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64">
        <f t="shared" ref="L8:T12" si="13">EDATE(K8,6)</f>
        <v>45992</v>
      </c>
      <c r="M8" s="264">
        <f t="shared" si="13"/>
        <v>46174</v>
      </c>
      <c r="N8" s="264">
        <f t="shared" si="13"/>
        <v>46357</v>
      </c>
      <c r="O8" s="264">
        <f t="shared" si="13"/>
        <v>46539</v>
      </c>
      <c r="P8" s="264">
        <f t="shared" si="13"/>
        <v>46722</v>
      </c>
      <c r="Q8" s="264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1129</v>
      </c>
      <c r="D9" s="41" t="s">
        <v>1130</v>
      </c>
      <c r="E9" s="255" t="s">
        <v>1131</v>
      </c>
      <c r="F9" s="226" t="s">
        <v>1132</v>
      </c>
      <c r="G9" s="41" t="s">
        <v>1129</v>
      </c>
      <c r="H9" s="256">
        <v>7000000</v>
      </c>
      <c r="I9" s="226">
        <v>6</v>
      </c>
      <c r="J9" s="251">
        <v>45915</v>
      </c>
      <c r="K9" s="252">
        <v>46113</v>
      </c>
      <c r="L9" s="265">
        <f t="shared" si="13"/>
        <v>46296</v>
      </c>
      <c r="M9" s="265">
        <f t="shared" si="13"/>
        <v>46478</v>
      </c>
      <c r="N9" s="265">
        <f t="shared" si="13"/>
        <v>46661</v>
      </c>
      <c r="O9" s="265">
        <f t="shared" si="13"/>
        <v>46844</v>
      </c>
      <c r="P9" s="265">
        <f t="shared" si="13"/>
        <v>47027</v>
      </c>
      <c r="Q9" s="265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714</v>
      </c>
      <c r="C10" s="226" t="s">
        <v>1133</v>
      </c>
      <c r="D10" s="41" t="s">
        <v>1134</v>
      </c>
      <c r="E10" s="255" t="s">
        <v>1135</v>
      </c>
      <c r="F10" s="226"/>
      <c r="G10" s="41" t="s">
        <v>1133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1136</v>
      </c>
      <c r="C11" s="226" t="s">
        <v>1137</v>
      </c>
      <c r="D11" s="41" t="s">
        <v>1138</v>
      </c>
      <c r="E11" s="255" t="s">
        <v>1135</v>
      </c>
      <c r="F11" s="226"/>
      <c r="G11" s="41" t="s">
        <v>1137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1139</v>
      </c>
      <c r="D12" s="41" t="s">
        <v>1140</v>
      </c>
      <c r="E12" s="255" t="s">
        <v>1135</v>
      </c>
      <c r="F12" s="226"/>
      <c r="G12" s="41" t="s">
        <v>1139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574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573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572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576</v>
      </c>
      <c r="C6" s="129"/>
      <c r="D6" s="140">
        <v>0</v>
      </c>
      <c r="E6" s="128"/>
      <c r="F6" s="134" t="s">
        <v>575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610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609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614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611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615</v>
      </c>
      <c r="C6" s="129"/>
      <c r="D6" s="140">
        <v>0</v>
      </c>
      <c r="E6" s="128"/>
      <c r="F6" s="134" t="s">
        <v>613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618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622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619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620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621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653</v>
      </c>
      <c r="F1" s="128" t="s">
        <v>53</v>
      </c>
    </row>
    <row r="2" spans="1:6" ht="15.6" x14ac:dyDescent="0.3">
      <c r="A2" s="128">
        <v>1</v>
      </c>
      <c r="B2" s="130" t="s">
        <v>655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656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657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664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652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651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654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665</v>
      </c>
      <c r="C1" s="147" t="s">
        <v>670</v>
      </c>
      <c r="D1" s="147" t="s">
        <v>666</v>
      </c>
      <c r="E1" s="147" t="s">
        <v>667</v>
      </c>
      <c r="F1" s="147" t="s">
        <v>672</v>
      </c>
    </row>
    <row r="2" spans="1:10" x14ac:dyDescent="0.35">
      <c r="A2" s="148">
        <v>1</v>
      </c>
      <c r="B2" s="148" t="s">
        <v>668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669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671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672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774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774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2026-03-29T13:17:18Z</dcterms:modified>
</cp:coreProperties>
</file>