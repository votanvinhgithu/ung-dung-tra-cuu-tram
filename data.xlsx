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AA76CF40-E3C4-4534-B6EB-E4C666210D8E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tiết'!$A$3:$AQ$102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1" i="25" l="1"/>
  <c r="H91" i="25"/>
  <c r="H84" i="25"/>
  <c r="Y46" i="24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<sst xmlns="http://schemas.openxmlformats.org/spreadsheetml/2006/main" count="3372" uniqueCount="1216">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</sst>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99 trạm"/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/>
      <sheetData sheetId="1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V86" activePane="bottomRight" state="frozen"/>
      <selection pane="topRight" activeCell="D1" sqref="D1"/>
      <selection pane="bottomLeft" activeCell="A4" sqref="A4"/>
      <selection pane="bottomRight" activeCell="AB99" sqref="AB99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365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897</v>
      </c>
      <c r="H1" s="8" t="s">
        <v>898</v>
      </c>
      <c r="I1" s="31" t="s">
        <v>2</v>
      </c>
      <c r="J1" s="8" t="s">
        <v>144</v>
      </c>
      <c r="K1" s="8" t="s">
        <v>918</v>
      </c>
      <c r="L1" s="32" t="s">
        <v>462</v>
      </c>
      <c r="M1" s="84" t="s">
        <v>164</v>
      </c>
      <c r="N1" s="84" t="s">
        <v>226</v>
      </c>
      <c r="O1" s="84" t="s">
        <v>357</v>
      </c>
      <c r="P1" s="84" t="s">
        <v>227</v>
      </c>
      <c r="Q1" s="33" t="s">
        <v>360</v>
      </c>
      <c r="R1" s="33" t="s">
        <v>353</v>
      </c>
      <c r="S1" s="33" t="s">
        <v>358</v>
      </c>
      <c r="T1" s="33" t="s">
        <v>361</v>
      </c>
      <c r="U1" s="85" t="s">
        <v>362</v>
      </c>
      <c r="V1" s="85" t="s">
        <v>354</v>
      </c>
      <c r="W1" s="85" t="s">
        <v>359</v>
      </c>
      <c r="X1" s="85" t="s">
        <v>363</v>
      </c>
      <c r="Y1" s="7" t="s">
        <v>36</v>
      </c>
      <c r="Z1" s="7" t="s">
        <v>364</v>
      </c>
      <c r="AA1" s="7" t="s">
        <v>57</v>
      </c>
      <c r="AB1" s="8" t="s">
        <v>105</v>
      </c>
      <c r="AC1" s="40" t="s">
        <v>167</v>
      </c>
      <c r="AD1" s="39" t="s">
        <v>168</v>
      </c>
      <c r="AE1" s="7" t="s">
        <v>93</v>
      </c>
      <c r="AF1" s="7" t="s">
        <v>916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355</v>
      </c>
      <c r="H4" s="33" t="s">
        <v>899</v>
      </c>
      <c r="I4" s="33" t="s">
        <v>899</v>
      </c>
      <c r="J4" s="20">
        <v>44525</v>
      </c>
      <c r="K4" s="20">
        <f>EDATE(J4,60)-1</f>
        <v>46350</v>
      </c>
      <c r="L4" s="31" t="s">
        <v>419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145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766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355</v>
      </c>
      <c r="H5" s="33" t="s">
        <v>899</v>
      </c>
      <c r="I5" s="25" t="s">
        <v>895</v>
      </c>
      <c r="J5" s="20">
        <v>44528</v>
      </c>
      <c r="K5" s="20">
        <f t="shared" ref="K5:K68" si="1">EDATE(J5,60)-1</f>
        <v>46353</v>
      </c>
      <c r="L5" s="31" t="s">
        <v>148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766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355</v>
      </c>
      <c r="H6" s="25" t="s">
        <v>895</v>
      </c>
      <c r="I6" s="25" t="s">
        <v>895</v>
      </c>
      <c r="J6" s="20">
        <v>44526</v>
      </c>
      <c r="K6" s="20">
        <f t="shared" si="1"/>
        <v>46351</v>
      </c>
      <c r="L6" s="34" t="s">
        <v>174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146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766</v>
      </c>
    </row>
    <row r="7" spans="1:43" ht="24" x14ac:dyDescent="0.3">
      <c r="A7" s="4">
        <v>4</v>
      </c>
      <c r="B7" s="2" t="s">
        <v>977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356</v>
      </c>
      <c r="H7" s="25" t="s">
        <v>895</v>
      </c>
      <c r="I7" s="25" t="s">
        <v>895</v>
      </c>
      <c r="J7" s="20">
        <v>44530</v>
      </c>
      <c r="K7" s="20">
        <f t="shared" si="1"/>
        <v>46355</v>
      </c>
      <c r="L7" s="34" t="s">
        <v>174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766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355</v>
      </c>
      <c r="H8" s="33" t="s">
        <v>899</v>
      </c>
      <c r="I8" s="25" t="s">
        <v>895</v>
      </c>
      <c r="J8" s="20">
        <v>44586</v>
      </c>
      <c r="K8" s="20">
        <f t="shared" si="1"/>
        <v>46411</v>
      </c>
      <c r="L8" s="34" t="s">
        <v>174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133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762</v>
      </c>
      <c r="AL8" s="2">
        <v>12</v>
      </c>
      <c r="AM8" s="2">
        <v>12</v>
      </c>
      <c r="AN8" s="48"/>
      <c r="AO8" t="s">
        <v>767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355</v>
      </c>
      <c r="H9" s="25" t="s">
        <v>895</v>
      </c>
      <c r="I9" s="25" t="s">
        <v>895</v>
      </c>
      <c r="J9" s="20">
        <v>44561</v>
      </c>
      <c r="K9" s="20">
        <f t="shared" si="1"/>
        <v>46386</v>
      </c>
      <c r="L9" s="34" t="s">
        <v>174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239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766</v>
      </c>
    </row>
    <row r="10" spans="1:43" ht="36" x14ac:dyDescent="0.3">
      <c r="A10" s="4">
        <v>7</v>
      </c>
      <c r="B10" s="2" t="s">
        <v>253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355</v>
      </c>
      <c r="H10" s="33" t="s">
        <v>899</v>
      </c>
      <c r="I10" s="31" t="s">
        <v>900</v>
      </c>
      <c r="J10" s="20">
        <v>44586</v>
      </c>
      <c r="K10" s="20">
        <f t="shared" si="1"/>
        <v>46411</v>
      </c>
      <c r="L10" s="34" t="s">
        <v>174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1164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131</v>
      </c>
      <c r="AI10" s="18" t="s">
        <v>130</v>
      </c>
      <c r="AJ10" s="18" t="s">
        <v>102</v>
      </c>
      <c r="AK10" s="18" t="s">
        <v>132</v>
      </c>
      <c r="AL10" s="2">
        <v>15</v>
      </c>
      <c r="AM10" s="2">
        <v>9</v>
      </c>
      <c r="AN10" s="48"/>
      <c r="AO10" t="s">
        <v>766</v>
      </c>
    </row>
    <row r="11" spans="1:43" ht="36" x14ac:dyDescent="0.3">
      <c r="A11" s="4">
        <v>8</v>
      </c>
      <c r="B11" s="2" t="s">
        <v>256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355</v>
      </c>
      <c r="H11" s="25" t="s">
        <v>895</v>
      </c>
      <c r="I11" s="31" t="s">
        <v>900</v>
      </c>
      <c r="J11" s="20">
        <v>44586</v>
      </c>
      <c r="K11" s="20">
        <f t="shared" si="1"/>
        <v>46411</v>
      </c>
      <c r="L11" s="34" t="s">
        <v>174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1165</v>
      </c>
      <c r="Z11" s="93">
        <v>6000000</v>
      </c>
      <c r="AA11" s="2" t="s">
        <v>147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119</v>
      </c>
      <c r="AI11" s="18" t="s">
        <v>120</v>
      </c>
      <c r="AJ11" s="18" t="s">
        <v>121</v>
      </c>
      <c r="AK11" s="18" t="s">
        <v>122</v>
      </c>
      <c r="AL11" s="2">
        <v>13</v>
      </c>
      <c r="AM11" s="2">
        <v>12</v>
      </c>
      <c r="AN11" s="48"/>
      <c r="AO11" t="s">
        <v>766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355</v>
      </c>
      <c r="H12" s="25" t="s">
        <v>895</v>
      </c>
      <c r="I12" s="25" t="s">
        <v>895</v>
      </c>
      <c r="J12" s="20">
        <v>44586</v>
      </c>
      <c r="K12" s="20">
        <f t="shared" si="1"/>
        <v>46411</v>
      </c>
      <c r="L12" s="34" t="s">
        <v>174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241</v>
      </c>
      <c r="Z12" s="93">
        <v>7000000</v>
      </c>
      <c r="AA12" s="2" t="s">
        <v>150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151</v>
      </c>
      <c r="AI12" s="18" t="s">
        <v>152</v>
      </c>
      <c r="AJ12" s="18" t="s">
        <v>153</v>
      </c>
      <c r="AK12" s="18" t="s">
        <v>154</v>
      </c>
      <c r="AL12" s="2">
        <v>20</v>
      </c>
      <c r="AM12" s="2">
        <v>6</v>
      </c>
      <c r="AN12" s="48"/>
      <c r="AO12" t="s">
        <v>767</v>
      </c>
    </row>
    <row r="13" spans="1:43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355</v>
      </c>
      <c r="H13" s="25" t="s">
        <v>895</v>
      </c>
      <c r="I13" s="25" t="s">
        <v>895</v>
      </c>
      <c r="J13" s="20">
        <v>44614</v>
      </c>
      <c r="K13" s="20">
        <f t="shared" si="1"/>
        <v>46439</v>
      </c>
      <c r="L13" s="34" t="s">
        <v>174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240</v>
      </c>
      <c r="Z13" s="93">
        <v>6500000</v>
      </c>
      <c r="AA13" s="2" t="s">
        <v>158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159</v>
      </c>
      <c r="AI13" s="18" t="s">
        <v>160</v>
      </c>
      <c r="AJ13" s="18" t="s">
        <v>153</v>
      </c>
      <c r="AK13" s="18" t="s">
        <v>161</v>
      </c>
      <c r="AL13" s="2">
        <v>17</v>
      </c>
      <c r="AM13" s="2">
        <v>9</v>
      </c>
      <c r="AN13" s="48"/>
      <c r="AO13" t="s">
        <v>767</v>
      </c>
    </row>
    <row r="14" spans="1:43" ht="41.4" x14ac:dyDescent="0.3">
      <c r="A14" s="4">
        <v>11</v>
      </c>
      <c r="B14" s="2" t="s">
        <v>259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356</v>
      </c>
      <c r="H14" s="35" t="s">
        <v>899</v>
      </c>
      <c r="I14" s="25" t="s">
        <v>895</v>
      </c>
      <c r="J14" s="20">
        <v>44622</v>
      </c>
      <c r="K14" s="20">
        <f t="shared" si="1"/>
        <v>46447</v>
      </c>
      <c r="L14" s="34" t="s">
        <v>174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392</v>
      </c>
      <c r="U14" s="18"/>
      <c r="V14" s="20"/>
      <c r="W14" s="20"/>
      <c r="X14" s="20"/>
      <c r="Y14" s="2" t="s">
        <v>165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701</v>
      </c>
      <c r="AI14" s="99" t="s">
        <v>169</v>
      </c>
      <c r="AJ14" s="99" t="s">
        <v>702</v>
      </c>
      <c r="AK14" s="99" t="s">
        <v>171</v>
      </c>
      <c r="AL14" s="2">
        <v>12.8</v>
      </c>
      <c r="AM14" s="2">
        <v>12</v>
      </c>
      <c r="AN14" s="48"/>
      <c r="AO14" t="s">
        <v>767</v>
      </c>
    </row>
    <row r="15" spans="1:43" ht="36" x14ac:dyDescent="0.3">
      <c r="A15" s="4">
        <v>12</v>
      </c>
      <c r="B15" s="2" t="s">
        <v>417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355</v>
      </c>
      <c r="H15" s="35" t="s">
        <v>899</v>
      </c>
      <c r="I15" s="35" t="s">
        <v>899</v>
      </c>
      <c r="J15" s="20">
        <v>44631</v>
      </c>
      <c r="K15" s="20">
        <f t="shared" si="1"/>
        <v>46456</v>
      </c>
      <c r="L15" s="34" t="s">
        <v>174</v>
      </c>
      <c r="M15" s="124">
        <v>44691</v>
      </c>
      <c r="N15" s="27" t="s">
        <v>407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179</v>
      </c>
      <c r="Z15" s="93">
        <v>6000000</v>
      </c>
      <c r="AA15" s="2" t="s">
        <v>147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181</v>
      </c>
      <c r="AI15" s="18" t="s">
        <v>180</v>
      </c>
      <c r="AJ15" s="18" t="s">
        <v>182</v>
      </c>
      <c r="AK15" s="18" t="s">
        <v>183</v>
      </c>
      <c r="AL15" s="2">
        <v>14</v>
      </c>
      <c r="AM15" s="2">
        <v>15</v>
      </c>
      <c r="AN15" s="48"/>
      <c r="AO15" t="s">
        <v>767</v>
      </c>
    </row>
    <row r="16" spans="1:43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406</v>
      </c>
      <c r="G16" s="2" t="s">
        <v>355</v>
      </c>
      <c r="H16" s="34" t="s">
        <v>895</v>
      </c>
      <c r="I16" s="25" t="s">
        <v>895</v>
      </c>
      <c r="J16" s="21">
        <v>44660</v>
      </c>
      <c r="K16" s="20">
        <f t="shared" si="1"/>
        <v>46485</v>
      </c>
      <c r="L16" s="34" t="s">
        <v>174</v>
      </c>
      <c r="M16" s="21">
        <v>44696</v>
      </c>
      <c r="N16" s="27" t="s">
        <v>407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318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187</v>
      </c>
      <c r="AF16" s="18" t="s">
        <v>79</v>
      </c>
      <c r="AG16" s="20"/>
      <c r="AH16" s="22" t="s">
        <v>306</v>
      </c>
      <c r="AI16" s="22" t="s">
        <v>186</v>
      </c>
      <c r="AJ16" s="22" t="s">
        <v>194</v>
      </c>
      <c r="AK16" s="18" t="s">
        <v>188</v>
      </c>
      <c r="AL16" s="8">
        <v>12</v>
      </c>
      <c r="AM16" s="2">
        <v>12</v>
      </c>
      <c r="AN16" s="48"/>
      <c r="AO16" t="s">
        <v>767</v>
      </c>
    </row>
    <row r="17" spans="1:41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355</v>
      </c>
      <c r="H17" s="35" t="s">
        <v>899</v>
      </c>
      <c r="I17" s="25" t="s">
        <v>895</v>
      </c>
      <c r="J17" s="20">
        <v>44640</v>
      </c>
      <c r="K17" s="20">
        <f t="shared" si="1"/>
        <v>46465</v>
      </c>
      <c r="L17" s="34" t="s">
        <v>174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190</v>
      </c>
      <c r="Z17" s="93">
        <v>5500000</v>
      </c>
      <c r="AA17" s="2" t="s">
        <v>166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192</v>
      </c>
      <c r="AI17" s="18" t="s">
        <v>193</v>
      </c>
      <c r="AJ17" s="18" t="s">
        <v>194</v>
      </c>
      <c r="AK17" s="18" t="s">
        <v>191</v>
      </c>
      <c r="AL17" s="2">
        <v>13</v>
      </c>
      <c r="AM17" s="2">
        <v>12</v>
      </c>
      <c r="AN17" s="48"/>
      <c r="AO17" t="s">
        <v>767</v>
      </c>
    </row>
    <row r="18" spans="1:41" ht="36" x14ac:dyDescent="0.3">
      <c r="A18" s="4">
        <v>15</v>
      </c>
      <c r="B18" s="2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355</v>
      </c>
      <c r="H18" s="25" t="s">
        <v>895</v>
      </c>
      <c r="I18" s="25" t="s">
        <v>895</v>
      </c>
      <c r="J18" s="20">
        <v>44645</v>
      </c>
      <c r="K18" s="20">
        <f t="shared" si="1"/>
        <v>46470</v>
      </c>
      <c r="L18" s="34" t="s">
        <v>174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238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231</v>
      </c>
      <c r="AI18" s="18" t="s">
        <v>232</v>
      </c>
      <c r="AJ18" s="18" t="s">
        <v>102</v>
      </c>
      <c r="AK18" s="18" t="s">
        <v>233</v>
      </c>
      <c r="AL18" s="2">
        <v>25</v>
      </c>
      <c r="AM18" s="2">
        <v>5</v>
      </c>
      <c r="AN18" s="48"/>
      <c r="AO18" t="s">
        <v>767</v>
      </c>
    </row>
    <row r="19" spans="1:41" ht="24" x14ac:dyDescent="0.3">
      <c r="A19" s="4">
        <v>16</v>
      </c>
      <c r="B19" s="2" t="s">
        <v>289</v>
      </c>
      <c r="C19" s="2" t="s">
        <v>290</v>
      </c>
      <c r="D19" s="2">
        <v>106.621573</v>
      </c>
      <c r="E19" s="2">
        <v>10.838825999999999</v>
      </c>
      <c r="F19" s="2" t="s">
        <v>294</v>
      </c>
      <c r="G19" s="2" t="s">
        <v>355</v>
      </c>
      <c r="H19" s="25" t="s">
        <v>895</v>
      </c>
      <c r="I19" s="25" t="s">
        <v>895</v>
      </c>
      <c r="J19" s="20">
        <v>44658</v>
      </c>
      <c r="K19" s="20">
        <f t="shared" si="1"/>
        <v>46483</v>
      </c>
      <c r="L19" s="34" t="s">
        <v>174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330</v>
      </c>
      <c r="Z19" s="93">
        <v>5300000</v>
      </c>
      <c r="AA19" s="2" t="s">
        <v>307</v>
      </c>
      <c r="AB19" s="93">
        <v>8800000</v>
      </c>
      <c r="AC19" s="102">
        <v>0</v>
      </c>
      <c r="AD19" s="156">
        <v>0</v>
      </c>
      <c r="AE19" s="20" t="s">
        <v>411</v>
      </c>
      <c r="AF19" s="18" t="s">
        <v>79</v>
      </c>
      <c r="AG19" s="20"/>
      <c r="AH19" s="18" t="s">
        <v>301</v>
      </c>
      <c r="AI19" s="18" t="s">
        <v>300</v>
      </c>
      <c r="AJ19" s="18" t="s">
        <v>302</v>
      </c>
      <c r="AK19" s="18" t="s">
        <v>297</v>
      </c>
      <c r="AL19" s="8">
        <v>13</v>
      </c>
      <c r="AM19" s="2">
        <v>9</v>
      </c>
      <c r="AN19" s="48"/>
      <c r="AO19" t="s">
        <v>767</v>
      </c>
    </row>
    <row r="20" spans="1:41" ht="24" x14ac:dyDescent="0.3">
      <c r="A20" s="4">
        <v>17</v>
      </c>
      <c r="B20" s="2" t="s">
        <v>315</v>
      </c>
      <c r="C20" s="2" t="s">
        <v>15</v>
      </c>
      <c r="D20" s="2">
        <v>106.59965699999999</v>
      </c>
      <c r="E20" s="2">
        <v>10.858247</v>
      </c>
      <c r="F20" s="2" t="s">
        <v>316</v>
      </c>
      <c r="G20" s="2" t="s">
        <v>355</v>
      </c>
      <c r="H20" s="34" t="s">
        <v>899</v>
      </c>
      <c r="I20" s="25" t="s">
        <v>895</v>
      </c>
      <c r="J20" s="20">
        <v>44676</v>
      </c>
      <c r="K20" s="20">
        <f t="shared" si="1"/>
        <v>46501</v>
      </c>
      <c r="L20" s="34" t="s">
        <v>174</v>
      </c>
      <c r="M20" s="124">
        <v>44727</v>
      </c>
      <c r="N20" s="27" t="s">
        <v>407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317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440</v>
      </c>
      <c r="AF20" s="18" t="s">
        <v>77</v>
      </c>
      <c r="AG20" s="20"/>
      <c r="AH20" s="18" t="s">
        <v>331</v>
      </c>
      <c r="AI20" s="18" t="s">
        <v>332</v>
      </c>
      <c r="AJ20" s="18" t="s">
        <v>333</v>
      </c>
      <c r="AK20" s="18" t="s">
        <v>334</v>
      </c>
      <c r="AL20" s="8">
        <v>12</v>
      </c>
      <c r="AM20" s="2">
        <v>12</v>
      </c>
      <c r="AN20" s="48"/>
      <c r="AO20" t="s">
        <v>767</v>
      </c>
    </row>
    <row r="21" spans="1:41" ht="24" x14ac:dyDescent="0.3">
      <c r="A21" s="4">
        <v>18</v>
      </c>
      <c r="B21" s="155" t="s">
        <v>421</v>
      </c>
      <c r="C21" s="2" t="s">
        <v>15</v>
      </c>
      <c r="D21" s="2">
        <v>106.590795</v>
      </c>
      <c r="E21" s="2">
        <v>10.832939</v>
      </c>
      <c r="F21" s="2" t="s">
        <v>335</v>
      </c>
      <c r="G21" s="25" t="s">
        <v>355</v>
      </c>
      <c r="H21" s="34" t="s">
        <v>899</v>
      </c>
      <c r="I21" s="25" t="s">
        <v>895</v>
      </c>
      <c r="J21" s="20">
        <v>44672</v>
      </c>
      <c r="K21" s="20">
        <f t="shared" si="1"/>
        <v>46497</v>
      </c>
      <c r="L21" s="34" t="s">
        <v>174</v>
      </c>
      <c r="M21" s="18" t="s">
        <v>368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337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187</v>
      </c>
      <c r="AF21" s="18" t="s">
        <v>79</v>
      </c>
      <c r="AG21" s="20"/>
      <c r="AH21" s="18" t="s">
        <v>338</v>
      </c>
      <c r="AI21" s="18" t="s">
        <v>339</v>
      </c>
      <c r="AJ21" s="18" t="s">
        <v>340</v>
      </c>
      <c r="AK21" s="18" t="s">
        <v>341</v>
      </c>
      <c r="AL21" s="8">
        <v>11.5</v>
      </c>
      <c r="AM21" s="2">
        <v>12</v>
      </c>
      <c r="AN21" s="48"/>
      <c r="AO21" t="s">
        <v>767</v>
      </c>
    </row>
    <row r="22" spans="1:41" ht="24" x14ac:dyDescent="0.3">
      <c r="A22" s="4">
        <v>19</v>
      </c>
      <c r="B22" s="2" t="s">
        <v>346</v>
      </c>
      <c r="C22" s="2" t="s">
        <v>66</v>
      </c>
      <c r="D22" s="2">
        <v>106.63957000000001</v>
      </c>
      <c r="E22" s="2">
        <v>10.834324000000001</v>
      </c>
      <c r="F22" s="2" t="s">
        <v>366</v>
      </c>
      <c r="G22" s="2" t="s">
        <v>356</v>
      </c>
      <c r="H22" s="25" t="s">
        <v>895</v>
      </c>
      <c r="I22" s="25" t="s">
        <v>895</v>
      </c>
      <c r="J22" s="124">
        <v>44700</v>
      </c>
      <c r="K22" s="20">
        <f t="shared" si="1"/>
        <v>46525</v>
      </c>
      <c r="L22" s="34" t="s">
        <v>174</v>
      </c>
      <c r="M22" s="124">
        <v>44722</v>
      </c>
      <c r="N22" s="27" t="s">
        <v>407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367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187</v>
      </c>
      <c r="AF22" s="18" t="s">
        <v>79</v>
      </c>
      <c r="AG22" s="20"/>
      <c r="AH22" s="18" t="s">
        <v>370</v>
      </c>
      <c r="AI22" s="18" t="s">
        <v>369</v>
      </c>
      <c r="AJ22" s="18" t="s">
        <v>371</v>
      </c>
      <c r="AK22" s="18" t="s">
        <v>348</v>
      </c>
      <c r="AL22" s="8">
        <v>18</v>
      </c>
      <c r="AM22" s="2">
        <v>5</v>
      </c>
      <c r="AN22" s="48"/>
      <c r="AO22" t="s">
        <v>767</v>
      </c>
    </row>
    <row r="23" spans="1:41" ht="48" x14ac:dyDescent="0.3">
      <c r="A23" s="4">
        <v>20</v>
      </c>
      <c r="B23" s="8" t="s">
        <v>643</v>
      </c>
      <c r="C23" s="2" t="s">
        <v>66</v>
      </c>
      <c r="D23" s="2">
        <v>106.68020300000001</v>
      </c>
      <c r="E23" s="2">
        <v>10.821994999999999</v>
      </c>
      <c r="F23" s="2" t="s">
        <v>349</v>
      </c>
      <c r="G23" s="2" t="s">
        <v>356</v>
      </c>
      <c r="H23" s="34" t="s">
        <v>899</v>
      </c>
      <c r="I23" s="25" t="s">
        <v>895</v>
      </c>
      <c r="J23" s="20">
        <v>44666</v>
      </c>
      <c r="K23" s="20">
        <f t="shared" si="1"/>
        <v>46491</v>
      </c>
      <c r="L23" s="34" t="s">
        <v>174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350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187</v>
      </c>
      <c r="AF23" s="18" t="s">
        <v>77</v>
      </c>
      <c r="AG23" s="20"/>
      <c r="AH23" s="18" t="s">
        <v>601</v>
      </c>
      <c r="AI23" s="2" t="s">
        <v>595</v>
      </c>
      <c r="AJ23" s="18" t="s">
        <v>400</v>
      </c>
      <c r="AK23" s="18" t="s">
        <v>352</v>
      </c>
      <c r="AL23" s="8">
        <v>35</v>
      </c>
      <c r="AM23" s="2">
        <v>5</v>
      </c>
      <c r="AN23" s="48"/>
      <c r="AO23" t="s">
        <v>767</v>
      </c>
    </row>
    <row r="24" spans="1:41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291</v>
      </c>
      <c r="G24" s="2" t="s">
        <v>355</v>
      </c>
      <c r="H24" s="34" t="s">
        <v>899</v>
      </c>
      <c r="I24" s="25" t="s">
        <v>895</v>
      </c>
      <c r="J24" s="20">
        <v>44703</v>
      </c>
      <c r="K24" s="20">
        <f t="shared" si="1"/>
        <v>46528</v>
      </c>
      <c r="L24" s="34" t="s">
        <v>174</v>
      </c>
      <c r="M24" s="124">
        <v>44752</v>
      </c>
      <c r="N24" s="27" t="s">
        <v>407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2" t="s">
        <v>303</v>
      </c>
      <c r="Z24" s="18" t="s">
        <v>413</v>
      </c>
      <c r="AA24" s="18" t="s">
        <v>344</v>
      </c>
      <c r="AB24" s="95">
        <v>10300000</v>
      </c>
      <c r="AC24" s="102">
        <v>0</v>
      </c>
      <c r="AD24" s="156">
        <v>5577000</v>
      </c>
      <c r="AE24" s="112" t="s">
        <v>393</v>
      </c>
      <c r="AF24" s="112" t="s">
        <v>79</v>
      </c>
      <c r="AG24" s="113"/>
      <c r="AH24" s="112">
        <v>60195282024</v>
      </c>
      <c r="AI24" s="112" t="s">
        <v>292</v>
      </c>
      <c r="AJ24" s="112" t="s">
        <v>304</v>
      </c>
      <c r="AK24" s="18" t="s">
        <v>293</v>
      </c>
      <c r="AL24" s="8">
        <v>14</v>
      </c>
      <c r="AM24" s="2">
        <v>12</v>
      </c>
      <c r="AN24" s="48"/>
      <c r="AO24" t="s">
        <v>767</v>
      </c>
    </row>
    <row r="25" spans="1:41" ht="24" x14ac:dyDescent="0.3">
      <c r="A25" s="4">
        <v>22</v>
      </c>
      <c r="B25" s="2" t="s">
        <v>529</v>
      </c>
      <c r="C25" s="2" t="s">
        <v>15</v>
      </c>
      <c r="D25" s="2">
        <v>106.650854</v>
      </c>
      <c r="E25" s="2">
        <v>10.898777000000001</v>
      </c>
      <c r="F25" s="2" t="s">
        <v>372</v>
      </c>
      <c r="G25" s="2" t="s">
        <v>355</v>
      </c>
      <c r="H25" s="34" t="s">
        <v>899</v>
      </c>
      <c r="I25" s="35" t="s">
        <v>899</v>
      </c>
      <c r="J25" s="20">
        <v>44703</v>
      </c>
      <c r="K25" s="20">
        <f t="shared" si="1"/>
        <v>46528</v>
      </c>
      <c r="L25" s="34" t="s">
        <v>174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2" t="s">
        <v>1166</v>
      </c>
      <c r="Z25" s="93">
        <v>5000000</v>
      </c>
      <c r="AA25" s="18" t="s">
        <v>391</v>
      </c>
      <c r="AB25" s="95">
        <v>12600000</v>
      </c>
      <c r="AC25" s="102">
        <v>7400000</v>
      </c>
      <c r="AD25" s="156">
        <v>7700000.0000000009</v>
      </c>
      <c r="AE25" s="112" t="s">
        <v>373</v>
      </c>
      <c r="AF25" s="113" t="s">
        <v>77</v>
      </c>
      <c r="AG25" s="113"/>
      <c r="AH25" s="114" t="s">
        <v>374</v>
      </c>
      <c r="AI25" s="112" t="s">
        <v>375</v>
      </c>
      <c r="AJ25" s="112" t="s">
        <v>376</v>
      </c>
      <c r="AK25" s="18" t="s">
        <v>377</v>
      </c>
      <c r="AL25" s="8">
        <v>0</v>
      </c>
      <c r="AM25" s="2">
        <v>33</v>
      </c>
      <c r="AN25" s="48"/>
      <c r="AO25" t="s">
        <v>767</v>
      </c>
    </row>
    <row r="26" spans="1:41" ht="60" x14ac:dyDescent="0.3">
      <c r="A26" s="4">
        <v>23</v>
      </c>
      <c r="B26" s="2" t="s">
        <v>106</v>
      </c>
      <c r="C26" s="2" t="s">
        <v>378</v>
      </c>
      <c r="D26" s="2">
        <v>106.76311</v>
      </c>
      <c r="E26" s="2">
        <v>10.832050000000001</v>
      </c>
      <c r="F26" s="2" t="s">
        <v>379</v>
      </c>
      <c r="G26" s="2" t="s">
        <v>355</v>
      </c>
      <c r="H26" s="27" t="s">
        <v>895</v>
      </c>
      <c r="I26" s="25" t="s">
        <v>895</v>
      </c>
      <c r="J26" s="20">
        <v>44696</v>
      </c>
      <c r="K26" s="20">
        <f t="shared" si="1"/>
        <v>46521</v>
      </c>
      <c r="L26" s="34" t="s">
        <v>174</v>
      </c>
      <c r="M26" s="98">
        <v>44713</v>
      </c>
      <c r="N26" s="27" t="s">
        <v>407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2" t="s">
        <v>1167</v>
      </c>
      <c r="Z26" s="18" t="s">
        <v>414</v>
      </c>
      <c r="AA26" s="18" t="s">
        <v>158</v>
      </c>
      <c r="AB26" s="95">
        <v>11200000</v>
      </c>
      <c r="AC26" s="102">
        <v>0</v>
      </c>
      <c r="AD26" s="156">
        <v>0</v>
      </c>
      <c r="AE26" s="112" t="s">
        <v>380</v>
      </c>
      <c r="AF26" s="113" t="s">
        <v>77</v>
      </c>
      <c r="AG26" s="113"/>
      <c r="AH26" s="114" t="s">
        <v>634</v>
      </c>
      <c r="AI26" s="112" t="s">
        <v>633</v>
      </c>
      <c r="AJ26" s="112" t="s">
        <v>632</v>
      </c>
      <c r="AK26" s="18" t="s">
        <v>381</v>
      </c>
      <c r="AL26" s="8">
        <v>14.5</v>
      </c>
      <c r="AM26" s="2">
        <v>9</v>
      </c>
      <c r="AN26" s="48"/>
      <c r="AO26" t="s">
        <v>767</v>
      </c>
    </row>
    <row r="27" spans="1:41" ht="24" x14ac:dyDescent="0.3">
      <c r="A27" s="4">
        <v>24</v>
      </c>
      <c r="B27" s="8" t="s">
        <v>382</v>
      </c>
      <c r="C27" s="2" t="s">
        <v>156</v>
      </c>
      <c r="D27" s="2">
        <v>106.6554</v>
      </c>
      <c r="E27" s="2">
        <v>10.798572</v>
      </c>
      <c r="F27" s="2" t="s">
        <v>384</v>
      </c>
      <c r="G27" s="27" t="s">
        <v>895</v>
      </c>
      <c r="H27" s="34" t="s">
        <v>899</v>
      </c>
      <c r="I27" s="25" t="s">
        <v>895</v>
      </c>
      <c r="J27" s="97" t="s">
        <v>901</v>
      </c>
      <c r="K27" s="97" t="s">
        <v>901</v>
      </c>
      <c r="L27" s="34" t="s">
        <v>174</v>
      </c>
      <c r="M27" s="27" t="s">
        <v>412</v>
      </c>
      <c r="N27" s="27" t="s">
        <v>412</v>
      </c>
      <c r="O27" s="27" t="s">
        <v>412</v>
      </c>
      <c r="P27" s="27" t="s">
        <v>412</v>
      </c>
      <c r="Q27" s="18"/>
      <c r="R27" s="27" t="s">
        <v>407</v>
      </c>
      <c r="S27" s="48"/>
      <c r="T27" s="48"/>
      <c r="U27" s="48"/>
      <c r="V27" s="48"/>
      <c r="W27" s="48"/>
      <c r="X27" s="48"/>
      <c r="Y27" s="2" t="s">
        <v>1168</v>
      </c>
      <c r="Z27" s="18" t="s">
        <v>413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380</v>
      </c>
      <c r="AF27" s="112" t="s">
        <v>79</v>
      </c>
      <c r="AG27" s="113"/>
      <c r="AH27" s="112" t="s">
        <v>351</v>
      </c>
      <c r="AI27" s="112" t="s">
        <v>385</v>
      </c>
      <c r="AJ27" s="112" t="s">
        <v>351</v>
      </c>
      <c r="AK27" s="18" t="s">
        <v>386</v>
      </c>
      <c r="AL27" s="8" t="s">
        <v>336</v>
      </c>
      <c r="AM27" s="2" t="s">
        <v>336</v>
      </c>
      <c r="AN27" s="48"/>
      <c r="AO27" t="s">
        <v>767</v>
      </c>
    </row>
    <row r="28" spans="1:41" ht="36" x14ac:dyDescent="0.3">
      <c r="A28" s="4">
        <v>25</v>
      </c>
      <c r="B28" s="8" t="s">
        <v>383</v>
      </c>
      <c r="C28" s="2" t="s">
        <v>66</v>
      </c>
      <c r="D28" s="2">
        <v>106.68662999999999</v>
      </c>
      <c r="E28" s="2">
        <v>10.821289999999999</v>
      </c>
      <c r="F28" s="2" t="s">
        <v>388</v>
      </c>
      <c r="G28" s="27" t="s">
        <v>895</v>
      </c>
      <c r="H28" s="34" t="s">
        <v>899</v>
      </c>
      <c r="I28" s="25" t="s">
        <v>895</v>
      </c>
      <c r="J28" s="20">
        <v>44697</v>
      </c>
      <c r="K28" s="20">
        <f t="shared" si="1"/>
        <v>46522</v>
      </c>
      <c r="L28" s="34" t="s">
        <v>174</v>
      </c>
      <c r="M28" s="27" t="s">
        <v>412</v>
      </c>
      <c r="N28" s="27" t="s">
        <v>412</v>
      </c>
      <c r="O28" s="27" t="s">
        <v>412</v>
      </c>
      <c r="P28" s="27" t="s">
        <v>412</v>
      </c>
      <c r="Q28" s="18"/>
      <c r="R28" s="27" t="s">
        <v>407</v>
      </c>
      <c r="S28" s="48"/>
      <c r="T28" s="48"/>
      <c r="U28" s="48"/>
      <c r="V28" s="48"/>
      <c r="W28" s="48"/>
      <c r="X28" s="48"/>
      <c r="Y28" s="2" t="s">
        <v>1169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380</v>
      </c>
      <c r="AF28" s="113" t="s">
        <v>77</v>
      </c>
      <c r="AG28" s="113"/>
      <c r="AH28" s="114" t="s">
        <v>1163</v>
      </c>
      <c r="AI28" s="112" t="s">
        <v>389</v>
      </c>
      <c r="AJ28" s="112" t="s">
        <v>390</v>
      </c>
      <c r="AK28" s="18" t="s">
        <v>387</v>
      </c>
      <c r="AL28" s="8" t="s">
        <v>336</v>
      </c>
      <c r="AM28" s="2">
        <v>12</v>
      </c>
      <c r="AN28" s="48"/>
      <c r="AO28" t="s">
        <v>767</v>
      </c>
    </row>
    <row r="29" spans="1:41" ht="24" x14ac:dyDescent="0.3">
      <c r="A29" s="4">
        <v>26</v>
      </c>
      <c r="B29" s="155" t="s">
        <v>394</v>
      </c>
      <c r="C29" s="2" t="s">
        <v>396</v>
      </c>
      <c r="D29" s="2">
        <v>106.46045119999999</v>
      </c>
      <c r="E29" s="2">
        <v>10.9983042</v>
      </c>
      <c r="F29" s="2" t="s">
        <v>397</v>
      </c>
      <c r="G29" s="34" t="s">
        <v>355</v>
      </c>
      <c r="H29" s="34" t="s">
        <v>899</v>
      </c>
      <c r="I29" s="25" t="s">
        <v>895</v>
      </c>
      <c r="J29" s="20">
        <v>44707</v>
      </c>
      <c r="K29" s="20">
        <f t="shared" si="1"/>
        <v>46532</v>
      </c>
      <c r="L29" s="34" t="s">
        <v>174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2" t="s">
        <v>1170</v>
      </c>
      <c r="Z29" s="18" t="s">
        <v>415</v>
      </c>
      <c r="AA29" s="18" t="s">
        <v>62</v>
      </c>
      <c r="AB29" s="95">
        <v>12600000</v>
      </c>
      <c r="AC29" s="102">
        <v>0</v>
      </c>
      <c r="AD29" s="102" t="s">
        <v>901</v>
      </c>
      <c r="AE29" s="112" t="s">
        <v>380</v>
      </c>
      <c r="AF29" s="113" t="s">
        <v>77</v>
      </c>
      <c r="AG29" s="113"/>
      <c r="AH29" s="114" t="s">
        <v>399</v>
      </c>
      <c r="AI29" s="112" t="s">
        <v>398</v>
      </c>
      <c r="AJ29" s="112" t="s">
        <v>400</v>
      </c>
      <c r="AK29" s="18" t="s">
        <v>401</v>
      </c>
      <c r="AL29" s="8">
        <v>0</v>
      </c>
      <c r="AM29" s="2">
        <v>33</v>
      </c>
      <c r="AN29" s="48"/>
      <c r="AO29" t="s">
        <v>767</v>
      </c>
    </row>
    <row r="30" spans="1:41" ht="24" x14ac:dyDescent="0.3">
      <c r="A30" s="4">
        <v>27</v>
      </c>
      <c r="B30" s="2" t="s">
        <v>402</v>
      </c>
      <c r="C30" s="2" t="s">
        <v>403</v>
      </c>
      <c r="D30" s="2">
        <v>106.704082</v>
      </c>
      <c r="E30" s="2">
        <v>10.758376</v>
      </c>
      <c r="F30" s="2" t="s">
        <v>404</v>
      </c>
      <c r="G30" s="34" t="s">
        <v>355</v>
      </c>
      <c r="H30" s="27" t="s">
        <v>895</v>
      </c>
      <c r="I30" s="25" t="s">
        <v>895</v>
      </c>
      <c r="J30" s="20">
        <v>44727</v>
      </c>
      <c r="K30" s="20">
        <f t="shared" si="1"/>
        <v>46552</v>
      </c>
      <c r="L30" s="34" t="s">
        <v>174</v>
      </c>
      <c r="M30" s="124">
        <v>44757</v>
      </c>
      <c r="N30" s="27" t="s">
        <v>407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2" t="s">
        <v>418</v>
      </c>
      <c r="Z30" s="18" t="s">
        <v>416</v>
      </c>
      <c r="AA30" s="18" t="s">
        <v>147</v>
      </c>
      <c r="AB30" s="95">
        <v>10700000</v>
      </c>
      <c r="AC30" s="102">
        <v>0</v>
      </c>
      <c r="AD30" s="156">
        <v>0</v>
      </c>
      <c r="AE30" s="112" t="s">
        <v>460</v>
      </c>
      <c r="AF30" s="113" t="s">
        <v>77</v>
      </c>
      <c r="AG30" s="113"/>
      <c r="AH30" s="114" t="s">
        <v>409</v>
      </c>
      <c r="AI30" s="112" t="s">
        <v>408</v>
      </c>
      <c r="AJ30" s="112" t="s">
        <v>410</v>
      </c>
      <c r="AK30" s="18" t="s">
        <v>405</v>
      </c>
      <c r="AL30" s="8">
        <v>12.5</v>
      </c>
      <c r="AM30" s="2">
        <v>12</v>
      </c>
      <c r="AN30" s="48"/>
      <c r="AO30" t="s">
        <v>767</v>
      </c>
    </row>
    <row r="31" spans="1:41" ht="24" x14ac:dyDescent="0.3">
      <c r="A31" s="4">
        <v>28</v>
      </c>
      <c r="B31" s="103" t="s">
        <v>422</v>
      </c>
      <c r="C31" s="103" t="s">
        <v>117</v>
      </c>
      <c r="D31" s="103">
        <v>106.5466876</v>
      </c>
      <c r="E31" s="103">
        <v>10.7735138</v>
      </c>
      <c r="F31" s="103" t="s">
        <v>423</v>
      </c>
      <c r="G31" s="104" t="s">
        <v>355</v>
      </c>
      <c r="H31" s="34" t="s">
        <v>899</v>
      </c>
      <c r="I31" s="25" t="s">
        <v>895</v>
      </c>
      <c r="J31" s="106">
        <v>46023</v>
      </c>
      <c r="K31" s="20">
        <f t="shared" si="1"/>
        <v>47848</v>
      </c>
      <c r="L31" s="34" t="s">
        <v>174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2" t="s">
        <v>1171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425</v>
      </c>
      <c r="AF31" s="116" t="s">
        <v>79</v>
      </c>
      <c r="AG31" s="117"/>
      <c r="AH31" s="118" t="s">
        <v>426</v>
      </c>
      <c r="AI31" s="116" t="s">
        <v>424</v>
      </c>
      <c r="AJ31" s="116" t="s">
        <v>170</v>
      </c>
      <c r="AK31" s="108" t="s">
        <v>427</v>
      </c>
      <c r="AL31" s="111">
        <v>12</v>
      </c>
      <c r="AM31" s="103">
        <v>12</v>
      </c>
      <c r="AN31" s="107"/>
      <c r="AO31" t="s">
        <v>767</v>
      </c>
    </row>
    <row r="32" spans="1:41" ht="24" x14ac:dyDescent="0.3">
      <c r="A32" s="4">
        <v>29</v>
      </c>
      <c r="B32" s="2" t="s">
        <v>428</v>
      </c>
      <c r="C32" s="2" t="s">
        <v>15</v>
      </c>
      <c r="D32" s="2">
        <v>106.5781636</v>
      </c>
      <c r="E32" s="2">
        <v>10.854782500000001</v>
      </c>
      <c r="F32" s="2" t="s">
        <v>429</v>
      </c>
      <c r="G32" s="34" t="s">
        <v>356</v>
      </c>
      <c r="H32" s="27" t="s">
        <v>895</v>
      </c>
      <c r="I32" s="25" t="s">
        <v>895</v>
      </c>
      <c r="J32" s="20">
        <v>44772</v>
      </c>
      <c r="K32" s="20">
        <f t="shared" si="1"/>
        <v>46597</v>
      </c>
      <c r="L32" s="34" t="s">
        <v>174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2" t="s">
        <v>914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380</v>
      </c>
      <c r="AF32" s="113" t="s">
        <v>77</v>
      </c>
      <c r="AG32" s="113"/>
      <c r="AH32" s="114" t="s">
        <v>438</v>
      </c>
      <c r="AI32" s="112" t="s">
        <v>437</v>
      </c>
      <c r="AJ32" s="112" t="s">
        <v>435</v>
      </c>
      <c r="AK32" s="18" t="s">
        <v>439</v>
      </c>
      <c r="AL32" s="8">
        <v>12</v>
      </c>
      <c r="AM32" s="2">
        <v>6</v>
      </c>
      <c r="AN32" s="48"/>
      <c r="AO32" t="s">
        <v>767</v>
      </c>
    </row>
    <row r="33" spans="1:42" s="123" customFormat="1" ht="24" x14ac:dyDescent="0.3">
      <c r="A33" s="4">
        <v>30</v>
      </c>
      <c r="B33" s="2" t="s">
        <v>430</v>
      </c>
      <c r="C33" s="2" t="s">
        <v>107</v>
      </c>
      <c r="D33" s="2">
        <v>106.73014000000001</v>
      </c>
      <c r="E33" s="2">
        <v>10.886240000000001</v>
      </c>
      <c r="F33" s="2" t="s">
        <v>431</v>
      </c>
      <c r="G33" s="34" t="s">
        <v>355</v>
      </c>
      <c r="H33" s="27" t="s">
        <v>895</v>
      </c>
      <c r="I33" s="34" t="s">
        <v>899</v>
      </c>
      <c r="J33" s="98">
        <v>44774</v>
      </c>
      <c r="K33" s="20">
        <f t="shared" si="1"/>
        <v>46599</v>
      </c>
      <c r="L33" s="34" t="s">
        <v>174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1172</v>
      </c>
      <c r="Z33" s="102" t="s">
        <v>433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380</v>
      </c>
      <c r="AF33" s="112" t="s">
        <v>79</v>
      </c>
      <c r="AG33" s="120"/>
      <c r="AH33" s="121" t="s">
        <v>434</v>
      </c>
      <c r="AI33" s="119" t="s">
        <v>432</v>
      </c>
      <c r="AJ33" s="112" t="s">
        <v>435</v>
      </c>
      <c r="AK33" s="2" t="s">
        <v>436</v>
      </c>
      <c r="AL33" s="8">
        <v>13</v>
      </c>
      <c r="AM33" s="2">
        <v>12</v>
      </c>
      <c r="AN33" s="48"/>
      <c r="AO33" t="s">
        <v>767</v>
      </c>
      <c r="AP33" s="122"/>
    </row>
    <row r="34" spans="1:42" s="123" customFormat="1" ht="36" x14ac:dyDescent="0.3">
      <c r="A34" s="4">
        <v>31</v>
      </c>
      <c r="B34" s="2" t="s">
        <v>342</v>
      </c>
      <c r="C34" s="2" t="s">
        <v>15</v>
      </c>
      <c r="D34" s="2">
        <v>106.58684599999999</v>
      </c>
      <c r="E34" s="2">
        <v>10.848431</v>
      </c>
      <c r="F34" s="2" t="s">
        <v>449</v>
      </c>
      <c r="G34" s="34" t="s">
        <v>355</v>
      </c>
      <c r="H34" s="27" t="s">
        <v>895</v>
      </c>
      <c r="I34" s="25" t="s">
        <v>895</v>
      </c>
      <c r="J34" s="98">
        <v>44781</v>
      </c>
      <c r="K34" s="20">
        <f t="shared" si="1"/>
        <v>46606</v>
      </c>
      <c r="L34" s="34" t="s">
        <v>174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915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450</v>
      </c>
      <c r="AF34" s="113" t="s">
        <v>77</v>
      </c>
      <c r="AG34" s="120"/>
      <c r="AH34" s="121" t="s">
        <v>487</v>
      </c>
      <c r="AI34" s="119" t="s">
        <v>488</v>
      </c>
      <c r="AJ34" s="112" t="s">
        <v>410</v>
      </c>
      <c r="AK34" s="2" t="s">
        <v>347</v>
      </c>
      <c r="AL34" s="2">
        <v>12</v>
      </c>
      <c r="AM34" s="2">
        <v>12</v>
      </c>
      <c r="AN34" s="48"/>
      <c r="AO34" t="s">
        <v>767</v>
      </c>
      <c r="AP34" s="122"/>
    </row>
    <row r="35" spans="1:42" s="123" customFormat="1" ht="24" x14ac:dyDescent="0.3">
      <c r="A35" s="4">
        <v>32</v>
      </c>
      <c r="B35" s="2" t="s">
        <v>451</v>
      </c>
      <c r="C35" s="2" t="s">
        <v>32</v>
      </c>
      <c r="D35" s="2">
        <v>106.720461</v>
      </c>
      <c r="E35" s="2">
        <v>10.801625</v>
      </c>
      <c r="F35" s="2" t="s">
        <v>452</v>
      </c>
      <c r="G35" s="34" t="s">
        <v>355</v>
      </c>
      <c r="H35" s="27" t="s">
        <v>895</v>
      </c>
      <c r="I35" s="25" t="s">
        <v>895</v>
      </c>
      <c r="J35" s="98">
        <v>44784</v>
      </c>
      <c r="K35" s="20">
        <f t="shared" si="1"/>
        <v>46609</v>
      </c>
      <c r="L35" s="34" t="s">
        <v>174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1173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380</v>
      </c>
      <c r="AF35" s="113" t="s">
        <v>77</v>
      </c>
      <c r="AG35" s="120"/>
      <c r="AH35" s="121" t="s">
        <v>454</v>
      </c>
      <c r="AI35" s="119" t="s">
        <v>453</v>
      </c>
      <c r="AJ35" s="112" t="s">
        <v>455</v>
      </c>
      <c r="AK35" s="2" t="s">
        <v>456</v>
      </c>
      <c r="AL35" s="2">
        <v>12</v>
      </c>
      <c r="AM35" s="2">
        <v>12</v>
      </c>
      <c r="AN35" s="48"/>
      <c r="AO35" t="s">
        <v>767</v>
      </c>
      <c r="AP35" s="122"/>
    </row>
    <row r="36" spans="1:42" s="123" customFormat="1" ht="24" x14ac:dyDescent="0.3">
      <c r="A36" s="4">
        <v>33</v>
      </c>
      <c r="B36" s="2" t="s">
        <v>457</v>
      </c>
      <c r="C36" s="2" t="s">
        <v>396</v>
      </c>
      <c r="D36" s="2">
        <v>106.5579609</v>
      </c>
      <c r="E36" s="2">
        <v>10.9276526</v>
      </c>
      <c r="F36" s="2" t="s">
        <v>458</v>
      </c>
      <c r="G36" s="34" t="s">
        <v>356</v>
      </c>
      <c r="H36" s="27" t="s">
        <v>895</v>
      </c>
      <c r="I36" s="34" t="s">
        <v>899</v>
      </c>
      <c r="J36" s="98">
        <v>44774</v>
      </c>
      <c r="K36" s="20">
        <f t="shared" si="1"/>
        <v>46599</v>
      </c>
      <c r="L36" s="34" t="s">
        <v>174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459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380</v>
      </c>
      <c r="AF36" s="113" t="s">
        <v>77</v>
      </c>
      <c r="AG36" s="120"/>
      <c r="AH36" s="121" t="s">
        <v>512</v>
      </c>
      <c r="AI36" s="119" t="s">
        <v>513</v>
      </c>
      <c r="AJ36" s="112" t="s">
        <v>514</v>
      </c>
      <c r="AK36" s="2" t="s">
        <v>515</v>
      </c>
      <c r="AL36" s="2">
        <v>25</v>
      </c>
      <c r="AM36" s="2">
        <v>4</v>
      </c>
      <c r="AN36" s="48"/>
      <c r="AO36" t="s">
        <v>767</v>
      </c>
      <c r="AP36" s="122"/>
    </row>
    <row r="37" spans="1:42" s="123" customFormat="1" ht="24" x14ac:dyDescent="0.3">
      <c r="A37" s="4">
        <v>34</v>
      </c>
      <c r="B37" s="2" t="s">
        <v>463</v>
      </c>
      <c r="C37" s="2" t="s">
        <v>290</v>
      </c>
      <c r="D37" s="2">
        <v>106.64084200000001</v>
      </c>
      <c r="E37" s="2">
        <v>10.874141</v>
      </c>
      <c r="F37" s="2" t="s">
        <v>464</v>
      </c>
      <c r="G37" s="34" t="s">
        <v>355</v>
      </c>
      <c r="H37" s="27" t="s">
        <v>895</v>
      </c>
      <c r="I37" s="25" t="s">
        <v>895</v>
      </c>
      <c r="J37" s="98">
        <v>44826</v>
      </c>
      <c r="K37" s="20">
        <f t="shared" si="1"/>
        <v>46651</v>
      </c>
      <c r="L37" s="34" t="s">
        <v>174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903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465</v>
      </c>
      <c r="AI37" s="119" t="s">
        <v>466</v>
      </c>
      <c r="AJ37" s="112" t="s">
        <v>467</v>
      </c>
      <c r="AK37" s="2" t="s">
        <v>468</v>
      </c>
      <c r="AL37" s="2">
        <v>13</v>
      </c>
      <c r="AM37" s="2">
        <v>12</v>
      </c>
      <c r="AN37" s="48"/>
      <c r="AO37" t="s">
        <v>767</v>
      </c>
      <c r="AP37" s="122"/>
    </row>
    <row r="38" spans="1:42" s="123" customFormat="1" ht="24" x14ac:dyDescent="0.3">
      <c r="A38" s="4">
        <v>35</v>
      </c>
      <c r="B38" s="2" t="s">
        <v>469</v>
      </c>
      <c r="C38" s="2" t="s">
        <v>470</v>
      </c>
      <c r="D38" s="2">
        <v>106.619451</v>
      </c>
      <c r="E38" s="2">
        <v>10.787967</v>
      </c>
      <c r="F38" s="2" t="s">
        <v>471</v>
      </c>
      <c r="G38" s="34" t="s">
        <v>355</v>
      </c>
      <c r="H38" s="27" t="s">
        <v>895</v>
      </c>
      <c r="I38" s="25" t="s">
        <v>895</v>
      </c>
      <c r="J38" s="98">
        <v>44828</v>
      </c>
      <c r="K38" s="20">
        <f t="shared" si="1"/>
        <v>46653</v>
      </c>
      <c r="L38" s="34" t="s">
        <v>174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1174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472</v>
      </c>
      <c r="AI38" s="119" t="s">
        <v>473</v>
      </c>
      <c r="AJ38" s="112" t="s">
        <v>114</v>
      </c>
      <c r="AK38" s="2" t="s">
        <v>474</v>
      </c>
      <c r="AL38" s="2">
        <v>15</v>
      </c>
      <c r="AM38" s="2">
        <v>12</v>
      </c>
      <c r="AN38" s="48"/>
      <c r="AO38" t="s">
        <v>767</v>
      </c>
      <c r="AP38" s="122"/>
    </row>
    <row r="39" spans="1:42" s="123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475</v>
      </c>
      <c r="G39" s="34" t="s">
        <v>355</v>
      </c>
      <c r="H39" s="27" t="s">
        <v>895</v>
      </c>
      <c r="I39" s="25" t="s">
        <v>895</v>
      </c>
      <c r="J39" s="98">
        <v>44813</v>
      </c>
      <c r="K39" s="20">
        <f t="shared" si="1"/>
        <v>46638</v>
      </c>
      <c r="L39" s="34" t="s">
        <v>174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1175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476</v>
      </c>
      <c r="AI39" s="119" t="s">
        <v>477</v>
      </c>
      <c r="AJ39" s="112" t="s">
        <v>478</v>
      </c>
      <c r="AK39" s="2" t="s">
        <v>479</v>
      </c>
      <c r="AL39" s="2">
        <v>13.5</v>
      </c>
      <c r="AM39" s="2">
        <v>6</v>
      </c>
      <c r="AN39" s="48"/>
      <c r="AO39" t="s">
        <v>767</v>
      </c>
      <c r="AP39" s="122"/>
    </row>
    <row r="40" spans="1:42" s="123" customFormat="1" ht="24" x14ac:dyDescent="0.3">
      <c r="A40" s="4">
        <v>37</v>
      </c>
      <c r="B40" s="2" t="s">
        <v>480</v>
      </c>
      <c r="C40" s="2" t="s">
        <v>229</v>
      </c>
      <c r="D40" s="2">
        <v>106.59792899999999</v>
      </c>
      <c r="E40" s="2">
        <v>10.821275999999999</v>
      </c>
      <c r="F40" s="2" t="s">
        <v>481</v>
      </c>
      <c r="G40" s="34" t="s">
        <v>355</v>
      </c>
      <c r="H40" s="27" t="s">
        <v>895</v>
      </c>
      <c r="I40" s="25" t="s">
        <v>895</v>
      </c>
      <c r="J40" s="98">
        <v>44835</v>
      </c>
      <c r="K40" s="20">
        <f t="shared" si="1"/>
        <v>46660</v>
      </c>
      <c r="L40" s="34" t="s">
        <v>174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904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482</v>
      </c>
      <c r="AI40" s="119" t="s">
        <v>484</v>
      </c>
      <c r="AJ40" s="112" t="s">
        <v>483</v>
      </c>
      <c r="AK40" s="2" t="s">
        <v>485</v>
      </c>
      <c r="AL40" s="2">
        <v>12.5</v>
      </c>
      <c r="AM40" s="2">
        <v>12</v>
      </c>
      <c r="AN40" s="48"/>
      <c r="AO40" t="s">
        <v>767</v>
      </c>
      <c r="AP40" s="122"/>
    </row>
    <row r="41" spans="1:42" s="123" customFormat="1" ht="24" x14ac:dyDescent="0.3">
      <c r="A41" s="4">
        <v>38</v>
      </c>
      <c r="B41" s="2" t="s">
        <v>495</v>
      </c>
      <c r="C41" s="2" t="s">
        <v>32</v>
      </c>
      <c r="D41" s="2">
        <v>106.687494</v>
      </c>
      <c r="E41" s="2">
        <v>10.810822</v>
      </c>
      <c r="F41" s="2" t="s">
        <v>496</v>
      </c>
      <c r="G41" s="34" t="s">
        <v>355</v>
      </c>
      <c r="H41" s="27" t="s">
        <v>895</v>
      </c>
      <c r="I41" s="25" t="s">
        <v>895</v>
      </c>
      <c r="J41" s="98">
        <v>44859</v>
      </c>
      <c r="K41" s="20">
        <f t="shared" si="1"/>
        <v>46684</v>
      </c>
      <c r="L41" s="34" t="s">
        <v>174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1176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497</v>
      </c>
      <c r="AI41" s="119" t="s">
        <v>499</v>
      </c>
      <c r="AJ41" s="112" t="s">
        <v>498</v>
      </c>
      <c r="AK41" s="2" t="s">
        <v>500</v>
      </c>
      <c r="AL41" s="2">
        <v>17</v>
      </c>
      <c r="AM41" s="2">
        <v>6</v>
      </c>
      <c r="AN41" s="48"/>
      <c r="AO41" t="s">
        <v>767</v>
      </c>
      <c r="AP41" s="122"/>
    </row>
    <row r="42" spans="1:42" s="123" customFormat="1" ht="36" x14ac:dyDescent="0.3">
      <c r="A42" s="4">
        <v>39</v>
      </c>
      <c r="B42" s="2" t="s">
        <v>494</v>
      </c>
      <c r="C42" s="2" t="s">
        <v>32</v>
      </c>
      <c r="D42" s="2">
        <v>106.719729</v>
      </c>
      <c r="E42" s="2">
        <v>10.806206</v>
      </c>
      <c r="F42" s="2" t="s">
        <v>501</v>
      </c>
      <c r="G42" s="34" t="s">
        <v>355</v>
      </c>
      <c r="H42" s="27" t="s">
        <v>895</v>
      </c>
      <c r="I42" s="25" t="s">
        <v>895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1177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510</v>
      </c>
      <c r="AI42" s="119" t="s">
        <v>502</v>
      </c>
      <c r="AJ42" s="112" t="s">
        <v>503</v>
      </c>
      <c r="AK42" s="2" t="s">
        <v>504</v>
      </c>
      <c r="AL42" s="2">
        <v>35.799999999999997</v>
      </c>
      <c r="AM42" s="2">
        <v>6</v>
      </c>
      <c r="AN42" s="48"/>
      <c r="AO42" t="s">
        <v>767</v>
      </c>
      <c r="AP42" s="122"/>
    </row>
    <row r="43" spans="1:42" s="123" customFormat="1" ht="24" x14ac:dyDescent="0.3">
      <c r="A43" s="4">
        <v>40</v>
      </c>
      <c r="B43" s="2" t="s">
        <v>486</v>
      </c>
      <c r="C43" s="2" t="s">
        <v>66</v>
      </c>
      <c r="D43" s="2">
        <v>106.697784</v>
      </c>
      <c r="E43" s="2">
        <v>10.826632999999999</v>
      </c>
      <c r="F43" s="2" t="s">
        <v>505</v>
      </c>
      <c r="G43" s="34" t="s">
        <v>356</v>
      </c>
      <c r="H43" s="27" t="s">
        <v>895</v>
      </c>
      <c r="I43" s="34" t="s">
        <v>899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1178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507</v>
      </c>
      <c r="AI43" s="119" t="s">
        <v>506</v>
      </c>
      <c r="AJ43" s="112" t="s">
        <v>508</v>
      </c>
      <c r="AK43" s="2" t="s">
        <v>509</v>
      </c>
      <c r="AL43" s="2">
        <v>23</v>
      </c>
      <c r="AM43" s="2">
        <v>6</v>
      </c>
      <c r="AN43" s="48"/>
      <c r="AO43" t="s">
        <v>767</v>
      </c>
      <c r="AP43" s="122"/>
    </row>
    <row r="44" spans="1:42" s="123" customFormat="1" ht="36" x14ac:dyDescent="0.3">
      <c r="A44" s="4">
        <v>41</v>
      </c>
      <c r="B44" s="2" t="s">
        <v>543</v>
      </c>
      <c r="C44" s="2" t="s">
        <v>378</v>
      </c>
      <c r="D44" s="2">
        <v>106.80708300000001</v>
      </c>
      <c r="E44" s="2">
        <v>10.852672999999999</v>
      </c>
      <c r="F44" s="2" t="s">
        <v>544</v>
      </c>
      <c r="G44" s="34" t="s">
        <v>355</v>
      </c>
      <c r="H44" s="27" t="s">
        <v>895</v>
      </c>
      <c r="I44" s="25" t="s">
        <v>895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1179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545</v>
      </c>
      <c r="AI44" s="119" t="s">
        <v>546</v>
      </c>
      <c r="AJ44" s="112" t="s">
        <v>194</v>
      </c>
      <c r="AK44" s="2" t="s">
        <v>547</v>
      </c>
      <c r="AL44" s="2">
        <v>14</v>
      </c>
      <c r="AM44" s="2">
        <v>9</v>
      </c>
      <c r="AN44" s="48"/>
      <c r="AO44" t="s">
        <v>768</v>
      </c>
      <c r="AP44" s="122"/>
    </row>
    <row r="45" spans="1:42" s="123" customFormat="1" ht="24" x14ac:dyDescent="0.3">
      <c r="A45" s="4">
        <v>42</v>
      </c>
      <c r="B45" s="2" t="s">
        <v>552</v>
      </c>
      <c r="C45" s="2" t="s">
        <v>229</v>
      </c>
      <c r="D45" s="2">
        <v>106.58574299999999</v>
      </c>
      <c r="E45" s="2">
        <v>10.793623999999999</v>
      </c>
      <c r="F45" s="2" t="s">
        <v>553</v>
      </c>
      <c r="G45" s="34" t="s">
        <v>355</v>
      </c>
      <c r="H45" s="27" t="s">
        <v>895</v>
      </c>
      <c r="I45" s="25" t="s">
        <v>895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1180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554</v>
      </c>
      <c r="AI45" s="119" t="s">
        <v>555</v>
      </c>
      <c r="AJ45" s="112" t="s">
        <v>170</v>
      </c>
      <c r="AK45" s="2" t="s">
        <v>556</v>
      </c>
      <c r="AL45" s="2">
        <v>12.5</v>
      </c>
      <c r="AM45" s="2">
        <v>12</v>
      </c>
      <c r="AN45" s="48"/>
      <c r="AO45" t="s">
        <v>768</v>
      </c>
      <c r="AP45" s="122"/>
    </row>
    <row r="46" spans="1:42" s="123" customFormat="1" ht="24" x14ac:dyDescent="0.3">
      <c r="A46" s="4">
        <v>43</v>
      </c>
      <c r="B46" s="155" t="s">
        <v>559</v>
      </c>
      <c r="C46" s="2" t="s">
        <v>558</v>
      </c>
      <c r="D46" s="2">
        <v>106.67829</v>
      </c>
      <c r="E46" s="2">
        <v>10.7887</v>
      </c>
      <c r="F46" s="2" t="s">
        <v>557</v>
      </c>
      <c r="G46" s="34" t="s">
        <v>356</v>
      </c>
      <c r="H46" s="27" t="s">
        <v>895</v>
      </c>
      <c r="I46" s="25" t="s">
        <v>895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1170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562</v>
      </c>
      <c r="AI46" s="119" t="s">
        <v>561</v>
      </c>
      <c r="AJ46" s="112" t="s">
        <v>400</v>
      </c>
      <c r="AK46" s="2" t="s">
        <v>560</v>
      </c>
      <c r="AL46" s="2">
        <v>14</v>
      </c>
      <c r="AM46" s="2">
        <v>6</v>
      </c>
      <c r="AN46" s="48"/>
      <c r="AO46" t="s">
        <v>768</v>
      </c>
      <c r="AP46" s="122"/>
    </row>
    <row r="47" spans="1:42" s="123" customFormat="1" ht="24" x14ac:dyDescent="0.3">
      <c r="A47" s="4">
        <v>44</v>
      </c>
      <c r="B47" s="155" t="s">
        <v>1142</v>
      </c>
      <c r="C47" s="2" t="s">
        <v>32</v>
      </c>
      <c r="D47" s="2">
        <v>106.71091</v>
      </c>
      <c r="E47" s="2">
        <v>10.79884</v>
      </c>
      <c r="F47" s="2" t="s">
        <v>563</v>
      </c>
      <c r="G47" s="112" t="s">
        <v>355</v>
      </c>
      <c r="H47" s="27" t="s">
        <v>895</v>
      </c>
      <c r="I47" s="25" t="s">
        <v>895</v>
      </c>
      <c r="J47" s="125" t="s">
        <v>901</v>
      </c>
      <c r="K47" s="125" t="s">
        <v>901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959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635</v>
      </c>
      <c r="AI47" s="119" t="s">
        <v>636</v>
      </c>
      <c r="AJ47" s="112" t="s">
        <v>637</v>
      </c>
      <c r="AK47" s="2" t="s">
        <v>642</v>
      </c>
      <c r="AL47" s="2"/>
      <c r="AM47" s="2"/>
      <c r="AN47" s="48"/>
      <c r="AO47" t="s">
        <v>769</v>
      </c>
      <c r="AP47" s="122"/>
    </row>
    <row r="48" spans="1:42" s="123" customFormat="1" ht="24" x14ac:dyDescent="0.3">
      <c r="A48" s="4">
        <v>45</v>
      </c>
      <c r="B48" s="2" t="s">
        <v>570</v>
      </c>
      <c r="C48" s="2" t="s">
        <v>470</v>
      </c>
      <c r="D48" s="2">
        <v>106.627933</v>
      </c>
      <c r="E48" s="2">
        <v>10.788978999999999</v>
      </c>
      <c r="F48" s="2" t="s">
        <v>596</v>
      </c>
      <c r="G48" s="34" t="s">
        <v>356</v>
      </c>
      <c r="H48" s="27" t="s">
        <v>895</v>
      </c>
      <c r="I48" s="25" t="s">
        <v>895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905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597</v>
      </c>
      <c r="AI48" s="119" t="s">
        <v>599</v>
      </c>
      <c r="AJ48" s="112" t="s">
        <v>598</v>
      </c>
      <c r="AK48" s="2" t="s">
        <v>600</v>
      </c>
      <c r="AL48" s="2">
        <v>15.5</v>
      </c>
      <c r="AM48" s="2">
        <v>6</v>
      </c>
      <c r="AN48" s="48"/>
      <c r="AO48" t="s">
        <v>768</v>
      </c>
      <c r="AP48" s="122"/>
    </row>
    <row r="49" spans="1:42" s="123" customFormat="1" ht="24" x14ac:dyDescent="0.3">
      <c r="A49" s="4">
        <v>46</v>
      </c>
      <c r="B49" s="2" t="s">
        <v>571</v>
      </c>
      <c r="C49" s="2" t="s">
        <v>575</v>
      </c>
      <c r="D49" s="2">
        <v>106.7666253</v>
      </c>
      <c r="E49" s="2">
        <v>10.8351422</v>
      </c>
      <c r="F49" s="2" t="s">
        <v>576</v>
      </c>
      <c r="G49" s="34" t="s">
        <v>355</v>
      </c>
      <c r="H49" s="27" t="s">
        <v>895</v>
      </c>
      <c r="I49" s="25" t="s">
        <v>895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1181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1162</v>
      </c>
      <c r="AG49" s="120"/>
      <c r="AH49" s="121" t="s">
        <v>577</v>
      </c>
      <c r="AI49" s="119" t="s">
        <v>578</v>
      </c>
      <c r="AJ49" s="112" t="s">
        <v>400</v>
      </c>
      <c r="AK49" s="2" t="s">
        <v>579</v>
      </c>
      <c r="AL49" s="2">
        <v>11</v>
      </c>
      <c r="AM49" s="2">
        <v>12</v>
      </c>
      <c r="AN49" s="48"/>
      <c r="AO49" t="s">
        <v>768</v>
      </c>
      <c r="AP49" s="122"/>
    </row>
    <row r="50" spans="1:42" s="123" customFormat="1" ht="24" x14ac:dyDescent="0.3">
      <c r="A50" s="4">
        <v>47</v>
      </c>
      <c r="B50" s="2" t="s">
        <v>572</v>
      </c>
      <c r="C50" s="2" t="s">
        <v>581</v>
      </c>
      <c r="D50" s="2">
        <v>106.663482</v>
      </c>
      <c r="E50" s="2">
        <v>10.76826</v>
      </c>
      <c r="F50" s="2" t="s">
        <v>580</v>
      </c>
      <c r="G50" s="34" t="s">
        <v>356</v>
      </c>
      <c r="H50" s="27" t="s">
        <v>895</v>
      </c>
      <c r="I50" s="25" t="s">
        <v>895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1182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582</v>
      </c>
      <c r="AI50" s="119" t="s">
        <v>583</v>
      </c>
      <c r="AJ50" s="119" t="s">
        <v>170</v>
      </c>
      <c r="AK50" s="2" t="s">
        <v>584</v>
      </c>
      <c r="AL50" s="2">
        <v>17</v>
      </c>
      <c r="AM50" s="2">
        <v>6</v>
      </c>
      <c r="AN50" s="48"/>
      <c r="AO50" t="s">
        <v>768</v>
      </c>
      <c r="AP50" s="122"/>
    </row>
    <row r="51" spans="1:42" s="123" customFormat="1" ht="24" x14ac:dyDescent="0.3">
      <c r="A51" s="4">
        <v>48</v>
      </c>
      <c r="B51" s="2" t="s">
        <v>573</v>
      </c>
      <c r="C51" s="2" t="s">
        <v>581</v>
      </c>
      <c r="D51" s="2">
        <v>106.66824699999999</v>
      </c>
      <c r="E51" s="2">
        <v>10.784117</v>
      </c>
      <c r="F51" s="2" t="s">
        <v>585</v>
      </c>
      <c r="G51" s="34" t="s">
        <v>356</v>
      </c>
      <c r="H51" s="27" t="s">
        <v>895</v>
      </c>
      <c r="I51" s="25" t="s">
        <v>895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906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587</v>
      </c>
      <c r="AI51" s="119" t="s">
        <v>586</v>
      </c>
      <c r="AJ51" s="112" t="s">
        <v>588</v>
      </c>
      <c r="AK51" s="2" t="s">
        <v>589</v>
      </c>
      <c r="AL51" s="2">
        <v>14.5</v>
      </c>
      <c r="AM51" s="2">
        <v>6</v>
      </c>
      <c r="AN51" s="48"/>
      <c r="AO51" t="s">
        <v>768</v>
      </c>
      <c r="AP51" s="122"/>
    </row>
    <row r="52" spans="1:42" s="123" customFormat="1" ht="24" x14ac:dyDescent="0.3">
      <c r="A52" s="4">
        <v>49</v>
      </c>
      <c r="B52" s="2" t="s">
        <v>574</v>
      </c>
      <c r="C52" s="2" t="s">
        <v>470</v>
      </c>
      <c r="D52" s="2">
        <v>106.636156</v>
      </c>
      <c r="E52" s="2">
        <v>10.783979</v>
      </c>
      <c r="F52" s="2" t="s">
        <v>590</v>
      </c>
      <c r="G52" s="34" t="s">
        <v>355</v>
      </c>
      <c r="H52" s="27" t="s">
        <v>895</v>
      </c>
      <c r="I52" s="25" t="s">
        <v>895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1183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592</v>
      </c>
      <c r="AI52" s="119" t="s">
        <v>591</v>
      </c>
      <c r="AJ52" s="112" t="s">
        <v>593</v>
      </c>
      <c r="AK52" s="2" t="s">
        <v>594</v>
      </c>
      <c r="AL52" s="2">
        <v>24</v>
      </c>
      <c r="AM52" s="2">
        <v>6</v>
      </c>
      <c r="AN52" s="48"/>
      <c r="AO52" t="s">
        <v>768</v>
      </c>
      <c r="AP52" s="122"/>
    </row>
    <row r="53" spans="1:42" s="123" customFormat="1" ht="24" x14ac:dyDescent="0.3">
      <c r="A53" s="4">
        <v>50</v>
      </c>
      <c r="B53" s="2" t="s">
        <v>616</v>
      </c>
      <c r="C53" s="2" t="s">
        <v>575</v>
      </c>
      <c r="D53" s="2">
        <v>106.732218</v>
      </c>
      <c r="E53" s="2">
        <v>10.863514</v>
      </c>
      <c r="F53" s="2" t="s">
        <v>617</v>
      </c>
      <c r="G53" s="34" t="s">
        <v>355</v>
      </c>
      <c r="H53" s="27" t="s">
        <v>895</v>
      </c>
      <c r="I53" s="25" t="s">
        <v>895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1184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619</v>
      </c>
      <c r="AI53" s="119" t="s">
        <v>618</v>
      </c>
      <c r="AJ53" s="112" t="s">
        <v>588</v>
      </c>
      <c r="AK53" s="2" t="s">
        <v>620</v>
      </c>
      <c r="AL53" s="2">
        <v>16</v>
      </c>
      <c r="AM53" s="2">
        <v>9</v>
      </c>
      <c r="AN53" s="48"/>
      <c r="AO53" t="s">
        <v>768</v>
      </c>
      <c r="AP53" s="122"/>
    </row>
    <row r="54" spans="1:42" s="123" customFormat="1" ht="24" x14ac:dyDescent="0.3">
      <c r="A54" s="4">
        <v>51</v>
      </c>
      <c r="B54" s="2" t="s">
        <v>621</v>
      </c>
      <c r="C54" s="2" t="s">
        <v>575</v>
      </c>
      <c r="D54" s="2">
        <v>106.755152</v>
      </c>
      <c r="E54" s="2">
        <v>10.838282</v>
      </c>
      <c r="F54" s="2" t="s">
        <v>622</v>
      </c>
      <c r="G54" s="34" t="s">
        <v>355</v>
      </c>
      <c r="H54" s="27" t="s">
        <v>895</v>
      </c>
      <c r="I54" s="25" t="s">
        <v>895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1185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624</v>
      </c>
      <c r="AI54" s="119" t="s">
        <v>623</v>
      </c>
      <c r="AJ54" s="112" t="s">
        <v>625</v>
      </c>
      <c r="AK54" s="2" t="s">
        <v>626</v>
      </c>
      <c r="AL54" s="2">
        <v>15</v>
      </c>
      <c r="AM54" s="2">
        <v>12</v>
      </c>
      <c r="AN54" s="48"/>
      <c r="AO54" t="s">
        <v>768</v>
      </c>
      <c r="AP54" s="122"/>
    </row>
    <row r="55" spans="1:42" s="123" customFormat="1" ht="36" x14ac:dyDescent="0.3">
      <c r="A55" s="4">
        <v>52</v>
      </c>
      <c r="B55" s="2" t="s">
        <v>610</v>
      </c>
      <c r="C55" s="2" t="s">
        <v>575</v>
      </c>
      <c r="D55" s="2">
        <v>106.832753</v>
      </c>
      <c r="E55" s="2">
        <v>10.887543000000001</v>
      </c>
      <c r="F55" s="2" t="s">
        <v>627</v>
      </c>
      <c r="G55" s="34" t="s">
        <v>355</v>
      </c>
      <c r="H55" s="27" t="s">
        <v>895</v>
      </c>
      <c r="I55" s="25" t="s">
        <v>895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1186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628</v>
      </c>
      <c r="AI55" s="119" t="s">
        <v>629</v>
      </c>
      <c r="AJ55" s="112" t="s">
        <v>630</v>
      </c>
      <c r="AK55" s="2" t="s">
        <v>631</v>
      </c>
      <c r="AL55" s="2">
        <v>17</v>
      </c>
      <c r="AM55" s="2">
        <v>9</v>
      </c>
      <c r="AN55" s="48"/>
      <c r="AO55" t="s">
        <v>768</v>
      </c>
      <c r="AP55" s="122"/>
    </row>
    <row r="56" spans="1:42" s="123" customFormat="1" ht="24" x14ac:dyDescent="0.3">
      <c r="A56" s="4">
        <v>53</v>
      </c>
      <c r="B56" s="2" t="s">
        <v>638</v>
      </c>
      <c r="C56" s="2" t="s">
        <v>558</v>
      </c>
      <c r="D56" s="2">
        <v>106.67816500000001</v>
      </c>
      <c r="E56" s="2">
        <v>10.767367</v>
      </c>
      <c r="F56" s="2" t="s">
        <v>640</v>
      </c>
      <c r="G56" s="34" t="s">
        <v>356</v>
      </c>
      <c r="H56" s="27" t="s">
        <v>895</v>
      </c>
      <c r="I56" s="25" t="s">
        <v>895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1187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652</v>
      </c>
      <c r="AI56" s="119" t="s">
        <v>651</v>
      </c>
      <c r="AJ56" s="112" t="s">
        <v>153</v>
      </c>
      <c r="AK56" s="2" t="s">
        <v>653</v>
      </c>
      <c r="AL56" s="2">
        <v>24</v>
      </c>
      <c r="AM56" s="2">
        <v>6</v>
      </c>
      <c r="AN56" s="48"/>
      <c r="AO56" t="s">
        <v>768</v>
      </c>
      <c r="AP56" s="122"/>
    </row>
    <row r="57" spans="1:42" s="123" customFormat="1" ht="24" x14ac:dyDescent="0.3">
      <c r="A57" s="4">
        <v>54</v>
      </c>
      <c r="B57" s="2" t="s">
        <v>639</v>
      </c>
      <c r="C57" s="2" t="s">
        <v>581</v>
      </c>
      <c r="D57" s="2">
        <v>106.662549</v>
      </c>
      <c r="E57" s="2">
        <v>10.771064000000001</v>
      </c>
      <c r="F57" s="2" t="s">
        <v>641</v>
      </c>
      <c r="G57" s="34" t="s">
        <v>356</v>
      </c>
      <c r="H57" s="27" t="s">
        <v>895</v>
      </c>
      <c r="I57" s="25" t="s">
        <v>895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1188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655</v>
      </c>
      <c r="AI57" s="119" t="s">
        <v>656</v>
      </c>
      <c r="AJ57" s="112" t="s">
        <v>588</v>
      </c>
      <c r="AK57" s="2" t="s">
        <v>654</v>
      </c>
      <c r="AL57" s="2">
        <v>24</v>
      </c>
      <c r="AM57" s="2">
        <v>6</v>
      </c>
      <c r="AN57" s="48"/>
      <c r="AO57" t="s">
        <v>768</v>
      </c>
      <c r="AP57" s="122"/>
    </row>
    <row r="58" spans="1:42" s="123" customFormat="1" ht="24" x14ac:dyDescent="0.3">
      <c r="A58" s="4">
        <v>55</v>
      </c>
      <c r="B58" s="2" t="s">
        <v>670</v>
      </c>
      <c r="C58" s="2" t="s">
        <v>66</v>
      </c>
      <c r="D58" s="2">
        <v>106.68352400000001</v>
      </c>
      <c r="E58" s="2">
        <v>10.845613</v>
      </c>
      <c r="F58" s="2" t="s">
        <v>675</v>
      </c>
      <c r="G58" s="34" t="s">
        <v>356</v>
      </c>
      <c r="H58" s="27" t="s">
        <v>895</v>
      </c>
      <c r="I58" s="25" t="s">
        <v>895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1189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680</v>
      </c>
      <c r="AI58" s="119" t="s">
        <v>681</v>
      </c>
      <c r="AJ58" s="112" t="s">
        <v>400</v>
      </c>
      <c r="AK58" s="2" t="s">
        <v>682</v>
      </c>
      <c r="AL58" s="2">
        <v>15.5</v>
      </c>
      <c r="AM58" s="2">
        <v>6</v>
      </c>
      <c r="AN58" s="48"/>
      <c r="AO58" t="s">
        <v>770</v>
      </c>
      <c r="AP58" s="122"/>
    </row>
    <row r="59" spans="1:42" s="123" customFormat="1" ht="24" x14ac:dyDescent="0.3">
      <c r="A59" s="4">
        <v>56</v>
      </c>
      <c r="B59" s="2" t="s">
        <v>671</v>
      </c>
      <c r="C59" s="2" t="s">
        <v>32</v>
      </c>
      <c r="D59" s="2">
        <v>106.68946819999999</v>
      </c>
      <c r="E59" s="2">
        <v>10.8050829</v>
      </c>
      <c r="F59" s="2" t="s">
        <v>676</v>
      </c>
      <c r="G59" s="34" t="s">
        <v>356</v>
      </c>
      <c r="H59" s="27" t="s">
        <v>895</v>
      </c>
      <c r="I59" s="25" t="s">
        <v>895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1190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684</v>
      </c>
      <c r="AI59" s="119" t="s">
        <v>685</v>
      </c>
      <c r="AJ59" s="112" t="s">
        <v>410</v>
      </c>
      <c r="AK59" s="2" t="s">
        <v>683</v>
      </c>
      <c r="AL59" s="2">
        <v>15</v>
      </c>
      <c r="AM59" s="2">
        <v>6</v>
      </c>
      <c r="AN59" s="48"/>
      <c r="AO59" t="s">
        <v>770</v>
      </c>
      <c r="AP59" s="122"/>
    </row>
    <row r="60" spans="1:42" s="123" customFormat="1" ht="24" x14ac:dyDescent="0.3">
      <c r="A60" s="4">
        <v>57</v>
      </c>
      <c r="B60" s="2" t="s">
        <v>672</v>
      </c>
      <c r="C60" s="2" t="s">
        <v>581</v>
      </c>
      <c r="D60" s="2">
        <v>106.67948699999999</v>
      </c>
      <c r="E60" s="2">
        <v>10.778354</v>
      </c>
      <c r="F60" s="2" t="s">
        <v>677</v>
      </c>
      <c r="G60" s="34" t="s">
        <v>356</v>
      </c>
      <c r="H60" s="27" t="s">
        <v>895</v>
      </c>
      <c r="I60" s="25" t="s">
        <v>895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1191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687</v>
      </c>
      <c r="AI60" s="119" t="s">
        <v>688</v>
      </c>
      <c r="AJ60" s="112" t="s">
        <v>689</v>
      </c>
      <c r="AK60" s="2" t="s">
        <v>686</v>
      </c>
      <c r="AL60" s="2">
        <v>17.5</v>
      </c>
      <c r="AM60" s="2">
        <v>6</v>
      </c>
      <c r="AN60" s="48"/>
      <c r="AO60" t="s">
        <v>770</v>
      </c>
      <c r="AP60" s="122"/>
    </row>
    <row r="61" spans="1:42" s="123" customFormat="1" ht="24" x14ac:dyDescent="0.3">
      <c r="A61" s="4">
        <v>58</v>
      </c>
      <c r="B61" s="2" t="s">
        <v>673</v>
      </c>
      <c r="C61" s="2" t="s">
        <v>156</v>
      </c>
      <c r="D61" s="2">
        <v>106.64586</v>
      </c>
      <c r="E61" s="2">
        <v>10.80012</v>
      </c>
      <c r="F61" s="2" t="s">
        <v>678</v>
      </c>
      <c r="G61" s="34" t="s">
        <v>356</v>
      </c>
      <c r="H61" s="27" t="s">
        <v>895</v>
      </c>
      <c r="I61" s="25" t="s">
        <v>895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1192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696</v>
      </c>
      <c r="AI61" s="119" t="s">
        <v>695</v>
      </c>
      <c r="AJ61" s="112" t="s">
        <v>410</v>
      </c>
      <c r="AK61" s="2" t="s">
        <v>694</v>
      </c>
      <c r="AL61" s="2"/>
      <c r="AM61" s="2"/>
      <c r="AN61" s="48"/>
      <c r="AO61" t="s">
        <v>770</v>
      </c>
      <c r="AP61" s="122"/>
    </row>
    <row r="62" spans="1:42" s="123" customFormat="1" ht="24" x14ac:dyDescent="0.3">
      <c r="A62" s="4">
        <v>59</v>
      </c>
      <c r="B62" s="2" t="s">
        <v>674</v>
      </c>
      <c r="C62" s="2" t="s">
        <v>156</v>
      </c>
      <c r="D62" s="2">
        <v>106.64458</v>
      </c>
      <c r="E62" s="2">
        <v>10.80631</v>
      </c>
      <c r="F62" s="2" t="s">
        <v>679</v>
      </c>
      <c r="G62" s="34" t="s">
        <v>356</v>
      </c>
      <c r="H62" s="27" t="s">
        <v>895</v>
      </c>
      <c r="I62" s="25" t="s">
        <v>895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907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691</v>
      </c>
      <c r="AI62" s="119" t="s">
        <v>692</v>
      </c>
      <c r="AJ62" s="112" t="s">
        <v>693</v>
      </c>
      <c r="AK62" s="2" t="s">
        <v>690</v>
      </c>
      <c r="AL62" s="2"/>
      <c r="AM62" s="2"/>
      <c r="AN62" s="48"/>
      <c r="AO62" t="s">
        <v>770</v>
      </c>
      <c r="AP62" s="122"/>
    </row>
    <row r="63" spans="1:42" s="123" customFormat="1" ht="24" x14ac:dyDescent="0.3">
      <c r="A63" s="4">
        <v>60</v>
      </c>
      <c r="B63" s="2" t="s">
        <v>704</v>
      </c>
      <c r="C63" s="2" t="s">
        <v>290</v>
      </c>
      <c r="D63" s="2">
        <v>106.6938191</v>
      </c>
      <c r="E63" s="2">
        <v>10.8678408</v>
      </c>
      <c r="F63" s="2" t="s">
        <v>705</v>
      </c>
      <c r="G63" s="34" t="s">
        <v>355</v>
      </c>
      <c r="H63" s="27" t="s">
        <v>895</v>
      </c>
      <c r="I63" s="25" t="s">
        <v>895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908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721</v>
      </c>
      <c r="AF63" s="113" t="s">
        <v>79</v>
      </c>
      <c r="AG63" s="120"/>
      <c r="AH63" s="121" t="s">
        <v>723</v>
      </c>
      <c r="AI63" s="119" t="s">
        <v>722</v>
      </c>
      <c r="AJ63" s="112" t="s">
        <v>153</v>
      </c>
      <c r="AK63" s="2" t="s">
        <v>706</v>
      </c>
      <c r="AL63" s="2">
        <v>12.5</v>
      </c>
      <c r="AM63" s="2">
        <v>9</v>
      </c>
      <c r="AN63" s="48"/>
      <c r="AO63" t="s">
        <v>770</v>
      </c>
      <c r="AP63" s="122"/>
    </row>
    <row r="64" spans="1:42" s="123" customFormat="1" ht="24" x14ac:dyDescent="0.3">
      <c r="A64" s="4">
        <v>61</v>
      </c>
      <c r="B64" s="2" t="s">
        <v>707</v>
      </c>
      <c r="C64" s="2" t="s">
        <v>290</v>
      </c>
      <c r="D64" s="2">
        <v>106.643762</v>
      </c>
      <c r="E64" s="2">
        <v>10.889957000000001</v>
      </c>
      <c r="F64" s="2" t="s">
        <v>708</v>
      </c>
      <c r="G64" s="34" t="s">
        <v>355</v>
      </c>
      <c r="H64" s="27" t="s">
        <v>895</v>
      </c>
      <c r="I64" s="34" t="s">
        <v>899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909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720</v>
      </c>
      <c r="AF64" s="113" t="s">
        <v>79</v>
      </c>
      <c r="AG64" s="120"/>
      <c r="AH64" s="121" t="s">
        <v>719</v>
      </c>
      <c r="AI64" s="119" t="s">
        <v>718</v>
      </c>
      <c r="AJ64" s="112" t="s">
        <v>410</v>
      </c>
      <c r="AK64" s="2" t="s">
        <v>709</v>
      </c>
      <c r="AL64" s="2">
        <v>13.5</v>
      </c>
      <c r="AM64" s="2">
        <v>12</v>
      </c>
      <c r="AN64" s="48"/>
      <c r="AO64" t="s">
        <v>770</v>
      </c>
      <c r="AP64" s="122"/>
    </row>
    <row r="65" spans="1:42" s="123" customFormat="1" ht="36" x14ac:dyDescent="0.3">
      <c r="A65" s="4">
        <v>62</v>
      </c>
      <c r="B65" s="2" t="s">
        <v>710</v>
      </c>
      <c r="C65" s="2" t="s">
        <v>32</v>
      </c>
      <c r="D65" s="2">
        <v>106.722944</v>
      </c>
      <c r="E65" s="2">
        <v>10.80025</v>
      </c>
      <c r="F65" s="2" t="s">
        <v>711</v>
      </c>
      <c r="G65" s="34" t="s">
        <v>355</v>
      </c>
      <c r="H65" s="27" t="s">
        <v>895</v>
      </c>
      <c r="I65" s="25" t="s">
        <v>895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1193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741</v>
      </c>
      <c r="AF65" s="113" t="s">
        <v>79</v>
      </c>
      <c r="AG65" s="120"/>
      <c r="AH65" s="150" t="s">
        <v>731</v>
      </c>
      <c r="AI65" s="151" t="s">
        <v>730</v>
      </c>
      <c r="AJ65" s="36" t="s">
        <v>805</v>
      </c>
      <c r="AK65" s="8" t="s">
        <v>712</v>
      </c>
      <c r="AL65" s="8">
        <v>25</v>
      </c>
      <c r="AM65" s="8">
        <v>12</v>
      </c>
      <c r="AN65" s="100"/>
      <c r="AO65" t="s">
        <v>770</v>
      </c>
      <c r="AP65" s="122"/>
    </row>
    <row r="66" spans="1:42" s="123" customFormat="1" ht="24" x14ac:dyDescent="0.3">
      <c r="A66" s="4">
        <v>63</v>
      </c>
      <c r="B66" s="2" t="s">
        <v>713</v>
      </c>
      <c r="C66" s="2" t="s">
        <v>229</v>
      </c>
      <c r="D66" s="2">
        <v>106.577326</v>
      </c>
      <c r="E66" s="2">
        <v>10.760555999999999</v>
      </c>
      <c r="F66" s="2" t="s">
        <v>714</v>
      </c>
      <c r="G66" s="34" t="s">
        <v>355</v>
      </c>
      <c r="H66" s="27" t="s">
        <v>895</v>
      </c>
      <c r="I66" s="25" t="s">
        <v>895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724</v>
      </c>
      <c r="AF66" s="113" t="s">
        <v>79</v>
      </c>
      <c r="AG66" s="120"/>
      <c r="AH66" s="121" t="s">
        <v>716</v>
      </c>
      <c r="AI66" s="119" t="s">
        <v>717</v>
      </c>
      <c r="AJ66" s="112" t="s">
        <v>170</v>
      </c>
      <c r="AK66" s="2" t="s">
        <v>715</v>
      </c>
      <c r="AL66" s="2">
        <v>14</v>
      </c>
      <c r="AM66" s="2"/>
      <c r="AN66" s="48"/>
      <c r="AO66" t="s">
        <v>770</v>
      </c>
      <c r="AP66" s="122"/>
    </row>
    <row r="67" spans="1:42" s="123" customFormat="1" ht="24" x14ac:dyDescent="0.3">
      <c r="A67" s="4">
        <v>64</v>
      </c>
      <c r="B67" s="2" t="s">
        <v>725</v>
      </c>
      <c r="C67" s="2" t="s">
        <v>15</v>
      </c>
      <c r="D67" s="2">
        <v>106.610331</v>
      </c>
      <c r="E67" s="2">
        <v>10.845826000000001</v>
      </c>
      <c r="F67" s="2" t="s">
        <v>726</v>
      </c>
      <c r="G67" s="34" t="s">
        <v>355</v>
      </c>
      <c r="H67" s="27" t="s">
        <v>895</v>
      </c>
      <c r="I67" s="34" t="s">
        <v>899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739</v>
      </c>
      <c r="AF67" s="113" t="s">
        <v>79</v>
      </c>
      <c r="AG67" s="120"/>
      <c r="AH67" s="121" t="s">
        <v>727</v>
      </c>
      <c r="AI67" s="119" t="s">
        <v>728</v>
      </c>
      <c r="AJ67" s="112" t="s">
        <v>395</v>
      </c>
      <c r="AK67" s="2" t="s">
        <v>729</v>
      </c>
      <c r="AL67" s="2">
        <v>22</v>
      </c>
      <c r="AM67" s="2">
        <v>6</v>
      </c>
      <c r="AN67" s="48"/>
      <c r="AO67" t="s">
        <v>770</v>
      </c>
      <c r="AP67" s="122"/>
    </row>
    <row r="68" spans="1:42" s="123" customFormat="1" ht="36" x14ac:dyDescent="0.3">
      <c r="A68" s="4">
        <v>65</v>
      </c>
      <c r="B68" s="2" t="s">
        <v>732</v>
      </c>
      <c r="C68" s="2" t="s">
        <v>290</v>
      </c>
      <c r="D68" s="2">
        <v>106.695172</v>
      </c>
      <c r="E68" s="2">
        <v>10.842267</v>
      </c>
      <c r="F68" s="2" t="s">
        <v>733</v>
      </c>
      <c r="G68" s="34" t="s">
        <v>356</v>
      </c>
      <c r="H68" s="27" t="s">
        <v>895</v>
      </c>
      <c r="I68" s="25" t="s">
        <v>895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1194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736</v>
      </c>
      <c r="AF68" s="113" t="s">
        <v>79</v>
      </c>
      <c r="AG68" s="120"/>
      <c r="AH68" s="121" t="s">
        <v>735</v>
      </c>
      <c r="AI68" s="119" t="s">
        <v>734</v>
      </c>
      <c r="AJ68" s="112" t="s">
        <v>737</v>
      </c>
      <c r="AK68" s="2" t="s">
        <v>738</v>
      </c>
      <c r="AL68" s="2">
        <v>13</v>
      </c>
      <c r="AM68" s="2">
        <v>6</v>
      </c>
      <c r="AN68" s="48"/>
      <c r="AO68" t="s">
        <v>770</v>
      </c>
      <c r="AP68" s="122"/>
    </row>
    <row r="69" spans="1:42" s="123" customFormat="1" ht="24" x14ac:dyDescent="0.3">
      <c r="A69" s="4">
        <v>66</v>
      </c>
      <c r="B69" s="2" t="s">
        <v>742</v>
      </c>
      <c r="C69" s="2" t="s">
        <v>15</v>
      </c>
      <c r="D69" s="2">
        <v>106.608891</v>
      </c>
      <c r="E69" s="2">
        <v>10.858193999999999</v>
      </c>
      <c r="F69" s="2" t="s">
        <v>755</v>
      </c>
      <c r="G69" s="34" t="s">
        <v>355</v>
      </c>
      <c r="H69" s="27" t="s">
        <v>895</v>
      </c>
      <c r="I69" s="25" t="s">
        <v>895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912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761</v>
      </c>
      <c r="AF69" s="113" t="s">
        <v>79</v>
      </c>
      <c r="AG69" s="120"/>
      <c r="AH69" s="121" t="s">
        <v>756</v>
      </c>
      <c r="AI69" s="119" t="s">
        <v>757</v>
      </c>
      <c r="AJ69" s="112" t="s">
        <v>703</v>
      </c>
      <c r="AK69" s="2" t="s">
        <v>754</v>
      </c>
      <c r="AL69" s="2"/>
      <c r="AM69" s="2"/>
      <c r="AN69" s="48"/>
      <c r="AO69" t="s">
        <v>770</v>
      </c>
      <c r="AP69" s="122"/>
    </row>
    <row r="70" spans="1:42" s="123" customFormat="1" ht="24" x14ac:dyDescent="0.3">
      <c r="A70" s="4">
        <v>67</v>
      </c>
      <c r="B70" s="2" t="s">
        <v>743</v>
      </c>
      <c r="C70" s="2" t="s">
        <v>117</v>
      </c>
      <c r="D70" s="2">
        <v>106.58026</v>
      </c>
      <c r="E70" s="2">
        <v>10.693832</v>
      </c>
      <c r="F70" s="2" t="s">
        <v>750</v>
      </c>
      <c r="G70" s="34" t="s">
        <v>356</v>
      </c>
      <c r="H70" s="27" t="s">
        <v>895</v>
      </c>
      <c r="I70" s="25" t="s">
        <v>895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1195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752</v>
      </c>
      <c r="AI70" s="119" t="s">
        <v>751</v>
      </c>
      <c r="AJ70" s="112" t="s">
        <v>703</v>
      </c>
      <c r="AK70" s="2" t="s">
        <v>753</v>
      </c>
      <c r="AL70" s="2"/>
      <c r="AM70" s="2"/>
      <c r="AN70" s="48"/>
      <c r="AO70" t="s">
        <v>770</v>
      </c>
      <c r="AP70" s="122"/>
    </row>
    <row r="71" spans="1:42" s="123" customFormat="1" ht="24" x14ac:dyDescent="0.3">
      <c r="A71" s="4">
        <v>68</v>
      </c>
      <c r="B71" s="2" t="s">
        <v>744</v>
      </c>
      <c r="C71" s="2" t="s">
        <v>15</v>
      </c>
      <c r="D71" s="2">
        <v>106.648195</v>
      </c>
      <c r="E71" s="2">
        <v>10.901745</v>
      </c>
      <c r="F71" s="2" t="s">
        <v>746</v>
      </c>
      <c r="G71" s="34" t="s">
        <v>355</v>
      </c>
      <c r="H71" s="27" t="s">
        <v>895</v>
      </c>
      <c r="I71" s="25" t="s">
        <v>895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1196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759</v>
      </c>
      <c r="AI71" s="119" t="s">
        <v>758</v>
      </c>
      <c r="AJ71" s="112" t="s">
        <v>760</v>
      </c>
      <c r="AK71" s="2" t="s">
        <v>747</v>
      </c>
      <c r="AL71" s="2">
        <v>12</v>
      </c>
      <c r="AM71" s="2">
        <v>12</v>
      </c>
      <c r="AN71" s="48"/>
      <c r="AO71" t="s">
        <v>770</v>
      </c>
      <c r="AP71" s="122"/>
    </row>
    <row r="72" spans="1:42" s="123" customFormat="1" ht="24" x14ac:dyDescent="0.3">
      <c r="A72" s="4">
        <v>69</v>
      </c>
      <c r="B72" s="2" t="s">
        <v>745</v>
      </c>
      <c r="C72" s="2" t="s">
        <v>229</v>
      </c>
      <c r="D72" s="2">
        <v>106.599693</v>
      </c>
      <c r="E72" s="2">
        <v>10.779717</v>
      </c>
      <c r="F72" s="2" t="s">
        <v>748</v>
      </c>
      <c r="G72" s="34" t="s">
        <v>355</v>
      </c>
      <c r="H72" s="27" t="s">
        <v>895</v>
      </c>
      <c r="I72" s="25" t="s">
        <v>895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1197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771</v>
      </c>
      <c r="AI72" s="119" t="s">
        <v>772</v>
      </c>
      <c r="AJ72" s="112" t="s">
        <v>773</v>
      </c>
      <c r="AK72" s="2" t="s">
        <v>749</v>
      </c>
      <c r="AL72" s="2">
        <v>11</v>
      </c>
      <c r="AM72" s="2">
        <v>12</v>
      </c>
      <c r="AN72" s="48"/>
      <c r="AO72" t="s">
        <v>770</v>
      </c>
      <c r="AP72" s="122"/>
    </row>
    <row r="73" spans="1:42" s="123" customFormat="1" ht="24" x14ac:dyDescent="0.3">
      <c r="A73" s="4">
        <v>70</v>
      </c>
      <c r="B73" s="2" t="s">
        <v>740</v>
      </c>
      <c r="C73" s="2" t="s">
        <v>32</v>
      </c>
      <c r="D73" s="2">
        <v>106.699208</v>
      </c>
      <c r="E73" s="2">
        <v>10.805695099999999</v>
      </c>
      <c r="F73" s="2" t="s">
        <v>763</v>
      </c>
      <c r="G73" s="34" t="s">
        <v>356</v>
      </c>
      <c r="H73" s="27" t="s">
        <v>895</v>
      </c>
      <c r="I73" s="25" t="s">
        <v>895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1198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697</v>
      </c>
      <c r="AI73" s="119" t="s">
        <v>698</v>
      </c>
      <c r="AJ73" s="112" t="s">
        <v>699</v>
      </c>
      <c r="AK73" s="2" t="s">
        <v>700</v>
      </c>
      <c r="AL73" s="2"/>
      <c r="AM73" s="2"/>
      <c r="AN73" s="48"/>
      <c r="AO73" t="s">
        <v>770</v>
      </c>
      <c r="AP73" s="122"/>
    </row>
    <row r="74" spans="1:42" s="123" customFormat="1" ht="24" x14ac:dyDescent="0.3">
      <c r="A74" s="4">
        <v>71</v>
      </c>
      <c r="B74" s="2" t="s">
        <v>609</v>
      </c>
      <c r="C74" s="2" t="s">
        <v>764</v>
      </c>
      <c r="D74" s="2">
        <v>106.69146499999999</v>
      </c>
      <c r="E74" s="2">
        <v>10.760405</v>
      </c>
      <c r="F74" s="2" t="s">
        <v>765</v>
      </c>
      <c r="G74" s="34" t="s">
        <v>356</v>
      </c>
      <c r="H74" s="27" t="s">
        <v>895</v>
      </c>
      <c r="I74" s="25" t="s">
        <v>895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1199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666</v>
      </c>
      <c r="AI74" s="119" t="s">
        <v>667</v>
      </c>
      <c r="AJ74" s="112" t="s">
        <v>668</v>
      </c>
      <c r="AK74" s="2" t="s">
        <v>669</v>
      </c>
      <c r="AL74" s="2"/>
      <c r="AM74" s="2"/>
      <c r="AN74" s="48"/>
      <c r="AO74" t="s">
        <v>768</v>
      </c>
      <c r="AP74" s="122"/>
    </row>
    <row r="75" spans="1:42" s="123" customFormat="1" ht="24" x14ac:dyDescent="0.3">
      <c r="A75" s="4">
        <v>72</v>
      </c>
      <c r="B75" s="2" t="s">
        <v>774</v>
      </c>
      <c r="C75" s="2" t="s">
        <v>32</v>
      </c>
      <c r="D75" s="2">
        <v>106.70027</v>
      </c>
      <c r="E75" s="2">
        <v>10.828835</v>
      </c>
      <c r="F75" s="2" t="s">
        <v>775</v>
      </c>
      <c r="G75" s="34" t="s">
        <v>355</v>
      </c>
      <c r="H75" s="27" t="s">
        <v>895</v>
      </c>
      <c r="I75" s="25" t="s">
        <v>895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1200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776</v>
      </c>
      <c r="AF75" s="113" t="s">
        <v>79</v>
      </c>
      <c r="AG75" s="120"/>
      <c r="AH75" s="121" t="s">
        <v>777</v>
      </c>
      <c r="AI75" s="119" t="s">
        <v>778</v>
      </c>
      <c r="AJ75" s="112" t="s">
        <v>773</v>
      </c>
      <c r="AK75" s="2" t="s">
        <v>779</v>
      </c>
      <c r="AL75" s="2" t="s">
        <v>780</v>
      </c>
      <c r="AM75" s="2">
        <v>9</v>
      </c>
      <c r="AN75" s="48"/>
      <c r="AO75" t="s">
        <v>770</v>
      </c>
      <c r="AP75" s="122"/>
    </row>
    <row r="76" spans="1:42" s="123" customFormat="1" ht="24" x14ac:dyDescent="0.3">
      <c r="A76" s="4">
        <v>73</v>
      </c>
      <c r="B76" s="2" t="s">
        <v>781</v>
      </c>
      <c r="C76" s="2" t="s">
        <v>156</v>
      </c>
      <c r="D76" s="2">
        <v>106.66424809999999</v>
      </c>
      <c r="E76" s="2">
        <v>10.790502399999999</v>
      </c>
      <c r="F76" s="2" t="s">
        <v>782</v>
      </c>
      <c r="G76" s="34" t="s">
        <v>356</v>
      </c>
      <c r="H76" s="27" t="s">
        <v>895</v>
      </c>
      <c r="I76" s="25" t="s">
        <v>895</v>
      </c>
      <c r="J76" s="125" t="s">
        <v>901</v>
      </c>
      <c r="K76" s="125" t="s">
        <v>901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1201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776</v>
      </c>
      <c r="AF76" s="113" t="s">
        <v>79</v>
      </c>
      <c r="AG76" s="120"/>
      <c r="AH76" s="121" t="s">
        <v>783</v>
      </c>
      <c r="AI76" s="119" t="s">
        <v>784</v>
      </c>
      <c r="AJ76" s="112" t="s">
        <v>785</v>
      </c>
      <c r="AK76" s="2" t="s">
        <v>786</v>
      </c>
      <c r="AL76" s="2" t="s">
        <v>787</v>
      </c>
      <c r="AM76" s="2">
        <v>6</v>
      </c>
      <c r="AN76" s="48"/>
      <c r="AO76" t="s">
        <v>770</v>
      </c>
      <c r="AP76" s="122"/>
    </row>
    <row r="77" spans="1:42" s="123" customFormat="1" ht="24" x14ac:dyDescent="0.3">
      <c r="A77" s="4">
        <v>74</v>
      </c>
      <c r="B77" s="2" t="s">
        <v>790</v>
      </c>
      <c r="C77" s="2" t="s">
        <v>575</v>
      </c>
      <c r="D77" s="2">
        <v>106.787966</v>
      </c>
      <c r="E77" s="2">
        <v>10.769964999999999</v>
      </c>
      <c r="F77" s="2" t="s">
        <v>789</v>
      </c>
      <c r="G77" s="34" t="s">
        <v>355</v>
      </c>
      <c r="H77" s="27" t="s">
        <v>895</v>
      </c>
      <c r="I77" s="25" t="s">
        <v>895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1202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776</v>
      </c>
      <c r="AF77" s="113" t="s">
        <v>79</v>
      </c>
      <c r="AG77" s="120"/>
      <c r="AH77" s="121" t="s">
        <v>792</v>
      </c>
      <c r="AI77" s="119" t="s">
        <v>791</v>
      </c>
      <c r="AJ77" s="112" t="s">
        <v>793</v>
      </c>
      <c r="AK77" s="2" t="s">
        <v>788</v>
      </c>
      <c r="AL77" s="2" t="s">
        <v>787</v>
      </c>
      <c r="AM77" s="2">
        <v>9</v>
      </c>
      <c r="AN77" s="48"/>
      <c r="AO77" t="s">
        <v>770</v>
      </c>
      <c r="AP77" s="122"/>
    </row>
    <row r="78" spans="1:42" s="123" customFormat="1" ht="24" x14ac:dyDescent="0.3">
      <c r="A78" s="4">
        <v>75</v>
      </c>
      <c r="B78" s="2" t="s">
        <v>794</v>
      </c>
      <c r="C78" s="2" t="s">
        <v>32</v>
      </c>
      <c r="D78" s="2">
        <v>106.715318</v>
      </c>
      <c r="E78" s="2">
        <v>10.795153000000001</v>
      </c>
      <c r="F78" s="2" t="s">
        <v>804</v>
      </c>
      <c r="G78" s="34" t="s">
        <v>356</v>
      </c>
      <c r="H78" s="27" t="s">
        <v>895</v>
      </c>
      <c r="I78" s="25" t="s">
        <v>895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1203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802</v>
      </c>
      <c r="AF78" s="113" t="s">
        <v>79</v>
      </c>
      <c r="AG78" s="120"/>
      <c r="AH78" s="121" t="s">
        <v>801</v>
      </c>
      <c r="AI78" s="119" t="s">
        <v>861</v>
      </c>
      <c r="AJ78" s="112" t="s">
        <v>699</v>
      </c>
      <c r="AK78" s="2" t="s">
        <v>800</v>
      </c>
      <c r="AL78" s="2"/>
      <c r="AM78" s="2">
        <v>6</v>
      </c>
      <c r="AN78" s="48"/>
      <c r="AO78" t="s">
        <v>770</v>
      </c>
      <c r="AP78" s="122"/>
    </row>
    <row r="79" spans="1:42" s="123" customFormat="1" ht="24" x14ac:dyDescent="0.3">
      <c r="A79" s="4">
        <v>76</v>
      </c>
      <c r="B79" s="2" t="s">
        <v>795</v>
      </c>
      <c r="C79" s="2" t="s">
        <v>156</v>
      </c>
      <c r="D79" s="2">
        <v>106.6566996</v>
      </c>
      <c r="E79" s="2">
        <v>10.793421199999999</v>
      </c>
      <c r="F79" s="2" t="s">
        <v>796</v>
      </c>
      <c r="G79" s="34" t="s">
        <v>356</v>
      </c>
      <c r="H79" s="27" t="s">
        <v>895</v>
      </c>
      <c r="I79" s="25" t="s">
        <v>895</v>
      </c>
      <c r="J79" s="125" t="s">
        <v>901</v>
      </c>
      <c r="K79" s="125" t="s">
        <v>901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1204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803</v>
      </c>
      <c r="AF79" s="113" t="s">
        <v>79</v>
      </c>
      <c r="AG79" s="120"/>
      <c r="AH79" s="121" t="s">
        <v>797</v>
      </c>
      <c r="AI79" s="119" t="s">
        <v>798</v>
      </c>
      <c r="AJ79" s="112" t="s">
        <v>170</v>
      </c>
      <c r="AK79" s="2" t="s">
        <v>799</v>
      </c>
      <c r="AL79" s="2"/>
      <c r="AM79" s="2">
        <v>6</v>
      </c>
      <c r="AN79" s="48"/>
      <c r="AO79" t="s">
        <v>770</v>
      </c>
      <c r="AP79" s="122"/>
    </row>
    <row r="80" spans="1:42" s="123" customFormat="1" ht="24" x14ac:dyDescent="0.3">
      <c r="A80" s="4">
        <v>77</v>
      </c>
      <c r="B80" s="2" t="s">
        <v>806</v>
      </c>
      <c r="C80" s="2" t="s">
        <v>117</v>
      </c>
      <c r="D80" s="2">
        <v>106.652019</v>
      </c>
      <c r="E80" s="2">
        <v>10.706345000000001</v>
      </c>
      <c r="F80" s="2" t="s">
        <v>807</v>
      </c>
      <c r="G80" s="34" t="s">
        <v>355</v>
      </c>
      <c r="H80" s="27" t="s">
        <v>895</v>
      </c>
      <c r="I80" s="25" t="s">
        <v>895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1205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803</v>
      </c>
      <c r="AF80" s="113" t="s">
        <v>79</v>
      </c>
      <c r="AG80" s="120"/>
      <c r="AH80" s="121" t="s">
        <v>808</v>
      </c>
      <c r="AI80" s="119" t="s">
        <v>809</v>
      </c>
      <c r="AJ80" s="112" t="s">
        <v>153</v>
      </c>
      <c r="AK80" s="2" t="s">
        <v>810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817</v>
      </c>
      <c r="C81" s="2" t="s">
        <v>66</v>
      </c>
      <c r="D81" s="2" t="s">
        <v>862</v>
      </c>
      <c r="E81" s="2" t="s">
        <v>863</v>
      </c>
      <c r="F81" s="2" t="s">
        <v>475</v>
      </c>
      <c r="G81" s="34" t="s">
        <v>896</v>
      </c>
      <c r="H81" s="27" t="s">
        <v>895</v>
      </c>
      <c r="I81" s="25" t="s">
        <v>895</v>
      </c>
      <c r="J81" s="125" t="s">
        <v>901</v>
      </c>
      <c r="K81" s="125" t="s">
        <v>901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1206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902</v>
      </c>
      <c r="AG81" s="120"/>
      <c r="AH81" s="121" t="s">
        <v>902</v>
      </c>
      <c r="AI81" s="121" t="s">
        <v>902</v>
      </c>
      <c r="AJ81" s="121" t="s">
        <v>902</v>
      </c>
      <c r="AK81" s="121" t="s">
        <v>902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818</v>
      </c>
      <c r="C82" s="2" t="s">
        <v>66</v>
      </c>
      <c r="D82" s="2" t="s">
        <v>864</v>
      </c>
      <c r="E82" s="2" t="s">
        <v>863</v>
      </c>
      <c r="F82" s="2" t="s">
        <v>475</v>
      </c>
      <c r="G82" s="34" t="s">
        <v>896</v>
      </c>
      <c r="H82" s="27" t="s">
        <v>895</v>
      </c>
      <c r="I82" s="25" t="s">
        <v>895</v>
      </c>
      <c r="J82" s="125" t="s">
        <v>901</v>
      </c>
      <c r="K82" s="125" t="s">
        <v>901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1206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902</v>
      </c>
      <c r="AG82" s="120"/>
      <c r="AH82" s="121" t="s">
        <v>902</v>
      </c>
      <c r="AI82" s="121" t="s">
        <v>902</v>
      </c>
      <c r="AJ82" s="121" t="s">
        <v>902</v>
      </c>
      <c r="AK82" s="121" t="s">
        <v>902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819</v>
      </c>
      <c r="C83" s="2" t="s">
        <v>66</v>
      </c>
      <c r="D83" s="2" t="s">
        <v>865</v>
      </c>
      <c r="E83" s="2" t="s">
        <v>866</v>
      </c>
      <c r="F83" s="2" t="s">
        <v>475</v>
      </c>
      <c r="G83" s="34" t="s">
        <v>896</v>
      </c>
      <c r="H83" s="27" t="s">
        <v>895</v>
      </c>
      <c r="I83" s="25" t="s">
        <v>895</v>
      </c>
      <c r="J83" s="125" t="s">
        <v>901</v>
      </c>
      <c r="K83" s="125" t="s">
        <v>901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1206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902</v>
      </c>
      <c r="AG83" s="120"/>
      <c r="AH83" s="121" t="s">
        <v>902</v>
      </c>
      <c r="AI83" s="121" t="s">
        <v>902</v>
      </c>
      <c r="AJ83" s="121" t="s">
        <v>902</v>
      </c>
      <c r="AK83" s="121" t="s">
        <v>902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820</v>
      </c>
      <c r="C84" s="2" t="s">
        <v>66</v>
      </c>
      <c r="D84" s="2" t="s">
        <v>867</v>
      </c>
      <c r="E84" s="2" t="s">
        <v>868</v>
      </c>
      <c r="F84" s="2" t="s">
        <v>475</v>
      </c>
      <c r="G84" s="34" t="s">
        <v>896</v>
      </c>
      <c r="H84" s="27" t="s">
        <v>895</v>
      </c>
      <c r="I84" s="25" t="s">
        <v>895</v>
      </c>
      <c r="J84" s="125" t="s">
        <v>901</v>
      </c>
      <c r="K84" s="125" t="s">
        <v>901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1206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902</v>
      </c>
      <c r="AG84" s="120"/>
      <c r="AH84" s="121" t="s">
        <v>902</v>
      </c>
      <c r="AI84" s="121" t="s">
        <v>902</v>
      </c>
      <c r="AJ84" s="121" t="s">
        <v>902</v>
      </c>
      <c r="AK84" s="121" t="s">
        <v>902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821</v>
      </c>
      <c r="C85" s="2" t="s">
        <v>66</v>
      </c>
      <c r="D85" s="2" t="s">
        <v>869</v>
      </c>
      <c r="E85" s="2" t="s">
        <v>870</v>
      </c>
      <c r="F85" s="2" t="s">
        <v>475</v>
      </c>
      <c r="G85" s="34" t="s">
        <v>896</v>
      </c>
      <c r="H85" s="27" t="s">
        <v>895</v>
      </c>
      <c r="I85" s="25" t="s">
        <v>895</v>
      </c>
      <c r="J85" s="125" t="s">
        <v>901</v>
      </c>
      <c r="K85" s="125" t="s">
        <v>901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1206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902</v>
      </c>
      <c r="AG85" s="120"/>
      <c r="AH85" s="121" t="s">
        <v>902</v>
      </c>
      <c r="AI85" s="121" t="s">
        <v>902</v>
      </c>
      <c r="AJ85" s="121" t="s">
        <v>902</v>
      </c>
      <c r="AK85" s="121" t="s">
        <v>902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822</v>
      </c>
      <c r="C86" s="2" t="s">
        <v>66</v>
      </c>
      <c r="D86" s="2" t="s">
        <v>871</v>
      </c>
      <c r="E86" s="2" t="s">
        <v>872</v>
      </c>
      <c r="F86" s="2" t="s">
        <v>475</v>
      </c>
      <c r="G86" s="34" t="s">
        <v>896</v>
      </c>
      <c r="H86" s="27" t="s">
        <v>895</v>
      </c>
      <c r="I86" s="25" t="s">
        <v>895</v>
      </c>
      <c r="J86" s="125" t="s">
        <v>901</v>
      </c>
      <c r="K86" s="125" t="s">
        <v>901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1206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902</v>
      </c>
      <c r="AG86" s="120"/>
      <c r="AH86" s="121" t="s">
        <v>902</v>
      </c>
      <c r="AI86" s="121" t="s">
        <v>902</v>
      </c>
      <c r="AJ86" s="121" t="s">
        <v>902</v>
      </c>
      <c r="AK86" s="121" t="s">
        <v>902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823</v>
      </c>
      <c r="C87" s="2" t="s">
        <v>66</v>
      </c>
      <c r="D87" s="2" t="s">
        <v>873</v>
      </c>
      <c r="E87" s="2" t="s">
        <v>874</v>
      </c>
      <c r="F87" s="2" t="s">
        <v>475</v>
      </c>
      <c r="G87" s="34" t="s">
        <v>896</v>
      </c>
      <c r="H87" s="27" t="s">
        <v>895</v>
      </c>
      <c r="I87" s="25" t="s">
        <v>895</v>
      </c>
      <c r="J87" s="125" t="s">
        <v>901</v>
      </c>
      <c r="K87" s="125" t="s">
        <v>901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1206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902</v>
      </c>
      <c r="AG87" s="120"/>
      <c r="AH87" s="121" t="s">
        <v>902</v>
      </c>
      <c r="AI87" s="121" t="s">
        <v>902</v>
      </c>
      <c r="AJ87" s="121" t="s">
        <v>902</v>
      </c>
      <c r="AK87" s="121" t="s">
        <v>902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824</v>
      </c>
      <c r="C88" s="2" t="s">
        <v>66</v>
      </c>
      <c r="D88" s="2" t="s">
        <v>875</v>
      </c>
      <c r="E88" s="2" t="s">
        <v>876</v>
      </c>
      <c r="F88" s="2" t="s">
        <v>475</v>
      </c>
      <c r="G88" s="34" t="s">
        <v>896</v>
      </c>
      <c r="H88" s="27" t="s">
        <v>895</v>
      </c>
      <c r="I88" s="25" t="s">
        <v>895</v>
      </c>
      <c r="J88" s="125" t="s">
        <v>901</v>
      </c>
      <c r="K88" s="125" t="s">
        <v>901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1206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902</v>
      </c>
      <c r="AG88" s="120"/>
      <c r="AH88" s="121" t="s">
        <v>902</v>
      </c>
      <c r="AI88" s="121" t="s">
        <v>902</v>
      </c>
      <c r="AJ88" s="121" t="s">
        <v>902</v>
      </c>
      <c r="AK88" s="121" t="s">
        <v>902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825</v>
      </c>
      <c r="C89" s="2" t="s">
        <v>66</v>
      </c>
      <c r="D89" s="2" t="s">
        <v>877</v>
      </c>
      <c r="E89" s="2" t="s">
        <v>878</v>
      </c>
      <c r="F89" s="2" t="s">
        <v>829</v>
      </c>
      <c r="G89" s="34" t="s">
        <v>896</v>
      </c>
      <c r="H89" s="27" t="s">
        <v>895</v>
      </c>
      <c r="I89" s="25" t="s">
        <v>895</v>
      </c>
      <c r="J89" s="125" t="s">
        <v>901</v>
      </c>
      <c r="K89" s="125" t="s">
        <v>901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1207</v>
      </c>
      <c r="Z89" s="102" t="s">
        <v>833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917</v>
      </c>
      <c r="AG89" s="120"/>
      <c r="AH89" s="121" t="s">
        <v>902</v>
      </c>
      <c r="AI89" s="121" t="s">
        <v>902</v>
      </c>
      <c r="AJ89" s="121" t="s">
        <v>902</v>
      </c>
      <c r="AK89" s="121" t="s">
        <v>902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826</v>
      </c>
      <c r="C90" s="2" t="s">
        <v>66</v>
      </c>
      <c r="D90" s="2" t="s">
        <v>879</v>
      </c>
      <c r="E90" s="2" t="s">
        <v>880</v>
      </c>
      <c r="F90" s="2" t="s">
        <v>830</v>
      </c>
      <c r="G90" s="34" t="s">
        <v>896</v>
      </c>
      <c r="H90" s="27" t="s">
        <v>895</v>
      </c>
      <c r="I90" s="25" t="s">
        <v>895</v>
      </c>
      <c r="J90" s="125" t="s">
        <v>901</v>
      </c>
      <c r="K90" s="125" t="s">
        <v>901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1207</v>
      </c>
      <c r="Z90" s="102" t="s">
        <v>833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917</v>
      </c>
      <c r="AG90" s="120"/>
      <c r="AH90" s="121" t="s">
        <v>902</v>
      </c>
      <c r="AI90" s="121" t="s">
        <v>902</v>
      </c>
      <c r="AJ90" s="121" t="s">
        <v>902</v>
      </c>
      <c r="AK90" s="121" t="s">
        <v>902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827</v>
      </c>
      <c r="C91" s="2" t="s">
        <v>66</v>
      </c>
      <c r="D91" s="2" t="s">
        <v>881</v>
      </c>
      <c r="E91" s="2" t="s">
        <v>882</v>
      </c>
      <c r="F91" s="2" t="s">
        <v>831</v>
      </c>
      <c r="G91" s="34" t="s">
        <v>896</v>
      </c>
      <c r="H91" s="27" t="s">
        <v>895</v>
      </c>
      <c r="I91" s="25" t="s">
        <v>895</v>
      </c>
      <c r="J91" s="125" t="s">
        <v>901</v>
      </c>
      <c r="K91" s="125" t="s">
        <v>901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1207</v>
      </c>
      <c r="Z91" s="102" t="s">
        <v>833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917</v>
      </c>
      <c r="AG91" s="120"/>
      <c r="AH91" s="121" t="s">
        <v>902</v>
      </c>
      <c r="AI91" s="121" t="s">
        <v>902</v>
      </c>
      <c r="AJ91" s="121" t="s">
        <v>902</v>
      </c>
      <c r="AK91" s="121" t="s">
        <v>902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828</v>
      </c>
      <c r="C92" s="2" t="s">
        <v>66</v>
      </c>
      <c r="D92" s="2" t="s">
        <v>883</v>
      </c>
      <c r="E92" s="2" t="s">
        <v>884</v>
      </c>
      <c r="F92" s="2" t="s">
        <v>832</v>
      </c>
      <c r="G92" s="34" t="s">
        <v>896</v>
      </c>
      <c r="H92" s="27" t="s">
        <v>895</v>
      </c>
      <c r="I92" s="25" t="s">
        <v>895</v>
      </c>
      <c r="J92" s="125" t="s">
        <v>901</v>
      </c>
      <c r="K92" s="125" t="s">
        <v>901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1207</v>
      </c>
      <c r="Z92" s="102" t="s">
        <v>833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917</v>
      </c>
      <c r="AG92" s="120"/>
      <c r="AH92" s="121" t="s">
        <v>902</v>
      </c>
      <c r="AI92" s="121" t="s">
        <v>902</v>
      </c>
      <c r="AJ92" s="121" t="s">
        <v>902</v>
      </c>
      <c r="AK92" s="121" t="s">
        <v>902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834</v>
      </c>
      <c r="C93" s="2" t="s">
        <v>15</v>
      </c>
      <c r="D93" s="2">
        <v>106.597342</v>
      </c>
      <c r="E93" s="2">
        <v>10.860189999999999</v>
      </c>
      <c r="F93" s="2" t="s">
        <v>835</v>
      </c>
      <c r="G93" s="34" t="s">
        <v>355</v>
      </c>
      <c r="H93" s="27" t="s">
        <v>895</v>
      </c>
      <c r="I93" s="25" t="s">
        <v>895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913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842</v>
      </c>
      <c r="AI93" s="119" t="s">
        <v>841</v>
      </c>
      <c r="AJ93" s="112" t="s">
        <v>153</v>
      </c>
      <c r="AK93" s="2" t="s">
        <v>843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836</v>
      </c>
      <c r="C94" s="2" t="s">
        <v>229</v>
      </c>
      <c r="D94" s="2">
        <v>106.608164</v>
      </c>
      <c r="E94" s="2">
        <v>10.803616</v>
      </c>
      <c r="F94" s="2" t="s">
        <v>850</v>
      </c>
      <c r="G94" s="34" t="s">
        <v>355</v>
      </c>
      <c r="H94" s="27" t="s">
        <v>895</v>
      </c>
      <c r="I94" s="25" t="s">
        <v>895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1208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852</v>
      </c>
      <c r="AI94" s="119" t="s">
        <v>851</v>
      </c>
      <c r="AJ94" s="112" t="s">
        <v>853</v>
      </c>
      <c r="AK94" s="2" t="s">
        <v>849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838</v>
      </c>
      <c r="C95" s="2" t="s">
        <v>290</v>
      </c>
      <c r="D95" s="2">
        <v>106.6436025</v>
      </c>
      <c r="E95" s="2">
        <v>10.869358</v>
      </c>
      <c r="F95" s="2" t="s">
        <v>845</v>
      </c>
      <c r="G95" s="34" t="s">
        <v>356</v>
      </c>
      <c r="H95" s="27" t="s">
        <v>895</v>
      </c>
      <c r="I95" s="25" t="s">
        <v>895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1209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847</v>
      </c>
      <c r="AI95" s="121" t="s">
        <v>846</v>
      </c>
      <c r="AJ95" s="112" t="s">
        <v>848</v>
      </c>
      <c r="AK95" s="2" t="s">
        <v>844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978</v>
      </c>
      <c r="C96" s="2" t="s">
        <v>66</v>
      </c>
      <c r="D96" s="2">
        <v>106.683274</v>
      </c>
      <c r="E96" s="2">
        <v>10.837393199999999</v>
      </c>
      <c r="F96" s="2" t="s">
        <v>839</v>
      </c>
      <c r="G96" s="34" t="s">
        <v>356</v>
      </c>
      <c r="H96" s="27" t="s">
        <v>895</v>
      </c>
      <c r="I96" s="25" t="s">
        <v>895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1210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815</v>
      </c>
      <c r="AI96" s="121" t="s">
        <v>814</v>
      </c>
      <c r="AJ96" s="112" t="s">
        <v>840</v>
      </c>
      <c r="AK96" s="2" t="s">
        <v>816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811</v>
      </c>
      <c r="C97" s="2" t="s">
        <v>117</v>
      </c>
      <c r="D97" s="2">
        <v>106.518545</v>
      </c>
      <c r="E97" s="2">
        <v>10.738443</v>
      </c>
      <c r="F97" s="2" t="s">
        <v>854</v>
      </c>
      <c r="G97" s="34" t="s">
        <v>355</v>
      </c>
      <c r="H97" s="27" t="s">
        <v>895</v>
      </c>
      <c r="I97" s="25" t="s">
        <v>895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1211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812</v>
      </c>
      <c r="AI97" s="121" t="s">
        <v>813</v>
      </c>
      <c r="AJ97" s="112" t="s">
        <v>170</v>
      </c>
      <c r="AK97" s="2" t="s">
        <v>855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837</v>
      </c>
      <c r="C98" s="2" t="s">
        <v>581</v>
      </c>
      <c r="D98" s="2">
        <v>106.6705798</v>
      </c>
      <c r="E98" s="2">
        <v>10.763659000000001</v>
      </c>
      <c r="F98" s="2" t="s">
        <v>856</v>
      </c>
      <c r="G98" s="34" t="s">
        <v>356</v>
      </c>
      <c r="H98" s="27" t="s">
        <v>895</v>
      </c>
      <c r="I98" s="25" t="s">
        <v>895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1212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859</v>
      </c>
      <c r="AI98" s="119" t="s">
        <v>857</v>
      </c>
      <c r="AJ98" s="112" t="s">
        <v>858</v>
      </c>
      <c r="AK98" s="2" t="s">
        <v>860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885</v>
      </c>
      <c r="C99" s="2" t="s">
        <v>66</v>
      </c>
      <c r="D99" s="2">
        <v>106.6493112</v>
      </c>
      <c r="E99" s="2">
        <v>10.8455811</v>
      </c>
      <c r="F99" s="2" t="s">
        <v>889</v>
      </c>
      <c r="G99" s="34" t="s">
        <v>356</v>
      </c>
      <c r="H99" s="27" t="s">
        <v>895</v>
      </c>
      <c r="I99" s="25" t="s">
        <v>895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1213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887</v>
      </c>
      <c r="AI99" s="154" t="s">
        <v>886</v>
      </c>
      <c r="AJ99" s="41" t="s">
        <v>693</v>
      </c>
      <c r="AK99" s="2" t="s">
        <v>888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892</v>
      </c>
      <c r="C100" s="2" t="s">
        <v>66</v>
      </c>
      <c r="D100" s="2">
        <v>106.688222</v>
      </c>
      <c r="E100" s="2">
        <v>10.824833</v>
      </c>
      <c r="F100" s="2" t="s">
        <v>890</v>
      </c>
      <c r="G100" s="34" t="s">
        <v>355</v>
      </c>
      <c r="H100" s="27" t="s">
        <v>895</v>
      </c>
      <c r="I100" s="25" t="s">
        <v>895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1214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893</v>
      </c>
      <c r="AI100" s="154" t="s">
        <v>891</v>
      </c>
      <c r="AJ100" s="41" t="s">
        <v>102</v>
      </c>
      <c r="AK100" s="2" t="s">
        <v>894</v>
      </c>
      <c r="AL100" s="2"/>
      <c r="AM100" s="2"/>
      <c r="AN100" s="48"/>
      <c r="AO100">
        <v>2025</v>
      </c>
      <c r="AP100" s="122"/>
    </row>
    <row r="101" spans="1:42" ht="24" x14ac:dyDescent="0.3">
      <c r="A101" s="4">
        <v>98</v>
      </c>
      <c r="B101" s="2" t="s">
        <v>1036</v>
      </c>
      <c r="C101" s="2" t="s">
        <v>396</v>
      </c>
      <c r="D101" s="2">
        <v>106.60477</v>
      </c>
      <c r="E101" s="2">
        <v>10.977980000000001</v>
      </c>
      <c r="F101" s="2" t="s">
        <v>1131</v>
      </c>
      <c r="G101" s="34" t="s">
        <v>355</v>
      </c>
      <c r="H101" s="27" t="s">
        <v>895</v>
      </c>
      <c r="I101" s="25" t="s">
        <v>895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959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1133</v>
      </c>
      <c r="AI101" s="2" t="s">
        <v>1132</v>
      </c>
      <c r="AJ101" s="2" t="s">
        <v>400</v>
      </c>
      <c r="AK101" s="2" t="s">
        <v>1134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1135</v>
      </c>
      <c r="C102" s="2" t="s">
        <v>15</v>
      </c>
      <c r="D102" s="2">
        <v>106.63862</v>
      </c>
      <c r="E102" s="2">
        <v>10.901565</v>
      </c>
      <c r="F102" s="2" t="s">
        <v>1136</v>
      </c>
      <c r="G102" s="34" t="s">
        <v>355</v>
      </c>
      <c r="H102" s="27" t="s">
        <v>895</v>
      </c>
      <c r="I102" s="25" t="s">
        <v>895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1215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1138</v>
      </c>
      <c r="AI102" s="2" t="s">
        <v>1137</v>
      </c>
      <c r="AJ102" s="41" t="s">
        <v>1139</v>
      </c>
      <c r="AK102" s="2" t="s">
        <v>1140</v>
      </c>
      <c r="AL102" s="2">
        <v>14</v>
      </c>
      <c r="AM102" s="2">
        <v>12</v>
      </c>
      <c r="AN102" s="48"/>
      <c r="AO102">
        <v>2025</v>
      </c>
    </row>
  </sheetData>
  <autoFilter ref="A3:AQ102" xr:uid="{00000000-0001-0000-0000-000000000000}"/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A63" workbookViewId="0">
      <selection activeCell="K85" sqref="K85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365</v>
      </c>
      <c r="C1" s="157" t="s">
        <v>919</v>
      </c>
      <c r="D1" s="157" t="s">
        <v>920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921</v>
      </c>
      <c r="J1" s="157" t="s">
        <v>984</v>
      </c>
      <c r="K1" s="157" t="s">
        <v>922</v>
      </c>
      <c r="L1" s="157" t="s">
        <v>923</v>
      </c>
      <c r="M1" s="157" t="s">
        <v>924</v>
      </c>
      <c r="N1" s="157" t="s">
        <v>925</v>
      </c>
      <c r="O1" s="157" t="s">
        <v>926</v>
      </c>
      <c r="P1" s="157" t="s">
        <v>927</v>
      </c>
      <c r="Q1" s="157" t="s">
        <v>928</v>
      </c>
      <c r="R1" s="157" t="s">
        <v>929</v>
      </c>
      <c r="S1" s="157" t="s">
        <v>930</v>
      </c>
      <c r="T1" s="159" t="s">
        <v>931</v>
      </c>
      <c r="U1" s="159" t="s">
        <v>932</v>
      </c>
      <c r="V1" s="159" t="s">
        <v>933</v>
      </c>
      <c r="W1" s="159" t="s">
        <v>934</v>
      </c>
      <c r="X1" s="159" t="s">
        <v>935</v>
      </c>
      <c r="Y1" s="159" t="s">
        <v>936</v>
      </c>
      <c r="Z1" s="159" t="s">
        <v>937</v>
      </c>
      <c r="AA1" s="159" t="s">
        <v>938</v>
      </c>
      <c r="AB1" s="159" t="s">
        <v>938</v>
      </c>
      <c r="AC1" s="159" t="s">
        <v>979</v>
      </c>
      <c r="AD1" s="159" t="s">
        <v>980</v>
      </c>
      <c r="AE1" s="159" t="s">
        <v>981</v>
      </c>
      <c r="AF1" s="159" t="s">
        <v>982</v>
      </c>
      <c r="AG1" s="159" t="s">
        <v>983</v>
      </c>
      <c r="AH1" s="160" t="s">
        <v>939</v>
      </c>
      <c r="AI1" s="157" t="s">
        <v>940</v>
      </c>
      <c r="AJ1" s="157" t="s">
        <v>172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-29</v>
      </c>
      <c r="AI4" s="172">
        <f>3*D4</f>
        <v>19500000</v>
      </c>
      <c r="AJ4" s="164" t="s">
        <v>941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</v>
      </c>
      <c r="AI5" s="175">
        <f>3*D5</f>
        <v>21000000</v>
      </c>
      <c r="AJ5" s="173" t="s">
        <v>942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-30</v>
      </c>
      <c r="AI6" s="172">
        <f>3*D6</f>
        <v>17625000</v>
      </c>
      <c r="AJ6" s="164" t="s">
        <v>943</v>
      </c>
    </row>
    <row r="7" spans="1:36" x14ac:dyDescent="0.2">
      <c r="A7" s="173">
        <v>4</v>
      </c>
      <c r="B7" s="173" t="s">
        <v>977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-59</v>
      </c>
      <c r="AI7" s="175">
        <f>6*D7</f>
        <v>24000000</v>
      </c>
      <c r="AJ7" s="173" t="s">
        <v>944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1</v>
      </c>
      <c r="AI8" s="166">
        <f>3*D8</f>
        <v>14250000</v>
      </c>
      <c r="AJ8" s="164" t="s">
        <v>943</v>
      </c>
    </row>
    <row r="9" spans="1:36" x14ac:dyDescent="0.2">
      <c r="A9" s="173">
        <v>6</v>
      </c>
      <c r="B9" s="164" t="s">
        <v>253</v>
      </c>
      <c r="C9" s="165" t="s">
        <v>107</v>
      </c>
      <c r="D9" s="166">
        <v>8300000</v>
      </c>
      <c r="E9" s="166" t="s">
        <v>131</v>
      </c>
      <c r="F9" s="166" t="s">
        <v>130</v>
      </c>
      <c r="G9" s="166" t="s">
        <v>102</v>
      </c>
      <c r="H9" s="166" t="s">
        <v>132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-15</v>
      </c>
      <c r="AI9" s="166">
        <f>3*D9</f>
        <v>24900000</v>
      </c>
      <c r="AJ9" s="164" t="s">
        <v>945</v>
      </c>
    </row>
    <row r="10" spans="1:36" x14ac:dyDescent="0.2">
      <c r="A10" s="164">
        <v>7</v>
      </c>
      <c r="B10" s="164" t="s">
        <v>256</v>
      </c>
      <c r="C10" s="165" t="s">
        <v>117</v>
      </c>
      <c r="D10" s="166">
        <v>6000000</v>
      </c>
      <c r="E10" s="166" t="s">
        <v>119</v>
      </c>
      <c r="F10" s="166" t="s">
        <v>120</v>
      </c>
      <c r="G10" s="166" t="s">
        <v>121</v>
      </c>
      <c r="H10" s="166" t="s">
        <v>122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-59</v>
      </c>
      <c r="AI10" s="166">
        <f>D10*3</f>
        <v>18000000</v>
      </c>
      <c r="AJ10" s="164" t="s">
        <v>943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151</v>
      </c>
      <c r="F11" s="166" t="s">
        <v>152</v>
      </c>
      <c r="G11" s="166" t="s">
        <v>153</v>
      </c>
      <c r="H11" s="166" t="s">
        <v>154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-66</v>
      </c>
      <c r="AI11" s="189">
        <f>D11*3</f>
        <v>21000000</v>
      </c>
      <c r="AJ11" s="165" t="s">
        <v>943</v>
      </c>
    </row>
    <row r="12" spans="1:36" x14ac:dyDescent="0.2">
      <c r="A12" s="164">
        <v>9</v>
      </c>
      <c r="B12" s="164" t="s">
        <v>155</v>
      </c>
      <c r="C12" s="165" t="s">
        <v>156</v>
      </c>
      <c r="D12" s="166">
        <v>6500000</v>
      </c>
      <c r="E12" s="166" t="s">
        <v>159</v>
      </c>
      <c r="F12" s="166" t="s">
        <v>160</v>
      </c>
      <c r="G12" s="166" t="s">
        <v>153</v>
      </c>
      <c r="H12" s="166" t="s">
        <v>161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-59</v>
      </c>
      <c r="AI12" s="166">
        <f>3*D12</f>
        <v>19500000</v>
      </c>
      <c r="AJ12" s="164" t="s">
        <v>946</v>
      </c>
    </row>
    <row r="13" spans="1:36" x14ac:dyDescent="0.2">
      <c r="A13" s="173">
        <v>10</v>
      </c>
      <c r="B13" s="164" t="s">
        <v>259</v>
      </c>
      <c r="C13" s="165" t="s">
        <v>66</v>
      </c>
      <c r="D13" s="166">
        <v>7000000</v>
      </c>
      <c r="E13" s="190" t="s">
        <v>947</v>
      </c>
      <c r="F13" s="166" t="s">
        <v>169</v>
      </c>
      <c r="G13" s="191" t="s">
        <v>703</v>
      </c>
      <c r="H13" s="166" t="s">
        <v>171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-58</v>
      </c>
      <c r="AI13" s="166">
        <f>3*7000000</f>
        <v>21000000</v>
      </c>
      <c r="AJ13" s="164" t="s">
        <v>943</v>
      </c>
    </row>
    <row r="14" spans="1:36" x14ac:dyDescent="0.2">
      <c r="A14" s="164">
        <v>11</v>
      </c>
      <c r="B14" s="164" t="s">
        <v>417</v>
      </c>
      <c r="C14" s="165" t="s">
        <v>15</v>
      </c>
      <c r="D14" s="166">
        <v>6000000</v>
      </c>
      <c r="E14" s="166" t="s">
        <v>181</v>
      </c>
      <c r="F14" s="166" t="s">
        <v>180</v>
      </c>
      <c r="G14" s="166" t="s">
        <v>182</v>
      </c>
      <c r="H14" s="166" t="s">
        <v>183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-49</v>
      </c>
      <c r="AI14" s="166">
        <f>3*D14</f>
        <v>18000000</v>
      </c>
      <c r="AJ14" s="164" t="s">
        <v>946</v>
      </c>
    </row>
    <row r="15" spans="1:36" x14ac:dyDescent="0.2">
      <c r="A15" s="173">
        <v>12</v>
      </c>
      <c r="B15" s="164" t="s">
        <v>184</v>
      </c>
      <c r="C15" s="165" t="s">
        <v>66</v>
      </c>
      <c r="D15" s="166">
        <v>7000000</v>
      </c>
      <c r="E15" s="166" t="s">
        <v>306</v>
      </c>
      <c r="F15" s="166" t="s">
        <v>186</v>
      </c>
      <c r="G15" s="166" t="s">
        <v>194</v>
      </c>
      <c r="H15" s="166" t="s">
        <v>188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82</v>
      </c>
      <c r="AI15" s="166">
        <f>6*D15</f>
        <v>42000000</v>
      </c>
      <c r="AJ15" s="164" t="s">
        <v>944</v>
      </c>
    </row>
    <row r="16" spans="1:36" x14ac:dyDescent="0.2">
      <c r="A16" s="164">
        <v>13</v>
      </c>
      <c r="B16" s="164" t="s">
        <v>189</v>
      </c>
      <c r="C16" s="165" t="s">
        <v>15</v>
      </c>
      <c r="D16" s="166">
        <v>6600000</v>
      </c>
      <c r="E16" s="166" t="s">
        <v>192</v>
      </c>
      <c r="F16" s="166" t="s">
        <v>193</v>
      </c>
      <c r="G16" s="166" t="s">
        <v>194</v>
      </c>
      <c r="H16" s="166" t="s">
        <v>191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-5</v>
      </c>
      <c r="AI16" s="166">
        <f>6*D16</f>
        <v>39600000</v>
      </c>
      <c r="AJ16" s="164" t="s">
        <v>944</v>
      </c>
    </row>
    <row r="17" spans="1:36" x14ac:dyDescent="0.2">
      <c r="A17" s="173">
        <v>14</v>
      </c>
      <c r="B17" s="186" t="s">
        <v>228</v>
      </c>
      <c r="C17" s="165" t="s">
        <v>229</v>
      </c>
      <c r="D17" s="166">
        <v>7000000</v>
      </c>
      <c r="E17" s="166" t="s">
        <v>948</v>
      </c>
      <c r="F17" s="166" t="s">
        <v>232</v>
      </c>
      <c r="G17" s="166" t="s">
        <v>102</v>
      </c>
      <c r="H17" s="166" t="s">
        <v>233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2</v>
      </c>
      <c r="AI17" s="166">
        <f>3*D17</f>
        <v>21000000</v>
      </c>
      <c r="AJ17" s="164" t="s">
        <v>943</v>
      </c>
    </row>
    <row r="18" spans="1:36" x14ac:dyDescent="0.2">
      <c r="A18" s="164">
        <v>15</v>
      </c>
      <c r="B18" s="164" t="s">
        <v>289</v>
      </c>
      <c r="C18" s="165" t="s">
        <v>290</v>
      </c>
      <c r="D18" s="166">
        <v>5300000</v>
      </c>
      <c r="E18" s="166" t="s">
        <v>301</v>
      </c>
      <c r="F18" s="166" t="s">
        <v>300</v>
      </c>
      <c r="G18" s="166" t="s">
        <v>302</v>
      </c>
      <c r="H18" s="166" t="s">
        <v>297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16</v>
      </c>
      <c r="AI18" s="166">
        <f>6*D18</f>
        <v>31800000</v>
      </c>
      <c r="AJ18" s="164" t="s">
        <v>944</v>
      </c>
    </row>
    <row r="19" spans="1:36" x14ac:dyDescent="0.2">
      <c r="A19" s="173">
        <v>16</v>
      </c>
      <c r="B19" s="164" t="s">
        <v>315</v>
      </c>
      <c r="C19" s="165" t="s">
        <v>15</v>
      </c>
      <c r="D19" s="166">
        <v>6000000</v>
      </c>
      <c r="E19" s="166" t="s">
        <v>331</v>
      </c>
      <c r="F19" s="166" t="s">
        <v>332</v>
      </c>
      <c r="G19" s="166" t="s">
        <v>333</v>
      </c>
      <c r="H19" s="166" t="s">
        <v>334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-18</v>
      </c>
      <c r="AI19" s="166">
        <f>3*D19</f>
        <v>18000000</v>
      </c>
      <c r="AJ19" s="164" t="s">
        <v>946</v>
      </c>
    </row>
    <row r="20" spans="1:36" x14ac:dyDescent="0.2">
      <c r="A20" s="164" t="s">
        <v>1143</v>
      </c>
      <c r="B20" s="174" t="s">
        <v>421</v>
      </c>
      <c r="C20" s="165" t="s">
        <v>15</v>
      </c>
      <c r="D20" s="175">
        <v>5000000</v>
      </c>
      <c r="E20" s="175" t="s">
        <v>338</v>
      </c>
      <c r="F20" s="175" t="s">
        <v>339</v>
      </c>
      <c r="G20" s="175" t="s">
        <v>340</v>
      </c>
      <c r="H20" s="175" t="s">
        <v>341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94</v>
      </c>
      <c r="AI20" s="175">
        <f>6*D20</f>
        <v>30000000</v>
      </c>
      <c r="AJ20" s="173" t="s">
        <v>944</v>
      </c>
    </row>
    <row r="21" spans="1:36" x14ac:dyDescent="0.2">
      <c r="A21" s="173">
        <v>18</v>
      </c>
      <c r="B21" s="195" t="s">
        <v>643</v>
      </c>
      <c r="C21" s="165" t="s">
        <v>66</v>
      </c>
      <c r="D21" s="166">
        <v>6500000</v>
      </c>
      <c r="E21" s="166" t="s">
        <v>601</v>
      </c>
      <c r="F21" s="166" t="s">
        <v>595</v>
      </c>
      <c r="G21" s="166" t="s">
        <v>400</v>
      </c>
      <c r="H21" s="166" t="s">
        <v>352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</v>
      </c>
      <c r="AI21" s="166">
        <f>3*D21</f>
        <v>19500000</v>
      </c>
      <c r="AJ21" s="164" t="s">
        <v>943</v>
      </c>
    </row>
    <row r="22" spans="1:36" x14ac:dyDescent="0.2">
      <c r="A22" s="164">
        <v>19</v>
      </c>
      <c r="B22" s="164" t="s">
        <v>346</v>
      </c>
      <c r="C22" s="165" t="s">
        <v>66</v>
      </c>
      <c r="D22" s="166">
        <v>4000000</v>
      </c>
      <c r="E22" s="166" t="s">
        <v>370</v>
      </c>
      <c r="F22" s="166" t="s">
        <v>369</v>
      </c>
      <c r="G22" s="166" t="s">
        <v>371</v>
      </c>
      <c r="H22" s="166" t="s">
        <v>348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70</v>
      </c>
      <c r="AI22" s="166">
        <f>6*D22</f>
        <v>24000000</v>
      </c>
      <c r="AJ22" s="164" t="s">
        <v>944</v>
      </c>
    </row>
    <row r="23" spans="1:36" x14ac:dyDescent="0.2">
      <c r="A23" s="173">
        <v>20</v>
      </c>
      <c r="B23" s="164" t="s">
        <v>195</v>
      </c>
      <c r="C23" s="165" t="s">
        <v>15</v>
      </c>
      <c r="D23" s="196">
        <v>6000000</v>
      </c>
      <c r="E23" s="197" t="s">
        <v>949</v>
      </c>
      <c r="F23" s="166" t="s">
        <v>292</v>
      </c>
      <c r="G23" s="166" t="s">
        <v>304</v>
      </c>
      <c r="H23" s="166" t="s">
        <v>293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70</v>
      </c>
      <c r="AI23" s="166">
        <f>D23*6</f>
        <v>36000000</v>
      </c>
      <c r="AJ23" s="164" t="s">
        <v>944</v>
      </c>
    </row>
    <row r="24" spans="1:36" x14ac:dyDescent="0.2">
      <c r="A24" s="164">
        <v>21</v>
      </c>
      <c r="B24" s="165" t="s">
        <v>529</v>
      </c>
      <c r="C24" s="165" t="s">
        <v>15</v>
      </c>
      <c r="D24" s="166">
        <v>5000000</v>
      </c>
      <c r="E24" s="166" t="s">
        <v>374</v>
      </c>
      <c r="F24" s="166" t="s">
        <v>375</v>
      </c>
      <c r="G24" s="166" t="s">
        <v>376</v>
      </c>
      <c r="H24" s="166" t="s">
        <v>377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23</v>
      </c>
      <c r="AI24" s="189">
        <f>3*D24</f>
        <v>15000000</v>
      </c>
      <c r="AJ24" s="164" t="s">
        <v>950</v>
      </c>
    </row>
    <row r="25" spans="1:36" x14ac:dyDescent="0.2">
      <c r="A25" s="173">
        <v>22</v>
      </c>
      <c r="B25" s="173" t="s">
        <v>106</v>
      </c>
      <c r="C25" s="165" t="s">
        <v>378</v>
      </c>
      <c r="D25" s="196">
        <v>6500000</v>
      </c>
      <c r="E25" s="198" t="s">
        <v>951</v>
      </c>
      <c r="F25" s="175" t="s">
        <v>952</v>
      </c>
      <c r="G25" s="175" t="s">
        <v>400</v>
      </c>
      <c r="H25" s="175" t="s">
        <v>381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-15</v>
      </c>
      <c r="AI25" s="175">
        <f>3*D25</f>
        <v>19500000</v>
      </c>
      <c r="AJ25" s="173" t="s">
        <v>946</v>
      </c>
    </row>
    <row r="26" spans="1:36" x14ac:dyDescent="0.2">
      <c r="A26" s="164">
        <v>23</v>
      </c>
      <c r="B26" s="164" t="s">
        <v>382</v>
      </c>
      <c r="C26" s="165" t="s">
        <v>156</v>
      </c>
      <c r="D26" s="166" t="s">
        <v>413</v>
      </c>
      <c r="E26" s="166" t="s">
        <v>351</v>
      </c>
      <c r="F26" s="166" t="s">
        <v>385</v>
      </c>
      <c r="G26" s="166" t="s">
        <v>351</v>
      </c>
      <c r="H26" s="166" t="s">
        <v>386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-59</v>
      </c>
      <c r="AI26" s="166">
        <f>6*D26</f>
        <v>36000000</v>
      </c>
      <c r="AJ26" s="164" t="s">
        <v>953</v>
      </c>
    </row>
    <row r="27" spans="1:36" x14ac:dyDescent="0.2">
      <c r="A27" s="173">
        <v>24</v>
      </c>
      <c r="B27" s="164" t="s">
        <v>383</v>
      </c>
      <c r="C27" s="165" t="s">
        <v>66</v>
      </c>
      <c r="D27" s="166">
        <v>5000000</v>
      </c>
      <c r="E27" s="197" t="s">
        <v>954</v>
      </c>
      <c r="F27" s="166" t="s">
        <v>389</v>
      </c>
      <c r="G27" s="166" t="s">
        <v>390</v>
      </c>
      <c r="H27" s="166" t="s">
        <v>387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-29</v>
      </c>
      <c r="AI27" s="166">
        <f>3*D27</f>
        <v>15000000</v>
      </c>
      <c r="AJ27" s="164" t="s">
        <v>946</v>
      </c>
    </row>
    <row r="28" spans="1:36" x14ac:dyDescent="0.2">
      <c r="A28" s="164">
        <v>25</v>
      </c>
      <c r="B28" s="173" t="s">
        <v>402</v>
      </c>
      <c r="C28" s="165" t="s">
        <v>403</v>
      </c>
      <c r="D28" s="175">
        <v>5750000</v>
      </c>
      <c r="E28" s="175" t="s">
        <v>409</v>
      </c>
      <c r="F28" s="175" t="s">
        <v>408</v>
      </c>
      <c r="G28" s="175" t="s">
        <v>410</v>
      </c>
      <c r="H28" s="175" t="s">
        <v>405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17</v>
      </c>
      <c r="AI28" s="175">
        <f>6*D28</f>
        <v>34500000</v>
      </c>
      <c r="AJ28" s="173" t="s">
        <v>944</v>
      </c>
    </row>
    <row r="29" spans="1:36" x14ac:dyDescent="0.2">
      <c r="A29" s="173">
        <v>26</v>
      </c>
      <c r="B29" s="164" t="s">
        <v>422</v>
      </c>
      <c r="C29" s="165" t="s">
        <v>117</v>
      </c>
      <c r="D29" s="166">
        <v>7000000</v>
      </c>
      <c r="E29" s="166" t="s">
        <v>426</v>
      </c>
      <c r="F29" s="166" t="s">
        <v>424</v>
      </c>
      <c r="G29" s="166" t="s">
        <v>170</v>
      </c>
      <c r="H29" s="166" t="s">
        <v>427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1141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32</v>
      </c>
      <c r="AI29" s="203">
        <f>D29*6</f>
        <v>42000000</v>
      </c>
      <c r="AJ29" s="164" t="s">
        <v>955</v>
      </c>
    </row>
    <row r="30" spans="1:36" x14ac:dyDescent="0.2">
      <c r="A30" s="164">
        <v>27</v>
      </c>
      <c r="B30" s="164" t="s">
        <v>428</v>
      </c>
      <c r="C30" s="165" t="s">
        <v>15</v>
      </c>
      <c r="D30" s="203">
        <v>3000000</v>
      </c>
      <c r="E30" s="166" t="s">
        <v>438</v>
      </c>
      <c r="F30" s="166" t="s">
        <v>437</v>
      </c>
      <c r="G30" s="166" t="s">
        <v>435</v>
      </c>
      <c r="H30" s="166" t="s">
        <v>439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-25</v>
      </c>
      <c r="AI30" s="203">
        <f>D30*3</f>
        <v>9000000</v>
      </c>
      <c r="AJ30" s="164" t="s">
        <v>950</v>
      </c>
    </row>
    <row r="31" spans="1:36" x14ac:dyDescent="0.2">
      <c r="A31" s="173">
        <v>28</v>
      </c>
      <c r="B31" s="173" t="s">
        <v>430</v>
      </c>
      <c r="C31" s="165" t="s">
        <v>107</v>
      </c>
      <c r="D31" s="196">
        <v>8500000</v>
      </c>
      <c r="E31" s="175" t="s">
        <v>434</v>
      </c>
      <c r="F31" s="175" t="s">
        <v>432</v>
      </c>
      <c r="G31" s="175" t="s">
        <v>435</v>
      </c>
      <c r="H31" s="175" t="s">
        <v>436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103</v>
      </c>
      <c r="AI31" s="196">
        <f>D31*6</f>
        <v>51000000</v>
      </c>
      <c r="AJ31" s="173" t="s">
        <v>944</v>
      </c>
    </row>
    <row r="32" spans="1:36" x14ac:dyDescent="0.2">
      <c r="A32" s="164">
        <v>29</v>
      </c>
      <c r="B32" s="195" t="s">
        <v>342</v>
      </c>
      <c r="C32" s="165" t="s">
        <v>15</v>
      </c>
      <c r="D32" s="203">
        <v>5000000</v>
      </c>
      <c r="E32" s="166" t="s">
        <v>487</v>
      </c>
      <c r="F32" s="166" t="s">
        <v>488</v>
      </c>
      <c r="G32" s="166" t="s">
        <v>410</v>
      </c>
      <c r="H32" s="166" t="s">
        <v>347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11</v>
      </c>
      <c r="AI32" s="203">
        <f t="shared" ref="AI32:AI36" si="40">D32*3</f>
        <v>15000000</v>
      </c>
      <c r="AJ32" s="164" t="s">
        <v>950</v>
      </c>
    </row>
    <row r="33" spans="1:36" x14ac:dyDescent="0.2">
      <c r="A33" s="173">
        <v>30</v>
      </c>
      <c r="B33" s="165" t="s">
        <v>451</v>
      </c>
      <c r="C33" s="165" t="s">
        <v>32</v>
      </c>
      <c r="D33" s="203">
        <v>7000000</v>
      </c>
      <c r="E33" s="166" t="s">
        <v>454</v>
      </c>
      <c r="F33" s="166" t="s">
        <v>453</v>
      </c>
      <c r="G33" s="166" t="s">
        <v>455</v>
      </c>
      <c r="H33" s="166" t="s">
        <v>456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-32</v>
      </c>
      <c r="AI33" s="207">
        <f t="shared" si="40"/>
        <v>21000000</v>
      </c>
      <c r="AJ33" s="164" t="s">
        <v>950</v>
      </c>
    </row>
    <row r="34" spans="1:36" x14ac:dyDescent="0.2">
      <c r="A34" s="164">
        <v>31</v>
      </c>
      <c r="B34" s="173" t="s">
        <v>457</v>
      </c>
      <c r="C34" s="165" t="s">
        <v>396</v>
      </c>
      <c r="D34" s="196">
        <v>5000000</v>
      </c>
      <c r="E34" s="208" t="s">
        <v>512</v>
      </c>
      <c r="F34" s="208" t="s">
        <v>513</v>
      </c>
      <c r="G34" s="208" t="s">
        <v>514</v>
      </c>
      <c r="H34" s="208" t="s">
        <v>515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-5</v>
      </c>
      <c r="AI34" s="196">
        <f t="shared" si="40"/>
        <v>15000000</v>
      </c>
      <c r="AJ34" s="173" t="s">
        <v>950</v>
      </c>
    </row>
    <row r="35" spans="1:36" x14ac:dyDescent="0.2">
      <c r="A35" s="173">
        <v>32</v>
      </c>
      <c r="B35" s="186" t="s">
        <v>463</v>
      </c>
      <c r="C35" s="165" t="s">
        <v>290</v>
      </c>
      <c r="D35" s="203">
        <v>5000000</v>
      </c>
      <c r="E35" s="166" t="s">
        <v>465</v>
      </c>
      <c r="F35" s="166" t="s">
        <v>466</v>
      </c>
      <c r="G35" s="166" t="s">
        <v>467</v>
      </c>
      <c r="H35" s="166" t="s">
        <v>468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1</v>
      </c>
      <c r="AI35" s="203">
        <f t="shared" si="40"/>
        <v>15000000</v>
      </c>
      <c r="AJ35" s="164" t="s">
        <v>950</v>
      </c>
    </row>
    <row r="36" spans="1:36" x14ac:dyDescent="0.2">
      <c r="A36" s="164">
        <v>33</v>
      </c>
      <c r="B36" s="186" t="s">
        <v>469</v>
      </c>
      <c r="C36" s="165" t="s">
        <v>470</v>
      </c>
      <c r="D36" s="203">
        <v>5500000</v>
      </c>
      <c r="E36" s="166" t="s">
        <v>472</v>
      </c>
      <c r="F36" s="166" t="s">
        <v>473</v>
      </c>
      <c r="G36" s="166" t="s">
        <v>114</v>
      </c>
      <c r="H36" s="166" t="s">
        <v>474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1</v>
      </c>
      <c r="AI36" s="203">
        <f t="shared" si="40"/>
        <v>16500000</v>
      </c>
      <c r="AJ36" s="164" t="s">
        <v>950</v>
      </c>
    </row>
    <row r="37" spans="1:36" x14ac:dyDescent="0.2">
      <c r="A37" s="173">
        <v>34</v>
      </c>
      <c r="B37" s="164" t="s">
        <v>141</v>
      </c>
      <c r="C37" s="165" t="s">
        <v>66</v>
      </c>
      <c r="D37" s="203">
        <v>7700000</v>
      </c>
      <c r="E37" s="189" t="s">
        <v>476</v>
      </c>
      <c r="F37" s="189" t="s">
        <v>477</v>
      </c>
      <c r="G37" s="189" t="s">
        <v>478</v>
      </c>
      <c r="H37" s="166" t="s">
        <v>479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2</v>
      </c>
      <c r="AI37" s="203">
        <f>D37*6</f>
        <v>46200000</v>
      </c>
      <c r="AJ37" s="164" t="s">
        <v>953</v>
      </c>
    </row>
    <row r="38" spans="1:36" x14ac:dyDescent="0.2">
      <c r="A38" s="164">
        <v>35</v>
      </c>
      <c r="B38" s="164" t="s">
        <v>480</v>
      </c>
      <c r="C38" s="165" t="s">
        <v>229</v>
      </c>
      <c r="D38" s="203">
        <v>6000000</v>
      </c>
      <c r="E38" s="166" t="s">
        <v>482</v>
      </c>
      <c r="F38" s="166" t="s">
        <v>484</v>
      </c>
      <c r="G38" s="166" t="s">
        <v>483</v>
      </c>
      <c r="H38" s="166" t="s">
        <v>485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2</v>
      </c>
      <c r="AI38" s="203">
        <f>D38*6</f>
        <v>36000000</v>
      </c>
      <c r="AJ38" s="164" t="s">
        <v>953</v>
      </c>
    </row>
    <row r="39" spans="1:36" x14ac:dyDescent="0.2">
      <c r="A39" s="173">
        <v>36</v>
      </c>
      <c r="B39" s="164" t="s">
        <v>495</v>
      </c>
      <c r="C39" s="165" t="s">
        <v>32</v>
      </c>
      <c r="D39" s="203">
        <v>7000000</v>
      </c>
      <c r="E39" s="166" t="s">
        <v>497</v>
      </c>
      <c r="F39" s="166" t="s">
        <v>499</v>
      </c>
      <c r="G39" s="166" t="s">
        <v>498</v>
      </c>
      <c r="H39" s="166" t="s">
        <v>500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16</v>
      </c>
      <c r="AI39" s="203">
        <f>D39*6</f>
        <v>42000000</v>
      </c>
      <c r="AJ39" s="164" t="s">
        <v>953</v>
      </c>
    </row>
    <row r="40" spans="1:36" x14ac:dyDescent="0.2">
      <c r="A40" s="164">
        <v>37</v>
      </c>
      <c r="B40" s="164" t="s">
        <v>494</v>
      </c>
      <c r="C40" s="165" t="s">
        <v>32</v>
      </c>
      <c r="D40" s="203">
        <v>8000000</v>
      </c>
      <c r="E40" s="166" t="s">
        <v>510</v>
      </c>
      <c r="F40" s="166" t="s">
        <v>502</v>
      </c>
      <c r="G40" s="166" t="s">
        <v>503</v>
      </c>
      <c r="H40" s="166" t="s">
        <v>504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16</v>
      </c>
      <c r="AI40" s="203">
        <f>D40*3</f>
        <v>24000000</v>
      </c>
      <c r="AJ40" s="164" t="s">
        <v>950</v>
      </c>
    </row>
    <row r="41" spans="1:36" x14ac:dyDescent="0.2">
      <c r="A41" s="173">
        <v>38</v>
      </c>
      <c r="B41" s="164" t="s">
        <v>486</v>
      </c>
      <c r="C41" s="165" t="s">
        <v>66</v>
      </c>
      <c r="D41" s="203">
        <v>7000000</v>
      </c>
      <c r="E41" s="166" t="s">
        <v>507</v>
      </c>
      <c r="F41" s="166" t="s">
        <v>506</v>
      </c>
      <c r="G41" s="166" t="s">
        <v>508</v>
      </c>
      <c r="H41" s="166" t="s">
        <v>509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-66</v>
      </c>
      <c r="AI41" s="203">
        <f>D41*3</f>
        <v>21000000</v>
      </c>
      <c r="AJ41" s="164" t="s">
        <v>956</v>
      </c>
    </row>
    <row r="42" spans="1:36" x14ac:dyDescent="0.2">
      <c r="A42" s="164">
        <v>39</v>
      </c>
      <c r="B42" s="164" t="s">
        <v>543</v>
      </c>
      <c r="C42" s="165" t="s">
        <v>378</v>
      </c>
      <c r="D42" s="203">
        <v>6500000</v>
      </c>
      <c r="E42" s="166" t="s">
        <v>545</v>
      </c>
      <c r="F42" s="166" t="s">
        <v>546</v>
      </c>
      <c r="G42" s="166" t="s">
        <v>194</v>
      </c>
      <c r="H42" s="166" t="s">
        <v>547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-29</v>
      </c>
      <c r="AI42" s="203">
        <f t="shared" ref="AI42:AI43" si="49">D42*3</f>
        <v>19500000</v>
      </c>
      <c r="AJ42" s="164" t="s">
        <v>957</v>
      </c>
    </row>
    <row r="43" spans="1:36" x14ac:dyDescent="0.2">
      <c r="A43" s="173">
        <v>40</v>
      </c>
      <c r="B43" s="173" t="s">
        <v>552</v>
      </c>
      <c r="C43" s="165" t="s">
        <v>229</v>
      </c>
      <c r="D43" s="196">
        <v>6000000</v>
      </c>
      <c r="E43" s="175" t="s">
        <v>554</v>
      </c>
      <c r="F43" s="175" t="s">
        <v>555</v>
      </c>
      <c r="G43" s="175" t="s">
        <v>170</v>
      </c>
      <c r="H43" s="175" t="s">
        <v>556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-15</v>
      </c>
      <c r="AI43" s="196">
        <f t="shared" si="49"/>
        <v>18000000</v>
      </c>
      <c r="AJ43" s="173" t="s">
        <v>957</v>
      </c>
    </row>
    <row r="44" spans="1:36" x14ac:dyDescent="0.2">
      <c r="A44" s="164" t="s">
        <v>1143</v>
      </c>
      <c r="B44" s="164" t="s">
        <v>1142</v>
      </c>
      <c r="C44" s="165" t="s">
        <v>32</v>
      </c>
      <c r="D44" s="203">
        <v>6000000</v>
      </c>
      <c r="E44" s="166" t="s">
        <v>635</v>
      </c>
      <c r="F44" s="166" t="s">
        <v>636</v>
      </c>
      <c r="G44" s="166" t="s">
        <v>637</v>
      </c>
      <c r="H44" s="166" t="s">
        <v>642</v>
      </c>
      <c r="I44" s="164" t="s">
        <v>79</v>
      </c>
      <c r="J44" s="169" t="s">
        <v>958</v>
      </c>
      <c r="K44" s="169" t="s">
        <v>958</v>
      </c>
      <c r="L44" s="169" t="s">
        <v>958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-29</v>
      </c>
      <c r="AI44" s="203">
        <f>D44*6</f>
        <v>36000000</v>
      </c>
      <c r="AJ44" s="164" t="s">
        <v>959</v>
      </c>
    </row>
    <row r="45" spans="1:36" x14ac:dyDescent="0.2">
      <c r="A45" s="173">
        <v>42</v>
      </c>
      <c r="B45" s="215" t="s">
        <v>570</v>
      </c>
      <c r="C45" s="165" t="s">
        <v>470</v>
      </c>
      <c r="D45" s="196">
        <v>4300000</v>
      </c>
      <c r="E45" s="175" t="s">
        <v>597</v>
      </c>
      <c r="F45" s="175" t="s">
        <v>599</v>
      </c>
      <c r="G45" s="175" t="s">
        <v>598</v>
      </c>
      <c r="H45" s="175" t="s">
        <v>600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103</v>
      </c>
      <c r="AI45" s="196">
        <f>D45*6</f>
        <v>25800000</v>
      </c>
      <c r="AJ45" s="173" t="s">
        <v>960</v>
      </c>
    </row>
    <row r="46" spans="1:36" x14ac:dyDescent="0.2">
      <c r="A46" s="164">
        <v>43</v>
      </c>
      <c r="B46" s="164" t="s">
        <v>571</v>
      </c>
      <c r="C46" s="165" t="s">
        <v>575</v>
      </c>
      <c r="D46" s="203">
        <v>6000000</v>
      </c>
      <c r="E46" s="166" t="s">
        <v>577</v>
      </c>
      <c r="F46" s="166" t="s">
        <v>578</v>
      </c>
      <c r="G46" s="166" t="s">
        <v>400</v>
      </c>
      <c r="H46" s="166" t="s">
        <v>579</v>
      </c>
      <c r="I46" s="199" t="s">
        <v>1162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-45</v>
      </c>
      <c r="AI46" s="203">
        <f>D46*1</f>
        <v>6000000</v>
      </c>
      <c r="AJ46" s="164" t="s">
        <v>961</v>
      </c>
    </row>
    <row r="47" spans="1:36" x14ac:dyDescent="0.2">
      <c r="A47" s="173">
        <v>44</v>
      </c>
      <c r="B47" s="164" t="s">
        <v>572</v>
      </c>
      <c r="C47" s="165" t="s">
        <v>581</v>
      </c>
      <c r="D47" s="203">
        <v>4000000</v>
      </c>
      <c r="E47" s="166" t="s">
        <v>582</v>
      </c>
      <c r="F47" s="166" t="s">
        <v>583</v>
      </c>
      <c r="G47" s="166" t="s">
        <v>170</v>
      </c>
      <c r="H47" s="166" t="s">
        <v>584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77</v>
      </c>
      <c r="AI47" s="203">
        <v>24000000</v>
      </c>
      <c r="AJ47" s="164" t="s">
        <v>960</v>
      </c>
    </row>
    <row r="48" spans="1:36" x14ac:dyDescent="0.2">
      <c r="A48" s="164">
        <v>45</v>
      </c>
      <c r="B48" s="164" t="s">
        <v>573</v>
      </c>
      <c r="C48" s="165" t="s">
        <v>581</v>
      </c>
      <c r="D48" s="203">
        <v>4000000</v>
      </c>
      <c r="E48" s="166" t="s">
        <v>587</v>
      </c>
      <c r="F48" s="166" t="s">
        <v>586</v>
      </c>
      <c r="G48" s="166" t="s">
        <v>588</v>
      </c>
      <c r="H48" s="166" t="s">
        <v>589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77</v>
      </c>
      <c r="AI48" s="203">
        <v>24000000</v>
      </c>
      <c r="AJ48" s="164" t="s">
        <v>960</v>
      </c>
    </row>
    <row r="49" spans="1:36" x14ac:dyDescent="0.2">
      <c r="A49" s="173">
        <v>46</v>
      </c>
      <c r="B49" s="211" t="s">
        <v>574</v>
      </c>
      <c r="C49" s="165" t="s">
        <v>470</v>
      </c>
      <c r="D49" s="203">
        <v>6500000</v>
      </c>
      <c r="E49" s="166" t="s">
        <v>592</v>
      </c>
      <c r="F49" s="166" t="s">
        <v>591</v>
      </c>
      <c r="G49" s="166" t="s">
        <v>593</v>
      </c>
      <c r="H49" s="166" t="s">
        <v>594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93</v>
      </c>
      <c r="AI49" s="203">
        <f>D49*6</f>
        <v>39000000</v>
      </c>
      <c r="AJ49" s="164" t="s">
        <v>960</v>
      </c>
    </row>
    <row r="50" spans="1:36" x14ac:dyDescent="0.2">
      <c r="A50" s="164">
        <v>47</v>
      </c>
      <c r="B50" s="164" t="s">
        <v>610</v>
      </c>
      <c r="C50" s="165" t="s">
        <v>575</v>
      </c>
      <c r="D50" s="203">
        <v>6000000</v>
      </c>
      <c r="E50" s="166" t="s">
        <v>628</v>
      </c>
      <c r="F50" s="166" t="s">
        <v>629</v>
      </c>
      <c r="G50" s="166" t="s">
        <v>630</v>
      </c>
      <c r="H50" s="166" t="s">
        <v>631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-29</v>
      </c>
      <c r="AI50" s="203">
        <f>D50*6</f>
        <v>36000000</v>
      </c>
      <c r="AJ50" s="164" t="s">
        <v>962</v>
      </c>
    </row>
    <row r="51" spans="1:36" x14ac:dyDescent="0.2">
      <c r="A51" s="173">
        <v>48</v>
      </c>
      <c r="B51" s="217" t="s">
        <v>621</v>
      </c>
      <c r="C51" s="165" t="s">
        <v>575</v>
      </c>
      <c r="D51" s="196">
        <v>6000000</v>
      </c>
      <c r="E51" s="198" t="s">
        <v>963</v>
      </c>
      <c r="F51" s="175" t="s">
        <v>623</v>
      </c>
      <c r="G51" s="175" t="s">
        <v>964</v>
      </c>
      <c r="H51" s="175" t="s">
        <v>965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53</v>
      </c>
      <c r="AI51" s="196">
        <f t="shared" ref="AI51:AI60" si="57">D51*6</f>
        <v>36000000</v>
      </c>
      <c r="AJ51" s="173" t="s">
        <v>962</v>
      </c>
    </row>
    <row r="52" spans="1:36" x14ac:dyDescent="0.2">
      <c r="A52" s="164">
        <v>49</v>
      </c>
      <c r="B52" s="164" t="s">
        <v>616</v>
      </c>
      <c r="C52" s="165" t="s">
        <v>575</v>
      </c>
      <c r="D52" s="203">
        <v>6500000</v>
      </c>
      <c r="E52" s="197" t="s">
        <v>619</v>
      </c>
      <c r="F52" s="166" t="s">
        <v>618</v>
      </c>
      <c r="G52" s="166" t="s">
        <v>400</v>
      </c>
      <c r="H52" s="166" t="s">
        <v>966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32</v>
      </c>
      <c r="AI52" s="203">
        <f>D52*6</f>
        <v>39000000</v>
      </c>
      <c r="AJ52" s="164" t="s">
        <v>962</v>
      </c>
    </row>
    <row r="53" spans="1:36" x14ac:dyDescent="0.2">
      <c r="A53" s="173">
        <v>50</v>
      </c>
      <c r="B53" s="164" t="s">
        <v>639</v>
      </c>
      <c r="C53" s="165" t="s">
        <v>967</v>
      </c>
      <c r="D53" s="203">
        <v>4500000</v>
      </c>
      <c r="E53" s="166" t="s">
        <v>655</v>
      </c>
      <c r="F53" s="166" t="s">
        <v>656</v>
      </c>
      <c r="G53" s="166" t="s">
        <v>588</v>
      </c>
      <c r="H53" s="166" t="s">
        <v>654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28</v>
      </c>
      <c r="AI53" s="203">
        <f t="shared" si="57"/>
        <v>27000000</v>
      </c>
      <c r="AJ53" s="164" t="s">
        <v>962</v>
      </c>
    </row>
    <row r="54" spans="1:36" x14ac:dyDescent="0.2">
      <c r="A54" s="164">
        <v>51</v>
      </c>
      <c r="B54" s="164" t="s">
        <v>638</v>
      </c>
      <c r="C54" s="165" t="s">
        <v>558</v>
      </c>
      <c r="D54" s="203">
        <v>4000000</v>
      </c>
      <c r="E54" s="166" t="s">
        <v>652</v>
      </c>
      <c r="F54" s="166" t="s">
        <v>651</v>
      </c>
      <c r="G54" s="166" t="s">
        <v>153</v>
      </c>
      <c r="H54" s="166" t="s">
        <v>653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27</v>
      </c>
      <c r="AI54" s="203">
        <f t="shared" si="57"/>
        <v>24000000</v>
      </c>
      <c r="AJ54" s="164" t="s">
        <v>962</v>
      </c>
    </row>
    <row r="55" spans="1:36" x14ac:dyDescent="0.2">
      <c r="A55" s="173">
        <v>52</v>
      </c>
      <c r="B55" s="164" t="s">
        <v>609</v>
      </c>
      <c r="C55" s="165" t="s">
        <v>764</v>
      </c>
      <c r="D55" s="203">
        <v>5500000</v>
      </c>
      <c r="E55" s="197" t="s">
        <v>666</v>
      </c>
      <c r="F55" s="166" t="s">
        <v>667</v>
      </c>
      <c r="G55" s="166" t="s">
        <v>668</v>
      </c>
      <c r="H55" s="166" t="s">
        <v>669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63</v>
      </c>
      <c r="AI55" s="203">
        <f t="shared" si="57"/>
        <v>33000000</v>
      </c>
      <c r="AJ55" s="164" t="s">
        <v>960</v>
      </c>
    </row>
    <row r="56" spans="1:36" x14ac:dyDescent="0.2">
      <c r="A56" s="164">
        <v>53</v>
      </c>
      <c r="B56" s="164" t="s">
        <v>670</v>
      </c>
      <c r="C56" s="165" t="s">
        <v>66</v>
      </c>
      <c r="D56" s="203">
        <v>4000000</v>
      </c>
      <c r="E56" s="197" t="s">
        <v>680</v>
      </c>
      <c r="F56" s="166" t="s">
        <v>681</v>
      </c>
      <c r="G56" s="166" t="s">
        <v>400</v>
      </c>
      <c r="H56" s="166" t="s">
        <v>682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-63</v>
      </c>
      <c r="AI56" s="203">
        <f t="shared" si="57"/>
        <v>24000000</v>
      </c>
      <c r="AJ56" s="164" t="s">
        <v>968</v>
      </c>
    </row>
    <row r="57" spans="1:36" x14ac:dyDescent="0.2">
      <c r="A57" s="173">
        <v>54</v>
      </c>
      <c r="B57" s="164" t="s">
        <v>671</v>
      </c>
      <c r="C57" s="165" t="s">
        <v>32</v>
      </c>
      <c r="D57" s="203">
        <v>4000000</v>
      </c>
      <c r="E57" s="197" t="s">
        <v>684</v>
      </c>
      <c r="F57" s="166" t="s">
        <v>685</v>
      </c>
      <c r="G57" s="166" t="s">
        <v>410</v>
      </c>
      <c r="H57" s="166" t="s">
        <v>683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-50</v>
      </c>
      <c r="AI57" s="203">
        <f t="shared" si="57"/>
        <v>24000000</v>
      </c>
      <c r="AJ57" s="164" t="s">
        <v>969</v>
      </c>
    </row>
    <row r="58" spans="1:36" x14ac:dyDescent="0.2">
      <c r="A58" s="164">
        <v>55</v>
      </c>
      <c r="B58" s="195" t="s">
        <v>672</v>
      </c>
      <c r="C58" s="165" t="s">
        <v>581</v>
      </c>
      <c r="D58" s="203">
        <v>4000000</v>
      </c>
      <c r="E58" s="197" t="s">
        <v>687</v>
      </c>
      <c r="F58" s="166" t="s">
        <v>688</v>
      </c>
      <c r="G58" s="166" t="s">
        <v>689</v>
      </c>
      <c r="H58" s="166" t="s">
        <v>686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98</v>
      </c>
      <c r="AI58" s="203">
        <f t="shared" si="57"/>
        <v>24000000</v>
      </c>
      <c r="AJ58" s="164" t="s">
        <v>962</v>
      </c>
    </row>
    <row r="59" spans="1:36" x14ac:dyDescent="0.2">
      <c r="A59" s="173">
        <v>56</v>
      </c>
      <c r="B59" s="164" t="s">
        <v>673</v>
      </c>
      <c r="C59" s="165" t="s">
        <v>156</v>
      </c>
      <c r="D59" s="203">
        <v>4000000</v>
      </c>
      <c r="E59" s="197" t="s">
        <v>696</v>
      </c>
      <c r="F59" s="166" t="s">
        <v>695</v>
      </c>
      <c r="G59" s="166" t="s">
        <v>410</v>
      </c>
      <c r="H59" s="166" t="s">
        <v>694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-29</v>
      </c>
      <c r="AI59" s="203">
        <f t="shared" si="57"/>
        <v>24000000</v>
      </c>
      <c r="AJ59" s="164" t="s">
        <v>969</v>
      </c>
    </row>
    <row r="60" spans="1:36" x14ac:dyDescent="0.2">
      <c r="A60" s="164">
        <v>57</v>
      </c>
      <c r="B60" s="164" t="s">
        <v>674</v>
      </c>
      <c r="C60" s="165" t="s">
        <v>156</v>
      </c>
      <c r="D60" s="203">
        <v>4000000</v>
      </c>
      <c r="E60" s="197" t="s">
        <v>691</v>
      </c>
      <c r="F60" s="166" t="s">
        <v>692</v>
      </c>
      <c r="G60" s="166" t="s">
        <v>693</v>
      </c>
      <c r="H60" s="166" t="s">
        <v>690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-29</v>
      </c>
      <c r="AI60" s="203">
        <f t="shared" si="57"/>
        <v>24000000</v>
      </c>
      <c r="AJ60" s="164" t="s">
        <v>969</v>
      </c>
    </row>
    <row r="61" spans="1:36" x14ac:dyDescent="0.2">
      <c r="A61" s="173">
        <v>58</v>
      </c>
      <c r="B61" s="164" t="s">
        <v>740</v>
      </c>
      <c r="C61" s="165" t="s">
        <v>32</v>
      </c>
      <c r="D61" s="166">
        <v>4000000</v>
      </c>
      <c r="E61" s="166" t="s">
        <v>697</v>
      </c>
      <c r="F61" s="166" t="s">
        <v>698</v>
      </c>
      <c r="G61" s="166" t="s">
        <v>699</v>
      </c>
      <c r="H61" s="166" t="s">
        <v>700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-38</v>
      </c>
      <c r="AI61" s="203">
        <f>D61*6</f>
        <v>24000000</v>
      </c>
      <c r="AJ61" s="164" t="s">
        <v>969</v>
      </c>
    </row>
    <row r="62" spans="1:36" x14ac:dyDescent="0.2">
      <c r="A62" s="164">
        <v>59</v>
      </c>
      <c r="B62" s="164" t="s">
        <v>732</v>
      </c>
      <c r="C62" s="165" t="s">
        <v>290</v>
      </c>
      <c r="D62" s="166">
        <v>4000000</v>
      </c>
      <c r="E62" s="166" t="s">
        <v>735</v>
      </c>
      <c r="F62" s="166" t="s">
        <v>734</v>
      </c>
      <c r="G62" s="166" t="s">
        <v>970</v>
      </c>
      <c r="H62" s="166" t="s">
        <v>738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7</v>
      </c>
      <c r="AI62" s="203">
        <f t="shared" ref="AI62:AI85" si="62">D62*6</f>
        <v>24000000</v>
      </c>
      <c r="AJ62" s="164" t="s">
        <v>969</v>
      </c>
    </row>
    <row r="63" spans="1:36" x14ac:dyDescent="0.2">
      <c r="A63" s="173">
        <v>60</v>
      </c>
      <c r="B63" s="221" t="s">
        <v>725</v>
      </c>
      <c r="C63" s="165" t="s">
        <v>15</v>
      </c>
      <c r="D63" s="166">
        <v>5000000</v>
      </c>
      <c r="E63" s="166" t="s">
        <v>727</v>
      </c>
      <c r="F63" s="166" t="s">
        <v>728</v>
      </c>
      <c r="G63" s="166" t="s">
        <v>395</v>
      </c>
      <c r="H63" s="166" t="s">
        <v>729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16</v>
      </c>
      <c r="AI63" s="203">
        <f t="shared" si="62"/>
        <v>30000000</v>
      </c>
      <c r="AJ63" s="164" t="s">
        <v>969</v>
      </c>
    </row>
    <row r="64" spans="1:36" x14ac:dyDescent="0.2">
      <c r="A64" s="164">
        <v>61</v>
      </c>
      <c r="B64" s="164" t="s">
        <v>704</v>
      </c>
      <c r="C64" s="165" t="s">
        <v>290</v>
      </c>
      <c r="D64" s="166">
        <v>5500000</v>
      </c>
      <c r="E64" s="166" t="s">
        <v>723</v>
      </c>
      <c r="F64" s="166" t="s">
        <v>722</v>
      </c>
      <c r="G64" s="166" t="s">
        <v>153</v>
      </c>
      <c r="H64" s="166" t="s">
        <v>706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11</v>
      </c>
      <c r="AI64" s="203">
        <f>D64*6</f>
        <v>33000000</v>
      </c>
      <c r="AJ64" s="164" t="s">
        <v>969</v>
      </c>
    </row>
    <row r="65" spans="1:36" x14ac:dyDescent="0.2">
      <c r="A65" s="173">
        <v>62</v>
      </c>
      <c r="B65" s="165" t="s">
        <v>707</v>
      </c>
      <c r="C65" s="165" t="s">
        <v>290</v>
      </c>
      <c r="D65" s="166">
        <v>7000000</v>
      </c>
      <c r="E65" s="166" t="s">
        <v>719</v>
      </c>
      <c r="F65" s="166" t="s">
        <v>718</v>
      </c>
      <c r="G65" s="166" t="s">
        <v>410</v>
      </c>
      <c r="H65" s="166" t="s">
        <v>709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21</v>
      </c>
      <c r="AI65" s="203">
        <f t="shared" si="62"/>
        <v>42000000</v>
      </c>
      <c r="AJ65" s="164" t="s">
        <v>969</v>
      </c>
    </row>
    <row r="66" spans="1:36" x14ac:dyDescent="0.2">
      <c r="A66" s="164">
        <v>63</v>
      </c>
      <c r="B66" s="164" t="s">
        <v>710</v>
      </c>
      <c r="C66" s="165" t="s">
        <v>32</v>
      </c>
      <c r="D66" s="166">
        <v>7500000</v>
      </c>
      <c r="E66" s="166" t="s">
        <v>731</v>
      </c>
      <c r="F66" s="166" t="s">
        <v>730</v>
      </c>
      <c r="G66" s="166" t="s">
        <v>971</v>
      </c>
      <c r="H66" s="166" t="s">
        <v>712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41</v>
      </c>
      <c r="AI66" s="203">
        <f>D66*6</f>
        <v>45000000</v>
      </c>
      <c r="AJ66" s="173" t="s">
        <v>969</v>
      </c>
    </row>
    <row r="67" spans="1:36" x14ac:dyDescent="0.2">
      <c r="A67" s="173">
        <v>64</v>
      </c>
      <c r="B67" s="164" t="s">
        <v>713</v>
      </c>
      <c r="C67" s="165" t="s">
        <v>229</v>
      </c>
      <c r="D67" s="166">
        <v>5000000</v>
      </c>
      <c r="E67" s="166" t="s">
        <v>716</v>
      </c>
      <c r="F67" s="166" t="s">
        <v>717</v>
      </c>
      <c r="G67" s="166" t="s">
        <v>170</v>
      </c>
      <c r="H67" s="166" t="s">
        <v>715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49</v>
      </c>
      <c r="AI67" s="203">
        <f t="shared" si="62"/>
        <v>30000000</v>
      </c>
      <c r="AJ67" s="164" t="s">
        <v>969</v>
      </c>
    </row>
    <row r="68" spans="1:36" x14ac:dyDescent="0.2">
      <c r="A68" s="164">
        <v>65</v>
      </c>
      <c r="B68" s="221" t="s">
        <v>744</v>
      </c>
      <c r="C68" s="165" t="s">
        <v>15</v>
      </c>
      <c r="D68" s="166">
        <v>5500000</v>
      </c>
      <c r="E68" s="166" t="s">
        <v>759</v>
      </c>
      <c r="F68" s="166" t="s">
        <v>758</v>
      </c>
      <c r="G68" s="166" t="s">
        <v>760</v>
      </c>
      <c r="H68" s="166" t="s">
        <v>747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103</v>
      </c>
      <c r="AI68" s="203">
        <f t="shared" si="62"/>
        <v>33000000</v>
      </c>
      <c r="AJ68" s="164" t="s">
        <v>969</v>
      </c>
    </row>
    <row r="69" spans="1:36" x14ac:dyDescent="0.2">
      <c r="A69" s="173">
        <v>66</v>
      </c>
      <c r="B69" s="221" t="s">
        <v>745</v>
      </c>
      <c r="C69" s="165" t="s">
        <v>229</v>
      </c>
      <c r="D69" s="166">
        <v>5000000</v>
      </c>
      <c r="E69" s="166" t="s">
        <v>771</v>
      </c>
      <c r="F69" s="166" t="s">
        <v>772</v>
      </c>
      <c r="G69" s="166" t="s">
        <v>773</v>
      </c>
      <c r="H69" s="166" t="s">
        <v>749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103</v>
      </c>
      <c r="AI69" s="203">
        <f t="shared" si="62"/>
        <v>30000000</v>
      </c>
      <c r="AJ69" s="164" t="s">
        <v>969</v>
      </c>
    </row>
    <row r="70" spans="1:36" x14ac:dyDescent="0.2">
      <c r="A70" s="164">
        <v>67</v>
      </c>
      <c r="B70" s="164" t="s">
        <v>742</v>
      </c>
      <c r="C70" s="165" t="s">
        <v>15</v>
      </c>
      <c r="D70" s="166">
        <v>5000000</v>
      </c>
      <c r="E70" s="166" t="s">
        <v>756</v>
      </c>
      <c r="F70" s="166" t="s">
        <v>757</v>
      </c>
      <c r="G70" s="166" t="s">
        <v>703</v>
      </c>
      <c r="H70" s="166" t="s">
        <v>754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-42</v>
      </c>
      <c r="AI70" s="203">
        <f t="shared" si="62"/>
        <v>30000000</v>
      </c>
      <c r="AJ70" s="164" t="s">
        <v>968</v>
      </c>
    </row>
    <row r="71" spans="1:36" x14ac:dyDescent="0.2">
      <c r="A71" s="173">
        <v>68</v>
      </c>
      <c r="B71" s="164" t="s">
        <v>743</v>
      </c>
      <c r="C71" s="165" t="s">
        <v>117</v>
      </c>
      <c r="D71" s="166">
        <v>4500000</v>
      </c>
      <c r="E71" s="166" t="s">
        <v>752</v>
      </c>
      <c r="F71" s="166" t="s">
        <v>751</v>
      </c>
      <c r="G71" s="166" t="s">
        <v>703</v>
      </c>
      <c r="H71" s="166" t="s">
        <v>753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88</v>
      </c>
      <c r="AI71" s="203">
        <f t="shared" si="62"/>
        <v>27000000</v>
      </c>
      <c r="AJ71" s="164" t="s">
        <v>969</v>
      </c>
    </row>
    <row r="72" spans="1:36" x14ac:dyDescent="0.2">
      <c r="A72" s="164">
        <v>69</v>
      </c>
      <c r="B72" s="164" t="s">
        <v>774</v>
      </c>
      <c r="C72" s="165" t="s">
        <v>32</v>
      </c>
      <c r="D72" s="166">
        <v>6000000</v>
      </c>
      <c r="E72" s="166" t="s">
        <v>777</v>
      </c>
      <c r="F72" s="166" t="s">
        <v>778</v>
      </c>
      <c r="G72" s="166" t="s">
        <v>773</v>
      </c>
      <c r="H72" s="166" t="s">
        <v>779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-4</v>
      </c>
      <c r="AI72" s="203">
        <f t="shared" si="62"/>
        <v>36000000</v>
      </c>
      <c r="AJ72" s="164" t="s">
        <v>972</v>
      </c>
    </row>
    <row r="73" spans="1:36" x14ac:dyDescent="0.2">
      <c r="A73" s="164">
        <v>70</v>
      </c>
      <c r="B73" s="221" t="s">
        <v>781</v>
      </c>
      <c r="C73" s="165" t="s">
        <v>156</v>
      </c>
      <c r="D73" s="166">
        <v>4000000</v>
      </c>
      <c r="E73" s="166" t="s">
        <v>783</v>
      </c>
      <c r="F73" s="166" t="s">
        <v>784</v>
      </c>
      <c r="G73" s="166" t="s">
        <v>785</v>
      </c>
      <c r="H73" s="166" t="s">
        <v>786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14</v>
      </c>
      <c r="AI73" s="203">
        <f t="shared" si="62"/>
        <v>24000000</v>
      </c>
      <c r="AJ73" s="164" t="s">
        <v>972</v>
      </c>
    </row>
    <row r="74" spans="1:36" x14ac:dyDescent="0.2">
      <c r="A74" s="164">
        <v>71</v>
      </c>
      <c r="B74" s="165" t="s">
        <v>790</v>
      </c>
      <c r="C74" s="165" t="s">
        <v>575</v>
      </c>
      <c r="D74" s="166">
        <v>7000000</v>
      </c>
      <c r="E74" s="166" t="s">
        <v>792</v>
      </c>
      <c r="F74" s="166" t="s">
        <v>791</v>
      </c>
      <c r="G74" s="166" t="s">
        <v>793</v>
      </c>
      <c r="H74" s="166" t="s">
        <v>788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51</v>
      </c>
      <c r="AI74" s="203">
        <f t="shared" si="62"/>
        <v>42000000</v>
      </c>
      <c r="AJ74" s="164" t="s">
        <v>968</v>
      </c>
    </row>
    <row r="75" spans="1:36" x14ac:dyDescent="0.2">
      <c r="A75" s="164">
        <v>73</v>
      </c>
      <c r="B75" s="165" t="s">
        <v>794</v>
      </c>
      <c r="C75" s="165" t="s">
        <v>32</v>
      </c>
      <c r="D75" s="166">
        <v>4000000</v>
      </c>
      <c r="E75" s="166" t="s">
        <v>801</v>
      </c>
      <c r="F75" s="166" t="s">
        <v>861</v>
      </c>
      <c r="G75" s="166" t="s">
        <v>699</v>
      </c>
      <c r="H75" s="166" t="s">
        <v>800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57</v>
      </c>
      <c r="AI75" s="203">
        <f t="shared" si="62"/>
        <v>24000000</v>
      </c>
      <c r="AJ75" s="164" t="s">
        <v>968</v>
      </c>
    </row>
    <row r="76" spans="1:36" x14ac:dyDescent="0.2">
      <c r="A76" s="164">
        <v>74</v>
      </c>
      <c r="B76" s="165" t="s">
        <v>795</v>
      </c>
      <c r="C76" s="165" t="s">
        <v>156</v>
      </c>
      <c r="D76" s="166">
        <v>4000000</v>
      </c>
      <c r="E76" s="166" t="s">
        <v>797</v>
      </c>
      <c r="F76" s="166" t="s">
        <v>798</v>
      </c>
      <c r="G76" s="166" t="s">
        <v>170</v>
      </c>
      <c r="H76" s="166" t="s">
        <v>799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49</v>
      </c>
      <c r="AI76" s="203">
        <f t="shared" si="62"/>
        <v>24000000</v>
      </c>
      <c r="AJ76" s="164" t="s">
        <v>968</v>
      </c>
    </row>
    <row r="77" spans="1:36" x14ac:dyDescent="0.2">
      <c r="A77" s="164">
        <v>75</v>
      </c>
      <c r="B77" s="164" t="s">
        <v>806</v>
      </c>
      <c r="C77" s="165" t="s">
        <v>117</v>
      </c>
      <c r="D77" s="166">
        <v>5000000</v>
      </c>
      <c r="E77" s="183" t="s">
        <v>808</v>
      </c>
      <c r="F77" s="165" t="s">
        <v>809</v>
      </c>
      <c r="G77" s="165" t="s">
        <v>153</v>
      </c>
      <c r="H77" s="164" t="s">
        <v>810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79</v>
      </c>
      <c r="AI77" s="203">
        <f t="shared" si="62"/>
        <v>30000000</v>
      </c>
      <c r="AJ77" s="164" t="s">
        <v>968</v>
      </c>
    </row>
    <row r="78" spans="1:36" x14ac:dyDescent="0.2">
      <c r="A78" s="164">
        <v>76</v>
      </c>
      <c r="B78" s="164" t="s">
        <v>811</v>
      </c>
      <c r="C78" s="165" t="s">
        <v>117</v>
      </c>
      <c r="D78" s="166">
        <v>3000000</v>
      </c>
      <c r="E78" s="183" t="s">
        <v>812</v>
      </c>
      <c r="F78" s="165" t="s">
        <v>813</v>
      </c>
      <c r="G78" s="165" t="s">
        <v>170</v>
      </c>
      <c r="H78" s="164" t="s">
        <v>973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-8</v>
      </c>
      <c r="AI78" s="203">
        <f t="shared" si="62"/>
        <v>18000000</v>
      </c>
      <c r="AJ78" s="164" t="s">
        <v>974</v>
      </c>
    </row>
    <row r="79" spans="1:36" x14ac:dyDescent="0.2">
      <c r="A79" s="164">
        <v>77</v>
      </c>
      <c r="B79" s="164" t="s">
        <v>978</v>
      </c>
      <c r="C79" s="165" t="s">
        <v>66</v>
      </c>
      <c r="D79" s="166">
        <v>4000000</v>
      </c>
      <c r="E79" s="183" t="s">
        <v>815</v>
      </c>
      <c r="F79" s="165" t="s">
        <v>814</v>
      </c>
      <c r="G79" s="165" t="s">
        <v>975</v>
      </c>
      <c r="H79" s="164" t="s">
        <v>816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-3</v>
      </c>
      <c r="AI79" s="203">
        <f t="shared" si="62"/>
        <v>24000000</v>
      </c>
      <c r="AJ79" s="164" t="s">
        <v>974</v>
      </c>
    </row>
    <row r="80" spans="1:36" x14ac:dyDescent="0.2">
      <c r="A80" s="164">
        <v>78</v>
      </c>
      <c r="B80" s="189" t="s">
        <v>834</v>
      </c>
      <c r="C80" s="165" t="s">
        <v>15</v>
      </c>
      <c r="D80" s="166">
        <v>5000000</v>
      </c>
      <c r="E80" s="165" t="s">
        <v>842</v>
      </c>
      <c r="F80" s="165" t="s">
        <v>841</v>
      </c>
      <c r="G80" s="164" t="s">
        <v>153</v>
      </c>
      <c r="H80" s="164" t="s">
        <v>843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50</v>
      </c>
      <c r="AI80" s="203">
        <f t="shared" si="62"/>
        <v>30000000</v>
      </c>
      <c r="AJ80" s="222" t="s">
        <v>974</v>
      </c>
    </row>
    <row r="81" spans="1:36" x14ac:dyDescent="0.2">
      <c r="A81" s="164">
        <v>79</v>
      </c>
      <c r="B81" s="189" t="s">
        <v>836</v>
      </c>
      <c r="C81" s="165" t="s">
        <v>229</v>
      </c>
      <c r="D81" s="166">
        <v>5000000</v>
      </c>
      <c r="E81" s="165" t="s">
        <v>852</v>
      </c>
      <c r="F81" s="165" t="s">
        <v>851</v>
      </c>
      <c r="G81" s="164" t="s">
        <v>853</v>
      </c>
      <c r="H81" s="164" t="s">
        <v>849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63</v>
      </c>
      <c r="AI81" s="203">
        <f t="shared" si="62"/>
        <v>30000000</v>
      </c>
      <c r="AJ81" s="164" t="s">
        <v>974</v>
      </c>
    </row>
    <row r="82" spans="1:36" x14ac:dyDescent="0.2">
      <c r="A82" s="164">
        <v>80</v>
      </c>
      <c r="B82" s="189" t="s">
        <v>838</v>
      </c>
      <c r="C82" s="165" t="s">
        <v>290</v>
      </c>
      <c r="D82" s="166">
        <v>4000000</v>
      </c>
      <c r="E82" s="165" t="s">
        <v>847</v>
      </c>
      <c r="F82" s="165" t="s">
        <v>846</v>
      </c>
      <c r="G82" s="164" t="s">
        <v>848</v>
      </c>
      <c r="H82" s="164" t="s">
        <v>844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39</v>
      </c>
      <c r="AI82" s="203">
        <f t="shared" si="62"/>
        <v>24000000</v>
      </c>
      <c r="AJ82" s="222" t="s">
        <v>974</v>
      </c>
    </row>
    <row r="83" spans="1:36" x14ac:dyDescent="0.2">
      <c r="A83" s="164">
        <v>81</v>
      </c>
      <c r="B83" s="189" t="s">
        <v>837</v>
      </c>
      <c r="C83" s="165" t="s">
        <v>581</v>
      </c>
      <c r="D83" s="166">
        <v>5000000</v>
      </c>
      <c r="E83" s="165" t="s">
        <v>859</v>
      </c>
      <c r="F83" s="165" t="s">
        <v>857</v>
      </c>
      <c r="G83" s="164" t="s">
        <v>858</v>
      </c>
      <c r="H83" s="164" t="s">
        <v>860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40</v>
      </c>
      <c r="AI83" s="203">
        <f t="shared" si="62"/>
        <v>30000000</v>
      </c>
      <c r="AJ83" s="164" t="s">
        <v>974</v>
      </c>
    </row>
    <row r="84" spans="1:36" x14ac:dyDescent="0.2">
      <c r="A84" s="164">
        <v>82</v>
      </c>
      <c r="B84" s="223" t="s">
        <v>885</v>
      </c>
      <c r="C84" s="165" t="s">
        <v>66</v>
      </c>
      <c r="D84" s="166">
        <v>4000000</v>
      </c>
      <c r="E84" s="183" t="s">
        <v>887</v>
      </c>
      <c r="F84" s="165" t="s">
        <v>886</v>
      </c>
      <c r="G84" s="164" t="s">
        <v>693</v>
      </c>
      <c r="H84" s="164" t="s">
        <v>888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98</v>
      </c>
      <c r="AI84" s="203">
        <f t="shared" si="62"/>
        <v>24000000</v>
      </c>
      <c r="AJ84" s="164" t="s">
        <v>974</v>
      </c>
    </row>
    <row r="85" spans="1:36" x14ac:dyDescent="0.2">
      <c r="A85" s="164">
        <v>83</v>
      </c>
      <c r="B85" s="189" t="s">
        <v>892</v>
      </c>
      <c r="C85" s="165" t="s">
        <v>66</v>
      </c>
      <c r="D85" s="166">
        <v>6000000</v>
      </c>
      <c r="E85" s="183" t="s">
        <v>893</v>
      </c>
      <c r="F85" s="165" t="s">
        <v>891</v>
      </c>
      <c r="G85" s="164" t="s">
        <v>102</v>
      </c>
      <c r="H85" s="164" t="s">
        <v>894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-59</v>
      </c>
      <c r="AI85" s="203">
        <f t="shared" si="62"/>
        <v>36000000</v>
      </c>
      <c r="AJ85" s="164" t="s">
        <v>976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70" zoomScale="85" zoomScaleNormal="85" workbookViewId="0">
      <selection activeCell="L96" sqref="L96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365</v>
      </c>
      <c r="C1" s="157" t="s">
        <v>1052</v>
      </c>
      <c r="D1" s="157" t="s">
        <v>985</v>
      </c>
      <c r="E1" s="157" t="s">
        <v>986</v>
      </c>
      <c r="F1" s="157" t="s">
        <v>1053</v>
      </c>
      <c r="G1" s="230" t="s">
        <v>987</v>
      </c>
      <c r="H1" s="230" t="s">
        <v>988</v>
      </c>
      <c r="I1" s="230" t="s">
        <v>989</v>
      </c>
      <c r="J1" s="230" t="s">
        <v>990</v>
      </c>
      <c r="K1" s="230" t="s">
        <v>991</v>
      </c>
      <c r="L1" s="230" t="s">
        <v>992</v>
      </c>
      <c r="M1" s="230" t="s">
        <v>993</v>
      </c>
      <c r="N1" s="230" t="s">
        <v>994</v>
      </c>
      <c r="O1" s="230" t="s">
        <v>994</v>
      </c>
      <c r="P1" s="230" t="s">
        <v>995</v>
      </c>
      <c r="Q1" s="230" t="s">
        <v>995</v>
      </c>
      <c r="R1" s="230" t="s">
        <v>1044</v>
      </c>
      <c r="S1" s="230" t="s">
        <v>1045</v>
      </c>
      <c r="T1" s="230" t="s">
        <v>1046</v>
      </c>
      <c r="U1" s="230" t="s">
        <v>1047</v>
      </c>
      <c r="V1" s="230" t="s">
        <v>1048</v>
      </c>
      <c r="W1" s="230" t="s">
        <v>1049</v>
      </c>
      <c r="X1" s="230" t="s">
        <v>1050</v>
      </c>
      <c r="Y1" s="230" t="s">
        <v>1051</v>
      </c>
      <c r="Z1" s="231" t="s">
        <v>996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4846680000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997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997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997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977</v>
      </c>
      <c r="C7" s="189">
        <v>6300000</v>
      </c>
      <c r="D7" s="189"/>
      <c r="E7" s="164" t="s">
        <v>997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1143</v>
      </c>
      <c r="B8" s="165" t="s">
        <v>95</v>
      </c>
      <c r="C8" s="189">
        <v>7680000</v>
      </c>
      <c r="D8" s="189"/>
      <c r="E8" s="164" t="s">
        <v>998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997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253</v>
      </c>
      <c r="C10" s="208">
        <v>11900000</v>
      </c>
      <c r="D10" s="208"/>
      <c r="E10" s="173" t="s">
        <v>997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256</v>
      </c>
      <c r="C11" s="189">
        <v>8640000</v>
      </c>
      <c r="D11" s="237" t="s">
        <v>999</v>
      </c>
      <c r="E11" s="164" t="s">
        <v>997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997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155</v>
      </c>
      <c r="C13" s="189">
        <v>11500000</v>
      </c>
      <c r="D13" s="189"/>
      <c r="E13" s="164" t="s">
        <v>997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259</v>
      </c>
      <c r="C14" s="208">
        <v>5920000</v>
      </c>
      <c r="D14" s="208"/>
      <c r="E14" s="173" t="s">
        <v>1000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417</v>
      </c>
      <c r="C15" s="189">
        <v>11500000</v>
      </c>
      <c r="D15" s="189"/>
      <c r="E15" s="164" t="s">
        <v>997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184</v>
      </c>
      <c r="C16" s="189">
        <v>11500000</v>
      </c>
      <c r="D16" s="189"/>
      <c r="E16" s="164" t="s">
        <v>997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189</v>
      </c>
      <c r="C17" s="208">
        <v>7920000</v>
      </c>
      <c r="D17" s="208"/>
      <c r="E17" s="173" t="s">
        <v>997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228</v>
      </c>
      <c r="C18" s="189">
        <v>11700000</v>
      </c>
      <c r="D18" s="189"/>
      <c r="E18" s="164" t="s">
        <v>1001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289</v>
      </c>
      <c r="C19" s="208">
        <v>8800000</v>
      </c>
      <c r="D19" s="239" t="s">
        <v>1002</v>
      </c>
      <c r="E19" s="173" t="s">
        <v>1003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315</v>
      </c>
      <c r="C20" s="189">
        <v>10000000</v>
      </c>
      <c r="D20" s="189"/>
      <c r="E20" s="164" t="s">
        <v>1004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346</v>
      </c>
      <c r="C21" s="189">
        <v>5800000</v>
      </c>
      <c r="D21" s="189"/>
      <c r="E21" s="164" t="s">
        <v>1005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195</v>
      </c>
      <c r="C22" s="242">
        <v>10300000</v>
      </c>
      <c r="D22" s="242"/>
      <c r="E22" s="217" t="s">
        <v>1006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529</v>
      </c>
      <c r="C23" s="189">
        <v>12600000</v>
      </c>
      <c r="D23" s="237" t="s">
        <v>1007</v>
      </c>
      <c r="E23" s="164" t="s">
        <v>1008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1009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402</v>
      </c>
      <c r="C25" s="208">
        <v>10700000</v>
      </c>
      <c r="D25" s="208"/>
      <c r="E25" s="173" t="s">
        <v>1010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422</v>
      </c>
      <c r="C26" s="189">
        <v>10200000</v>
      </c>
      <c r="D26" s="189"/>
      <c r="E26" s="164" t="s">
        <v>1011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428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430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342</v>
      </c>
      <c r="C29" s="189">
        <v>10000000</v>
      </c>
      <c r="D29" s="237" t="s">
        <v>1012</v>
      </c>
      <c r="E29" s="164" t="s">
        <v>1013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451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457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463</v>
      </c>
      <c r="C32" s="208">
        <v>10600000</v>
      </c>
      <c r="D32" s="239" t="s">
        <v>1014</v>
      </c>
      <c r="E32" s="173" t="s">
        <v>1015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469</v>
      </c>
      <c r="C33" s="189">
        <v>11000000</v>
      </c>
      <c r="D33" s="237" t="s">
        <v>1016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141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480</v>
      </c>
      <c r="C35" s="189">
        <v>11000000</v>
      </c>
      <c r="D35" s="237" t="s">
        <v>1017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495</v>
      </c>
      <c r="C36" s="208">
        <v>11700000</v>
      </c>
      <c r="D36" s="239" t="s">
        <v>1018</v>
      </c>
      <c r="E36" s="173" t="s">
        <v>1013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494</v>
      </c>
      <c r="C37" s="189">
        <v>12600000</v>
      </c>
      <c r="D37" s="239" t="s">
        <v>1019</v>
      </c>
      <c r="E37" s="164" t="s">
        <v>1020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1143</v>
      </c>
      <c r="B38" s="212" t="s">
        <v>1021</v>
      </c>
      <c r="C38" s="189">
        <v>8030000</v>
      </c>
      <c r="D38" s="189"/>
      <c r="E38" s="164" t="s">
        <v>1022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643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486</v>
      </c>
      <c r="C40" s="189">
        <v>8000000</v>
      </c>
      <c r="D40" s="189"/>
      <c r="E40" s="164" t="s">
        <v>1023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1143</v>
      </c>
      <c r="B41" s="241" t="s">
        <v>1142</v>
      </c>
      <c r="C41" s="208">
        <v>10700000</v>
      </c>
      <c r="D41" s="208"/>
      <c r="E41" s="173" t="s">
        <v>1024</v>
      </c>
      <c r="F41" s="234" t="s">
        <v>959</v>
      </c>
      <c r="G41" s="234" t="s">
        <v>959</v>
      </c>
      <c r="H41" s="234" t="s">
        <v>959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543</v>
      </c>
      <c r="C42" s="189">
        <v>11400000</v>
      </c>
      <c r="D42" s="189"/>
      <c r="E42" s="164" t="s">
        <v>1010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552</v>
      </c>
      <c r="C43" s="208">
        <v>11000000</v>
      </c>
      <c r="D43" s="239" t="s">
        <v>1025</v>
      </c>
      <c r="E43" s="173" t="s">
        <v>1010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1143</v>
      </c>
      <c r="B44" s="235" t="s">
        <v>559</v>
      </c>
      <c r="C44" s="189">
        <v>6500000</v>
      </c>
      <c r="D44" s="189"/>
      <c r="E44" s="164" t="s">
        <v>1010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571</v>
      </c>
      <c r="C45" s="189">
        <v>11200000</v>
      </c>
      <c r="D45" s="189"/>
      <c r="E45" s="164" t="s">
        <v>1026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574</v>
      </c>
      <c r="C46" s="189">
        <v>10100000</v>
      </c>
      <c r="D46" s="189"/>
      <c r="E46" s="164" t="s">
        <v>1027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573</v>
      </c>
      <c r="C47" s="189">
        <v>7000000</v>
      </c>
      <c r="D47" s="189"/>
      <c r="E47" s="164" t="s">
        <v>1028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572</v>
      </c>
      <c r="C48" s="189">
        <v>7000000</v>
      </c>
      <c r="D48" s="189"/>
      <c r="E48" s="164" t="s">
        <v>1028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609</v>
      </c>
      <c r="C49" s="208">
        <v>7500000</v>
      </c>
      <c r="D49" s="208"/>
      <c r="E49" s="176" t="s">
        <v>1029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570</v>
      </c>
      <c r="C50" s="189">
        <v>6400000</v>
      </c>
      <c r="D50" s="189"/>
      <c r="E50" s="164" t="s">
        <v>1030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1143</v>
      </c>
      <c r="B51" s="165" t="s">
        <v>1031</v>
      </c>
      <c r="C51" s="189">
        <v>8000000</v>
      </c>
      <c r="D51" s="189"/>
      <c r="E51" s="164" t="s">
        <v>1032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610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638</v>
      </c>
      <c r="C53" s="189">
        <v>6600000</v>
      </c>
      <c r="D53" s="237" t="s">
        <v>1033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639</v>
      </c>
      <c r="C54" s="189">
        <v>6700000</v>
      </c>
      <c r="D54" s="237" t="s">
        <v>1034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616</v>
      </c>
      <c r="C55" s="189">
        <v>10200000</v>
      </c>
      <c r="D55" s="189"/>
      <c r="E55" s="222" t="s">
        <v>1035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621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674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740</v>
      </c>
      <c r="C58" s="189">
        <v>6300000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37800000</v>
      </c>
    </row>
    <row r="59" spans="1:26" x14ac:dyDescent="0.3">
      <c r="A59" s="164">
        <v>56</v>
      </c>
      <c r="B59" s="165" t="s">
        <v>732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673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671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1143</v>
      </c>
      <c r="B62" s="236" t="s">
        <v>1036</v>
      </c>
      <c r="C62" s="189">
        <v>12000000</v>
      </c>
      <c r="D62" s="189"/>
      <c r="E62" s="222" t="s">
        <v>1037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704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707</v>
      </c>
      <c r="C64" s="189">
        <v>9800000</v>
      </c>
      <c r="D64" s="237" t="s">
        <v>1038</v>
      </c>
      <c r="E64" s="222" t="s">
        <v>1039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710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713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725</v>
      </c>
      <c r="C67" s="189">
        <v>9500000</v>
      </c>
      <c r="D67" s="237" t="s">
        <v>1040</v>
      </c>
      <c r="E67" s="222" t="s">
        <v>1041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743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672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670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742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744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745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774</v>
      </c>
      <c r="C74" s="189">
        <v>10500000</v>
      </c>
      <c r="D74" s="189"/>
      <c r="E74" s="222" t="s">
        <v>1010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790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781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794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795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1042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806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838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834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836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978</v>
      </c>
      <c r="C84" s="189">
        <v>6400000</v>
      </c>
      <c r="D84" s="189"/>
      <c r="E84" s="222" t="s">
        <v>1010</v>
      </c>
      <c r="F84" s="233">
        <v>45873</v>
      </c>
      <c r="G84" s="233">
        <f>EDATE(F84,3)</f>
        <v>45965</v>
      </c>
      <c r="H84" s="233">
        <f>EDATE(G84,3)</f>
        <v>46057</v>
      </c>
      <c r="I84" s="233">
        <f t="shared" si="33"/>
        <v>46238</v>
      </c>
      <c r="J84" s="233">
        <f t="shared" si="33"/>
        <v>46422</v>
      </c>
      <c r="K84" s="233">
        <f t="shared" si="33"/>
        <v>46603</v>
      </c>
      <c r="L84" s="233">
        <f t="shared" si="33"/>
        <v>46787</v>
      </c>
      <c r="M84" s="233">
        <f t="shared" si="33"/>
        <v>46969</v>
      </c>
      <c r="N84" s="233">
        <f t="shared" si="33"/>
        <v>47153</v>
      </c>
      <c r="O84" s="233">
        <f t="shared" si="33"/>
        <v>47334</v>
      </c>
      <c r="P84" s="233">
        <f t="shared" si="33"/>
        <v>47518</v>
      </c>
      <c r="Q84" s="233">
        <f t="shared" si="33"/>
        <v>47699</v>
      </c>
      <c r="R84" s="233">
        <f t="shared" si="23"/>
        <v>47883</v>
      </c>
      <c r="S84" s="233">
        <f t="shared" si="24"/>
        <v>48064</v>
      </c>
      <c r="T84" s="233">
        <f t="shared" si="25"/>
        <v>48248</v>
      </c>
      <c r="U84" s="233">
        <f t="shared" si="26"/>
        <v>48430</v>
      </c>
      <c r="V84" s="233">
        <f t="shared" si="27"/>
        <v>48614</v>
      </c>
      <c r="W84" s="233">
        <f t="shared" si="28"/>
        <v>48795</v>
      </c>
      <c r="X84" s="233">
        <f t="shared" si="29"/>
        <v>48979</v>
      </c>
      <c r="Y84" s="233">
        <f t="shared" si="30"/>
        <v>49160</v>
      </c>
      <c r="Z84" s="203">
        <f t="shared" si="37"/>
        <v>38400000</v>
      </c>
    </row>
    <row r="85" spans="1:26" x14ac:dyDescent="0.3">
      <c r="A85" s="164">
        <v>82</v>
      </c>
      <c r="B85" s="165" t="s">
        <v>811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837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1143</v>
      </c>
      <c r="B87" s="165" t="s">
        <v>394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885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1043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1135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892</v>
      </c>
      <c r="C91" s="189">
        <v>10600000</v>
      </c>
      <c r="D91" s="189"/>
      <c r="E91" s="222" t="s">
        <v>1010</v>
      </c>
      <c r="F91" s="233">
        <v>45977</v>
      </c>
      <c r="G91" s="233">
        <f>EDATE(F91,3)</f>
        <v>46069</v>
      </c>
      <c r="H91" s="233">
        <f>EDATE(G91,3)</f>
        <v>46158</v>
      </c>
      <c r="I91" s="233">
        <f>EDATE(H91,6)</f>
        <v>46342</v>
      </c>
      <c r="J91" s="233">
        <f t="shared" si="33"/>
        <v>46523</v>
      </c>
      <c r="K91" s="233">
        <f t="shared" si="33"/>
        <v>46707</v>
      </c>
      <c r="L91" s="233">
        <f t="shared" si="33"/>
        <v>46889</v>
      </c>
      <c r="M91" s="233">
        <f t="shared" si="33"/>
        <v>47073</v>
      </c>
      <c r="N91" s="233">
        <f t="shared" si="33"/>
        <v>47254</v>
      </c>
      <c r="O91" s="233">
        <f t="shared" si="33"/>
        <v>47438</v>
      </c>
      <c r="P91" s="233">
        <f t="shared" si="33"/>
        <v>47619</v>
      </c>
      <c r="Q91" s="233">
        <f t="shared" si="33"/>
        <v>47803</v>
      </c>
      <c r="R91" s="233">
        <f t="shared" si="23"/>
        <v>47984</v>
      </c>
      <c r="S91" s="233">
        <f t="shared" si="24"/>
        <v>48168</v>
      </c>
      <c r="T91" s="233">
        <f t="shared" si="25"/>
        <v>48350</v>
      </c>
      <c r="U91" s="233">
        <f t="shared" si="26"/>
        <v>48534</v>
      </c>
      <c r="V91" s="233">
        <f t="shared" si="27"/>
        <v>48715</v>
      </c>
      <c r="W91" s="233">
        <f t="shared" si="28"/>
        <v>48899</v>
      </c>
      <c r="X91" s="233">
        <f t="shared" si="29"/>
        <v>49080</v>
      </c>
      <c r="Y91" s="233">
        <f t="shared" si="30"/>
        <v>49264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365</v>
      </c>
      <c r="C1" s="225" t="s">
        <v>1054</v>
      </c>
      <c r="D1" s="225" t="s">
        <v>1055</v>
      </c>
      <c r="E1" s="225" t="s">
        <v>1056</v>
      </c>
      <c r="F1" s="225" t="s">
        <v>1087</v>
      </c>
      <c r="G1" s="225" t="s">
        <v>1086</v>
      </c>
      <c r="H1" s="225" t="s">
        <v>1088</v>
      </c>
      <c r="I1" s="225" t="s">
        <v>987</v>
      </c>
      <c r="J1" s="225" t="s">
        <v>988</v>
      </c>
      <c r="K1" s="225" t="s">
        <v>989</v>
      </c>
      <c r="L1" s="225" t="s">
        <v>990</v>
      </c>
      <c r="M1" s="225" t="s">
        <v>991</v>
      </c>
      <c r="N1" s="225" t="s">
        <v>992</v>
      </c>
      <c r="O1" s="225" t="s">
        <v>993</v>
      </c>
      <c r="P1" s="225" t="s">
        <v>994</v>
      </c>
      <c r="Q1" s="225" t="s">
        <v>995</v>
      </c>
      <c r="R1" s="225" t="s">
        <v>1044</v>
      </c>
      <c r="S1" s="225" t="s">
        <v>1045</v>
      </c>
      <c r="T1" s="225" t="s">
        <v>1046</v>
      </c>
      <c r="U1" s="225" t="s">
        <v>1047</v>
      </c>
      <c r="V1" s="225" t="s">
        <v>1048</v>
      </c>
      <c r="W1" s="225" t="s">
        <v>1048</v>
      </c>
      <c r="X1" s="225" t="s">
        <v>1049</v>
      </c>
      <c r="Y1" s="225" t="s">
        <v>1050</v>
      </c>
      <c r="Z1" s="225" t="s">
        <v>1051</v>
      </c>
      <c r="AA1" s="225" t="s">
        <v>1090</v>
      </c>
      <c r="AB1" s="225" t="s">
        <v>1091</v>
      </c>
      <c r="AC1" s="225" t="s">
        <v>1092</v>
      </c>
      <c r="AD1" s="225" t="s">
        <v>1093</v>
      </c>
      <c r="AE1" s="225" t="s">
        <v>1094</v>
      </c>
      <c r="AF1" s="249" t="s">
        <v>1089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1143</v>
      </c>
      <c r="B4" s="226" t="s">
        <v>1057</v>
      </c>
      <c r="C4" s="226" t="s">
        <v>1058</v>
      </c>
      <c r="D4" s="226" t="s">
        <v>1059</v>
      </c>
      <c r="E4" s="250" t="s">
        <v>1060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1143</v>
      </c>
    </row>
    <row r="5" spans="1:33" x14ac:dyDescent="0.3">
      <c r="A5" s="226">
        <v>2</v>
      </c>
      <c r="B5" s="226" t="s">
        <v>189</v>
      </c>
      <c r="C5" s="226" t="s">
        <v>1061</v>
      </c>
      <c r="D5" s="226" t="s">
        <v>1062</v>
      </c>
      <c r="E5" s="250" t="s">
        <v>1063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259</v>
      </c>
      <c r="C6" s="226" t="s">
        <v>1064</v>
      </c>
      <c r="D6" s="226" t="s">
        <v>1065</v>
      </c>
      <c r="E6" s="250" t="s">
        <v>1066</v>
      </c>
      <c r="F6" s="227">
        <v>10736000</v>
      </c>
      <c r="G6" s="226" t="s">
        <v>77</v>
      </c>
      <c r="H6" s="250" t="s">
        <v>392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1067</v>
      </c>
      <c r="C7" s="226" t="s">
        <v>1068</v>
      </c>
      <c r="D7" s="226" t="s">
        <v>1069</v>
      </c>
      <c r="E7" s="250" t="s">
        <v>1070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1071</v>
      </c>
      <c r="C8" s="226" t="s">
        <v>382</v>
      </c>
      <c r="D8" s="226" t="s">
        <v>1072</v>
      </c>
      <c r="E8" s="250" t="s">
        <v>1073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1074</v>
      </c>
      <c r="C9" s="226" t="s">
        <v>383</v>
      </c>
      <c r="D9" s="226" t="s">
        <v>1075</v>
      </c>
      <c r="E9" s="250" t="s">
        <v>1073</v>
      </c>
      <c r="F9" s="227">
        <v>11330000</v>
      </c>
      <c r="G9" s="226" t="s">
        <v>77</v>
      </c>
      <c r="H9" s="250" t="s">
        <v>1076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1143</v>
      </c>
      <c r="B10" s="226" t="s">
        <v>1077</v>
      </c>
      <c r="C10" s="226" t="s">
        <v>421</v>
      </c>
      <c r="D10" s="226" t="s">
        <v>1078</v>
      </c>
      <c r="E10" s="250" t="s">
        <v>1079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1143</v>
      </c>
    </row>
    <row r="11" spans="1:33" x14ac:dyDescent="0.3">
      <c r="A11" s="226">
        <v>8</v>
      </c>
      <c r="B11" s="226" t="s">
        <v>315</v>
      </c>
      <c r="C11" s="226" t="s">
        <v>1080</v>
      </c>
      <c r="D11" s="226" t="s">
        <v>1081</v>
      </c>
      <c r="E11" s="250" t="s">
        <v>1082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1083</v>
      </c>
      <c r="D12" s="226" t="s">
        <v>1084</v>
      </c>
      <c r="E12" s="250" t="s">
        <v>1085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5" sqref="H15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365</v>
      </c>
      <c r="C1" s="225" t="s">
        <v>1095</v>
      </c>
      <c r="D1" s="225" t="s">
        <v>1096</v>
      </c>
      <c r="E1" s="225" t="s">
        <v>1056</v>
      </c>
      <c r="F1" s="225" t="s">
        <v>365</v>
      </c>
      <c r="G1" s="225" t="s">
        <v>1097</v>
      </c>
      <c r="H1" s="225" t="s">
        <v>1130</v>
      </c>
      <c r="I1" s="225" t="s">
        <v>1098</v>
      </c>
      <c r="J1" s="225" t="s">
        <v>1099</v>
      </c>
      <c r="K1" s="225" t="s">
        <v>987</v>
      </c>
      <c r="L1" s="225" t="s">
        <v>988</v>
      </c>
      <c r="M1" s="225" t="s">
        <v>989</v>
      </c>
      <c r="N1" s="225" t="s">
        <v>990</v>
      </c>
      <c r="O1" s="225" t="s">
        <v>991</v>
      </c>
      <c r="P1" s="225" t="s">
        <v>992</v>
      </c>
      <c r="Q1" s="225" t="s">
        <v>992</v>
      </c>
      <c r="R1" s="225" t="s">
        <v>992</v>
      </c>
      <c r="S1" s="225" t="s">
        <v>993</v>
      </c>
      <c r="T1" s="225" t="s">
        <v>993</v>
      </c>
      <c r="U1" s="225" t="s">
        <v>994</v>
      </c>
      <c r="V1" s="225" t="s">
        <v>995</v>
      </c>
      <c r="W1" s="225" t="s">
        <v>1044</v>
      </c>
      <c r="X1" s="225" t="s">
        <v>1045</v>
      </c>
      <c r="Y1" s="254" t="s">
        <v>1100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256</v>
      </c>
      <c r="C4" s="226" t="s">
        <v>1101</v>
      </c>
      <c r="D4" s="41" t="s">
        <v>1102</v>
      </c>
      <c r="E4" s="255" t="s">
        <v>1103</v>
      </c>
      <c r="F4" s="226" t="s">
        <v>1101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1104</v>
      </c>
      <c r="E5" s="255" t="s">
        <v>1105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430</v>
      </c>
      <c r="C6" s="226" t="s">
        <v>1106</v>
      </c>
      <c r="D6" s="41" t="s">
        <v>1107</v>
      </c>
      <c r="E6" s="41" t="s">
        <v>1108</v>
      </c>
      <c r="F6" s="226" t="s">
        <v>1109</v>
      </c>
      <c r="G6" s="41" t="s">
        <v>1106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486</v>
      </c>
      <c r="C7" s="226" t="s">
        <v>1110</v>
      </c>
      <c r="D7" s="41" t="s">
        <v>1111</v>
      </c>
      <c r="E7" s="255" t="s">
        <v>1112</v>
      </c>
      <c r="F7" s="226" t="s">
        <v>1113</v>
      </c>
      <c r="G7" s="41" t="s">
        <v>1110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1114</v>
      </c>
      <c r="C8" s="226" t="s">
        <v>1115</v>
      </c>
      <c r="D8" s="41" t="s">
        <v>1116</v>
      </c>
      <c r="E8" s="255" t="s">
        <v>1117</v>
      </c>
      <c r="F8" s="226" t="s">
        <v>1115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253</v>
      </c>
      <c r="C9" s="226" t="s">
        <v>1118</v>
      </c>
      <c r="D9" s="41" t="s">
        <v>1119</v>
      </c>
      <c r="E9" s="255" t="s">
        <v>1120</v>
      </c>
      <c r="F9" s="226" t="s">
        <v>1121</v>
      </c>
      <c r="G9" s="41" t="s">
        <v>1118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707</v>
      </c>
      <c r="C10" s="226" t="s">
        <v>1122</v>
      </c>
      <c r="D10" s="41" t="s">
        <v>1123</v>
      </c>
      <c r="E10" s="255" t="s">
        <v>1124</v>
      </c>
      <c r="F10" s="226"/>
      <c r="G10" s="41" t="s">
        <v>1122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1125</v>
      </c>
      <c r="C11" s="226" t="s">
        <v>1126</v>
      </c>
      <c r="D11" s="41" t="s">
        <v>1127</v>
      </c>
      <c r="E11" s="255" t="s">
        <v>1124</v>
      </c>
      <c r="F11" s="226"/>
      <c r="G11" s="41" t="s">
        <v>1126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417</v>
      </c>
      <c r="C12" s="226" t="s">
        <v>1128</v>
      </c>
      <c r="D12" s="41" t="s">
        <v>1129</v>
      </c>
      <c r="E12" s="255" t="s">
        <v>1124</v>
      </c>
      <c r="F12" s="226"/>
      <c r="G12" s="41" t="s">
        <v>1128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242</v>
      </c>
      <c r="B1" s="257" t="s">
        <v>365</v>
      </c>
      <c r="C1" s="258" t="s">
        <v>1158</v>
      </c>
      <c r="D1" s="258" t="s">
        <v>1144</v>
      </c>
      <c r="E1" s="259" t="s">
        <v>1145</v>
      </c>
      <c r="F1" s="259" t="s">
        <v>1146</v>
      </c>
      <c r="G1" s="260" t="s">
        <v>1159</v>
      </c>
      <c r="H1" s="259" t="s">
        <v>1147</v>
      </c>
      <c r="I1" s="259" t="s">
        <v>1148</v>
      </c>
      <c r="J1" s="259" t="s">
        <v>1160</v>
      </c>
      <c r="K1" s="257" t="s">
        <v>1149</v>
      </c>
      <c r="L1" s="257" t="s">
        <v>1150</v>
      </c>
      <c r="M1" s="257" t="s">
        <v>1151</v>
      </c>
      <c r="N1" s="257" t="s">
        <v>1152</v>
      </c>
      <c r="O1" s="257" t="s">
        <v>1153</v>
      </c>
      <c r="P1" s="257" t="s">
        <v>1154</v>
      </c>
      <c r="Q1" s="261" t="s">
        <v>1161</v>
      </c>
      <c r="R1" s="257" t="s">
        <v>1155</v>
      </c>
    </row>
    <row r="2" spans="1:18" x14ac:dyDescent="0.3">
      <c r="A2" s="257"/>
      <c r="B2" s="257" t="s">
        <v>1156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977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256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259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189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417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155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184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228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289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315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346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643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195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402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1157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422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428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430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342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451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457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463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469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141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480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495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494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486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543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552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571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572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573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574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570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616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621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610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638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639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670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671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672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673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674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704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707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710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713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725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725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732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742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743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744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745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740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609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774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781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790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794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795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253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806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817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818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819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820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821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822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823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824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825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826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827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828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834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836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838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978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811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837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521</v>
      </c>
      <c r="F1" s="132" t="s">
        <v>519</v>
      </c>
    </row>
    <row r="2" spans="1:6" ht="15.6" x14ac:dyDescent="0.3">
      <c r="A2" s="128">
        <v>1</v>
      </c>
      <c r="B2" s="130" t="s">
        <v>524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523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522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525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526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518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527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520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528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536</v>
      </c>
      <c r="F1" s="132" t="s">
        <v>519</v>
      </c>
    </row>
    <row r="2" spans="1:6" ht="15.6" x14ac:dyDescent="0.3">
      <c r="A2" s="128">
        <v>1</v>
      </c>
      <c r="B2" s="130" t="s">
        <v>530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531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533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525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534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535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532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520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528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172</v>
      </c>
      <c r="C1" s="129" t="s">
        <v>542</v>
      </c>
      <c r="D1" s="128" t="s">
        <v>541</v>
      </c>
      <c r="E1" s="134" t="s">
        <v>540</v>
      </c>
    </row>
    <row r="2" spans="1:5" ht="15.6" x14ac:dyDescent="0.3">
      <c r="A2" s="128">
        <v>1</v>
      </c>
      <c r="B2" s="130" t="s">
        <v>531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537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526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538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539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551</v>
      </c>
    </row>
    <row r="2" spans="1:5" ht="15.6" x14ac:dyDescent="0.3">
      <c r="A2" s="128">
        <v>1</v>
      </c>
      <c r="B2" s="130" t="s">
        <v>548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549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531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550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532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551</v>
      </c>
      <c r="F1" s="128" t="s">
        <v>53</v>
      </c>
    </row>
    <row r="2" spans="1:6" ht="15.6" x14ac:dyDescent="0.3">
      <c r="A2" s="128">
        <v>1</v>
      </c>
      <c r="B2" s="130" t="s">
        <v>567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566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531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565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569</v>
      </c>
      <c r="C6" s="129"/>
      <c r="D6" s="140">
        <v>0</v>
      </c>
      <c r="E6" s="128"/>
      <c r="F6" s="134" t="s">
        <v>568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564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41" t="s">
        <v>605</v>
      </c>
      <c r="F1" s="128" t="s">
        <v>53</v>
      </c>
    </row>
    <row r="2" spans="1:6" ht="15.6" x14ac:dyDescent="0.3">
      <c r="A2" s="128">
        <v>1</v>
      </c>
      <c r="B2" s="130" t="s">
        <v>603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602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607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604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608</v>
      </c>
      <c r="C6" s="129"/>
      <c r="D6" s="140">
        <v>0</v>
      </c>
      <c r="E6" s="128"/>
      <c r="F6" s="134" t="s">
        <v>606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564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41" t="s">
        <v>605</v>
      </c>
      <c r="F1" s="128" t="s">
        <v>53</v>
      </c>
    </row>
    <row r="2" spans="1:6" ht="15.6" x14ac:dyDescent="0.3">
      <c r="A2" s="128">
        <v>1</v>
      </c>
      <c r="B2" s="130" t="s">
        <v>611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615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612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613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614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646</v>
      </c>
      <c r="F1" s="128" t="s">
        <v>53</v>
      </c>
    </row>
    <row r="2" spans="1:6" ht="15.6" x14ac:dyDescent="0.3">
      <c r="A2" s="128">
        <v>1</v>
      </c>
      <c r="B2" s="130" t="s">
        <v>648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649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650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657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645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644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539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647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658</v>
      </c>
      <c r="C1" s="147" t="s">
        <v>663</v>
      </c>
      <c r="D1" s="147" t="s">
        <v>659</v>
      </c>
      <c r="E1" s="147" t="s">
        <v>660</v>
      </c>
      <c r="F1" s="147" t="s">
        <v>665</v>
      </c>
    </row>
    <row r="2" spans="1:10" x14ac:dyDescent="0.35">
      <c r="A2" s="148">
        <v>1</v>
      </c>
      <c r="B2" s="148" t="s">
        <v>661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662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664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665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270</v>
      </c>
      <c r="C2" s="44" t="s">
        <v>202</v>
      </c>
      <c r="D2" s="46"/>
      <c r="E2" s="65" t="s">
        <v>276</v>
      </c>
    </row>
    <row r="3" spans="1:8" ht="26.4" x14ac:dyDescent="0.25">
      <c r="A3" s="44">
        <v>2</v>
      </c>
      <c r="B3" s="46" t="s">
        <v>321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322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269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278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279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272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329</v>
      </c>
      <c r="C10" s="44" t="s">
        <v>205</v>
      </c>
      <c r="D10" s="46" t="s">
        <v>280</v>
      </c>
      <c r="E10" s="65" t="s">
        <v>328</v>
      </c>
      <c r="H10" s="53"/>
    </row>
    <row r="11" spans="1:8" ht="26.4" x14ac:dyDescent="0.25">
      <c r="A11" s="44">
        <v>1</v>
      </c>
      <c r="B11" s="46" t="s">
        <v>281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323</v>
      </c>
      <c r="C12" s="44" t="s">
        <v>201</v>
      </c>
      <c r="D12" s="46" t="s">
        <v>324</v>
      </c>
      <c r="E12" s="65" t="s">
        <v>282</v>
      </c>
    </row>
    <row r="13" spans="1:8" x14ac:dyDescent="0.25">
      <c r="A13" s="44">
        <v>3</v>
      </c>
      <c r="B13" s="46" t="s">
        <v>325</v>
      </c>
      <c r="C13" s="44" t="s">
        <v>201</v>
      </c>
      <c r="D13" s="46" t="s">
        <v>283</v>
      </c>
      <c r="E13" s="65" t="s">
        <v>284</v>
      </c>
    </row>
    <row r="14" spans="1:8" x14ac:dyDescent="0.25">
      <c r="A14" s="44">
        <v>4</v>
      </c>
      <c r="B14" s="46" t="s">
        <v>271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285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286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287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288</v>
      </c>
    </row>
    <row r="21" spans="1:5" x14ac:dyDescent="0.25">
      <c r="A21" s="44">
        <v>7</v>
      </c>
      <c r="B21" s="46" t="s">
        <v>308</v>
      </c>
      <c r="C21" s="44" t="s">
        <v>309</v>
      </c>
      <c r="D21" s="46"/>
      <c r="E21" s="46"/>
    </row>
    <row r="22" spans="1:5" x14ac:dyDescent="0.25">
      <c r="A22" s="44">
        <v>8</v>
      </c>
      <c r="B22" s="46" t="s">
        <v>327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310</v>
      </c>
      <c r="C23" s="81" t="s">
        <v>312</v>
      </c>
      <c r="D23" s="82"/>
      <c r="E23" s="82"/>
    </row>
    <row r="24" spans="1:5" x14ac:dyDescent="0.25">
      <c r="A24" s="44">
        <v>6</v>
      </c>
      <c r="B24" s="46" t="s">
        <v>311</v>
      </c>
      <c r="C24" s="44" t="s">
        <v>320</v>
      </c>
      <c r="D24" s="46"/>
      <c r="E24" s="46"/>
    </row>
    <row r="25" spans="1:5" x14ac:dyDescent="0.25">
      <c r="A25" s="44">
        <v>12</v>
      </c>
      <c r="B25" s="46" t="s">
        <v>313</v>
      </c>
      <c r="C25" s="44" t="s">
        <v>312</v>
      </c>
      <c r="D25" s="46"/>
      <c r="E25" s="46"/>
    </row>
    <row r="26" spans="1:5" ht="26.4" x14ac:dyDescent="0.25">
      <c r="A26" s="44">
        <v>13</v>
      </c>
      <c r="B26" s="46" t="s">
        <v>314</v>
      </c>
      <c r="C26" s="44" t="s">
        <v>312</v>
      </c>
      <c r="D26" s="46"/>
      <c r="E26" s="46"/>
    </row>
    <row r="27" spans="1:5" x14ac:dyDescent="0.25">
      <c r="A27" s="44">
        <v>14</v>
      </c>
      <c r="B27" s="46" t="s">
        <v>319</v>
      </c>
      <c r="C27" s="44" t="s">
        <v>312</v>
      </c>
      <c r="D27" s="46"/>
      <c r="E27" s="46"/>
    </row>
    <row r="28" spans="1:5" x14ac:dyDescent="0.25">
      <c r="A28" s="44">
        <v>9</v>
      </c>
      <c r="B28" s="46" t="s">
        <v>326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234</v>
      </c>
      <c r="C18" s="8" t="s">
        <v>15</v>
      </c>
      <c r="D18" s="8">
        <v>106.651433</v>
      </c>
      <c r="E18" s="8">
        <v>10.897498000000001</v>
      </c>
      <c r="F18" s="8" t="s">
        <v>235</v>
      </c>
      <c r="G18" s="30" t="s">
        <v>134</v>
      </c>
      <c r="H18" s="36" t="s">
        <v>140</v>
      </c>
      <c r="I18" s="30" t="s">
        <v>298</v>
      </c>
      <c r="J18" s="30" t="s">
        <v>176</v>
      </c>
      <c r="K18" s="22"/>
      <c r="L18" s="8" t="s">
        <v>236</v>
      </c>
      <c r="M18" s="8" t="s">
        <v>43</v>
      </c>
      <c r="N18" s="8" t="s">
        <v>58</v>
      </c>
      <c r="O18" s="8"/>
      <c r="P18" s="8"/>
      <c r="Q18" s="8"/>
      <c r="R18" s="21" t="s">
        <v>237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291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303</v>
      </c>
      <c r="M19" s="8" t="s">
        <v>43</v>
      </c>
      <c r="N19" s="8" t="s">
        <v>147</v>
      </c>
      <c r="O19" s="8"/>
      <c r="P19" s="8"/>
      <c r="Q19" s="8"/>
      <c r="R19" s="21" t="s">
        <v>295</v>
      </c>
      <c r="S19" s="22" t="s">
        <v>79</v>
      </c>
      <c r="T19" s="21"/>
      <c r="U19" s="22" t="s">
        <v>305</v>
      </c>
      <c r="V19" s="22" t="s">
        <v>292</v>
      </c>
      <c r="W19" s="22" t="s">
        <v>304</v>
      </c>
      <c r="X19" s="22" t="s">
        <v>293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342</v>
      </c>
      <c r="C20" s="25" t="s">
        <v>15</v>
      </c>
      <c r="D20" s="25">
        <v>106.587734</v>
      </c>
      <c r="E20" s="25">
        <v>10.846996000000001</v>
      </c>
      <c r="F20" s="25" t="s">
        <v>345</v>
      </c>
      <c r="G20" s="2" t="s">
        <v>355</v>
      </c>
      <c r="H20" s="27" t="s">
        <v>134</v>
      </c>
      <c r="I20" s="27" t="s">
        <v>134</v>
      </c>
      <c r="J20" s="24"/>
      <c r="K20" s="27" t="s">
        <v>299</v>
      </c>
      <c r="L20" s="24"/>
      <c r="M20" s="27" t="s">
        <v>299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343</v>
      </c>
      <c r="Y20" s="96">
        <v>6000000</v>
      </c>
      <c r="Z20" s="25" t="s">
        <v>344</v>
      </c>
      <c r="AA20" s="25" t="s">
        <v>336</v>
      </c>
      <c r="AB20" s="25"/>
      <c r="AC20" s="25"/>
      <c r="AD20" s="23" t="s">
        <v>296</v>
      </c>
      <c r="AE20" s="24" t="s">
        <v>77</v>
      </c>
      <c r="AF20" s="23"/>
      <c r="AG20" s="24"/>
      <c r="AH20" s="24"/>
      <c r="AI20" s="24"/>
      <c r="AJ20" s="24" t="s">
        <v>347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441</v>
      </c>
      <c r="C22" s="2" t="e">
        <v>#N/A</v>
      </c>
      <c r="D22" s="2" t="s">
        <v>461</v>
      </c>
      <c r="E22" s="2">
        <v>106.805773</v>
      </c>
      <c r="F22" s="2">
        <v>10.58525</v>
      </c>
      <c r="G22" s="2" t="s">
        <v>442</v>
      </c>
      <c r="H22" s="34" t="s">
        <v>443</v>
      </c>
      <c r="I22" s="48" t="s">
        <v>443</v>
      </c>
      <c r="J22" s="34" t="s">
        <v>140</v>
      </c>
      <c r="K22" s="98">
        <v>44762</v>
      </c>
      <c r="L22" s="27" t="s">
        <v>420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444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445</v>
      </c>
      <c r="AF22" s="113" t="s">
        <v>77</v>
      </c>
      <c r="AG22" s="120"/>
      <c r="AH22" s="121" t="s">
        <v>446</v>
      </c>
      <c r="AI22" s="119" t="s">
        <v>447</v>
      </c>
      <c r="AJ22" s="112" t="s">
        <v>400</v>
      </c>
      <c r="AK22" s="2" t="s">
        <v>448</v>
      </c>
      <c r="AL22" s="8">
        <v>0</v>
      </c>
      <c r="AM22" s="2">
        <v>30</v>
      </c>
      <c r="AN22" s="48"/>
      <c r="AO22" t="s">
        <v>767</v>
      </c>
      <c r="AP22" s="122"/>
    </row>
    <row r="23" spans="1:42" s="123" customFormat="1" ht="48" x14ac:dyDescent="0.3">
      <c r="A23" s="4">
        <v>39</v>
      </c>
      <c r="B23" s="2" t="s">
        <v>489</v>
      </c>
      <c r="C23" s="2" t="e">
        <v>#N/A</v>
      </c>
      <c r="D23" s="2" t="s">
        <v>470</v>
      </c>
      <c r="E23" s="2">
        <v>106.620645</v>
      </c>
      <c r="F23" s="2">
        <v>10.786562999999999</v>
      </c>
      <c r="G23" s="2" t="s">
        <v>490</v>
      </c>
      <c r="H23" s="34" t="s">
        <v>140</v>
      </c>
      <c r="I23" s="27" t="s">
        <v>134</v>
      </c>
      <c r="J23" s="27" t="s">
        <v>134</v>
      </c>
      <c r="K23" s="125" t="s">
        <v>511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491</v>
      </c>
      <c r="AI23" s="119" t="s">
        <v>492</v>
      </c>
      <c r="AJ23" s="112" t="s">
        <v>194</v>
      </c>
      <c r="AK23" s="2" t="s">
        <v>493</v>
      </c>
      <c r="AL23" s="2">
        <v>14</v>
      </c>
      <c r="AM23" s="2">
        <v>12</v>
      </c>
      <c r="AN23" s="48"/>
      <c r="AO23" t="s">
        <v>767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277</v>
      </c>
      <c r="F2" s="49" t="s">
        <v>273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71" t="s">
        <v>268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277</v>
      </c>
      <c r="F6" s="272"/>
    </row>
    <row r="7" spans="2:10" x14ac:dyDescent="0.3">
      <c r="B7" s="75">
        <v>6</v>
      </c>
      <c r="C7" s="75" t="s">
        <v>265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266</v>
      </c>
      <c r="D8" s="71">
        <v>5000000</v>
      </c>
      <c r="E8" s="71" t="s">
        <v>277</v>
      </c>
      <c r="F8" s="272"/>
    </row>
    <row r="9" spans="2:10" x14ac:dyDescent="0.3">
      <c r="B9" s="70">
        <v>8</v>
      </c>
      <c r="C9" s="70" t="s">
        <v>275</v>
      </c>
      <c r="D9" s="71">
        <v>6620000</v>
      </c>
      <c r="E9" s="71" t="s">
        <v>277</v>
      </c>
      <c r="F9" s="272"/>
    </row>
    <row r="10" spans="2:10" x14ac:dyDescent="0.3">
      <c r="B10" s="70">
        <v>9</v>
      </c>
      <c r="C10" s="70" t="s">
        <v>274</v>
      </c>
      <c r="D10" s="71">
        <v>1250000</v>
      </c>
      <c r="E10" s="71" t="s">
        <v>277</v>
      </c>
      <c r="F10" s="272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267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242</v>
      </c>
      <c r="B1" s="48" t="s">
        <v>243</v>
      </c>
      <c r="C1" s="48" t="s">
        <v>244</v>
      </c>
      <c r="D1" s="48" t="s">
        <v>245</v>
      </c>
      <c r="E1" s="50" t="s">
        <v>246</v>
      </c>
      <c r="F1" s="50" t="s">
        <v>247</v>
      </c>
      <c r="G1" s="50" t="s">
        <v>53</v>
      </c>
      <c r="H1" s="48" t="s">
        <v>261</v>
      </c>
      <c r="I1" s="48" t="s">
        <v>262</v>
      </c>
    </row>
    <row r="2" spans="1:9" ht="43.2" x14ac:dyDescent="0.3">
      <c r="A2" s="48">
        <v>1</v>
      </c>
      <c r="B2" s="48" t="s">
        <v>14</v>
      </c>
      <c r="C2" s="48" t="s">
        <v>248</v>
      </c>
      <c r="D2" s="48" t="s">
        <v>249</v>
      </c>
      <c r="E2" s="51">
        <v>97186343.887759268</v>
      </c>
      <c r="F2" s="51">
        <v>97186343.887759268</v>
      </c>
      <c r="G2" s="50" t="s">
        <v>263</v>
      </c>
      <c r="H2" s="48" t="s">
        <v>264</v>
      </c>
      <c r="I2" s="48" t="s">
        <v>264</v>
      </c>
    </row>
    <row r="3" spans="1:9" ht="43.2" x14ac:dyDescent="0.3">
      <c r="A3" s="48">
        <v>2</v>
      </c>
      <c r="B3" s="48" t="s">
        <v>19</v>
      </c>
      <c r="C3" s="48" t="s">
        <v>250</v>
      </c>
      <c r="D3" s="48" t="s">
        <v>251</v>
      </c>
      <c r="E3" s="51">
        <v>119976179.789873</v>
      </c>
      <c r="F3" s="51">
        <v>119976179.789873</v>
      </c>
      <c r="G3" s="50" t="s">
        <v>263</v>
      </c>
      <c r="H3" s="48" t="s">
        <v>264</v>
      </c>
      <c r="I3" s="48" t="s">
        <v>264</v>
      </c>
    </row>
    <row r="4" spans="1:9" x14ac:dyDescent="0.3">
      <c r="A4" s="48">
        <v>3</v>
      </c>
      <c r="B4" s="48" t="s">
        <v>29</v>
      </c>
      <c r="C4" s="48" t="s">
        <v>252</v>
      </c>
      <c r="D4" s="48" t="s">
        <v>249</v>
      </c>
      <c r="E4" s="51">
        <v>81643720</v>
      </c>
      <c r="F4" s="51">
        <v>86661720</v>
      </c>
      <c r="G4" s="50"/>
      <c r="H4" s="48" t="s">
        <v>264</v>
      </c>
      <c r="I4" s="48"/>
    </row>
    <row r="5" spans="1:9" x14ac:dyDescent="0.3">
      <c r="A5" s="48">
        <v>4</v>
      </c>
      <c r="B5" s="48" t="s">
        <v>253</v>
      </c>
      <c r="C5" s="48" t="s">
        <v>254</v>
      </c>
      <c r="D5" s="48" t="s">
        <v>255</v>
      </c>
      <c r="E5" s="51">
        <v>181765190</v>
      </c>
      <c r="F5" s="51">
        <v>183610190</v>
      </c>
      <c r="G5" s="50"/>
      <c r="H5" s="48" t="s">
        <v>264</v>
      </c>
      <c r="I5" s="48"/>
    </row>
    <row r="6" spans="1:9" x14ac:dyDescent="0.3">
      <c r="A6" s="48">
        <v>5</v>
      </c>
      <c r="B6" s="48" t="s">
        <v>256</v>
      </c>
      <c r="C6" s="48" t="s">
        <v>257</v>
      </c>
      <c r="D6" s="48" t="s">
        <v>258</v>
      </c>
      <c r="E6" s="51">
        <v>182845575</v>
      </c>
      <c r="F6" s="51">
        <v>185170575</v>
      </c>
      <c r="G6" s="50"/>
      <c r="H6" s="48" t="s">
        <v>264</v>
      </c>
      <c r="I6" s="48" t="s">
        <v>264</v>
      </c>
    </row>
    <row r="7" spans="1:9" x14ac:dyDescent="0.3">
      <c r="A7" s="48">
        <v>6</v>
      </c>
      <c r="B7" s="48" t="s">
        <v>259</v>
      </c>
      <c r="C7" s="48" t="s">
        <v>260</v>
      </c>
      <c r="D7" s="48" t="s">
        <v>258</v>
      </c>
      <c r="E7" s="51">
        <v>94620010</v>
      </c>
      <c r="F7" s="51">
        <v>96905010</v>
      </c>
      <c r="G7" s="50"/>
      <c r="H7" s="48" t="s">
        <v>264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2026-05-30T08:37:21Z</dcterms:modified>
</cp:coreProperties>
</file>