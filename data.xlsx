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D65E406A-A96A-4DBC-B8DD-1A9C8BDA3249}" xr6:coauthVersionLast="47" xr6:coauthVersionMax="47" xr10:uidLastSave="{00000000-0000-0000-0000-000000000000}"/>
  <bookViews>
    <workbookView xWindow="-108" yWindow="-108" windowWidth="23256" windowHeight="12456" tabRatio="715" xr2:uid="{00000000-000D-0000-FFFF-FFFF00000000}"/>
  </bookViews>
  <sheets>
    <sheet name="Theo dõi HĐ_Chi tiết" sheetId="2" r:id="rId1"/>
    <sheet name="Theo dõi thanh toán chủ nhà" sheetId="24" r:id="rId2"/>
    <sheet name="Tính tiền đóng" sheetId="12" state="hidden" r:id="rId3"/>
    <sheet name="Sheet3" sheetId="14" state="hidden" r:id="rId4"/>
    <sheet name="Sheet4" sheetId="15" state="hidden" r:id="rId5"/>
    <sheet name="Sheet5" sheetId="16" state="hidden" r:id="rId6"/>
    <sheet name="Sheet6" sheetId="17" state="hidden" r:id="rId7"/>
    <sheet name="Sheet7" sheetId="18" state="hidden" r:id="rId8"/>
    <sheet name="Sheet8" sheetId="20" state="hidden" r:id="rId9"/>
    <sheet name="Sheet9" sheetId="21" state="hidden" r:id="rId10"/>
    <sheet name="Dulich" sheetId="23" state="hidden" r:id="rId11"/>
    <sheet name="Phân công" sheetId="6" state="hidden" r:id="rId12"/>
    <sheet name="DS chủ nhà nok_Tham khảo" sheetId="3" state="hidden" r:id="rId13"/>
    <sheet name="Sheet2" sheetId="7" state="hidden" r:id="rId14"/>
    <sheet name="Báo giá DD" sheetId="8" state="hidden" r:id="rId15"/>
    <sheet name="Sheet1" sheetId="1" state="hidden" r:id="rId16"/>
  </sheets>
  <externalReferences>
    <externalReference r:id="rId17"/>
  </externalReferences>
  <definedNames>
    <definedName name="_xlnm._FilterDatabase" localSheetId="11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62" i="24" l="1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S29" i="24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Q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AH5" i="24" l="1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L2" i="24" l="1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M2" i="24" l="1"/>
  <c r="N4" i="24"/>
  <c r="H4" i="23"/>
  <c r="H3" i="23"/>
  <c r="H2" i="23"/>
  <c r="I4" i="23"/>
  <c r="J4" i="23"/>
  <c r="I3" i="23"/>
  <c r="I2" i="23"/>
  <c r="O4" i="24" l="1"/>
  <c r="N2" i="24"/>
  <c r="D5" i="23"/>
  <c r="E5" i="23"/>
  <c r="C5" i="23"/>
  <c r="F5" i="23" s="1"/>
  <c r="F3" i="23"/>
  <c r="F4" i="23"/>
  <c r="F2" i="23"/>
  <c r="P4" i="24" l="1"/>
  <c r="O2" i="24"/>
  <c r="D8" i="21"/>
  <c r="C8" i="21"/>
  <c r="Q4" i="24" l="1"/>
  <c r="P2" i="24"/>
  <c r="E8" i="21"/>
  <c r="Q2" i="24" l="1"/>
  <c r="R4" i="24"/>
  <c r="D7" i="20"/>
  <c r="C7" i="20"/>
  <c r="R2" i="24" l="1"/>
  <c r="S4" i="24"/>
  <c r="E7" i="20"/>
  <c r="T4" i="24" l="1"/>
  <c r="S2" i="24"/>
  <c r="C7" i="18"/>
  <c r="D7" i="18"/>
  <c r="U4" i="24" l="1"/>
  <c r="T2" i="24"/>
  <c r="E7" i="18"/>
  <c r="V4" i="24" l="1"/>
  <c r="U2" i="24"/>
  <c r="D7" i="17"/>
  <c r="C7" i="17"/>
  <c r="W4" i="24" l="1"/>
  <c r="V2" i="24"/>
  <c r="E7" i="17"/>
  <c r="W2" i="24" l="1"/>
  <c r="X4" i="24"/>
  <c r="C7" i="16"/>
  <c r="D7" i="16"/>
  <c r="Y4" i="24" l="1"/>
  <c r="X2" i="24"/>
  <c r="E7" i="16"/>
  <c r="Z4" i="24" l="1"/>
  <c r="Y2" i="24"/>
  <c r="C6" i="15"/>
  <c r="D6" i="15"/>
  <c r="AA4" i="24" l="1"/>
  <c r="Z2" i="24"/>
  <c r="E6" i="15"/>
  <c r="AB4" i="24" l="1"/>
  <c r="AH4" i="24"/>
  <c r="AH2" i="24" s="1"/>
  <c r="AA2" i="24"/>
  <c r="D7" i="14"/>
  <c r="D11" i="14" s="1"/>
  <c r="C11" i="14"/>
  <c r="AC4" i="24" l="1"/>
  <c r="AB2" i="24"/>
  <c r="E11" i="14"/>
  <c r="AC2" i="24" l="1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sharedStrings.xml><?xml version="1.0" encoding="utf-8"?>
<sst xmlns="http://schemas.openxmlformats.org/spreadsheetml/2006/main" count="2762" uniqueCount="996">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</sst>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8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32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97</v>
          </cell>
          <cell r="C2">
            <v>97</v>
          </cell>
          <cell r="D2">
            <v>97</v>
          </cell>
          <cell r="E2">
            <v>97</v>
          </cell>
          <cell r="F2">
            <v>97</v>
          </cell>
          <cell r="G2">
            <v>97</v>
          </cell>
          <cell r="H2">
            <v>97</v>
          </cell>
          <cell r="I2">
            <v>97</v>
          </cell>
          <cell r="J2">
            <v>97</v>
          </cell>
          <cell r="K2">
            <v>97</v>
          </cell>
          <cell r="L2">
            <v>38</v>
          </cell>
          <cell r="M2">
            <v>33</v>
          </cell>
          <cell r="N2">
            <v>23</v>
          </cell>
          <cell r="O2">
            <v>5</v>
          </cell>
          <cell r="P2">
            <v>16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97</v>
          </cell>
          <cell r="Z2">
            <v>97</v>
          </cell>
          <cell r="AA2">
            <v>43</v>
          </cell>
          <cell r="AB2">
            <v>97</v>
          </cell>
          <cell r="AC2">
            <v>97</v>
          </cell>
          <cell r="AD2">
            <v>97</v>
          </cell>
          <cell r="AE2">
            <v>59</v>
          </cell>
          <cell r="AF2">
            <v>97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 t="str">
            <v>7.000.000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 t="str">
            <v>6.000.000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 t="str">
            <v>6.250.000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 t="str">
            <v>4.500.000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 t="str">
            <v>5.500.000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 t="str">
            <v>6.000.000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 t="str">
            <v>7.500.000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 t="str">
            <v>6.500.000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 t="str">
            <v>7.700.000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 t="str">
            <v>7.300.000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 t="str">
            <v>5.000.000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 t="str">
            <v>6.500.000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 t="str">
            <v>7.500.000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 t="str">
            <v>6.200.000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 t="str">
            <v>7.500.000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 t="str">
            <v>5.300.000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 t="str">
            <v>5.000.000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 t="str">
            <v>4.000.000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6.600.000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5.800.000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7.300.000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4.500.000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6.500.000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tabSelected="1" zoomScale="70" zoomScaleNormal="70" workbookViewId="0">
      <pane xSplit="3" ySplit="3" topLeftCell="AB4" activePane="bottomRight" state="frozen"/>
      <selection pane="topRight" activeCell="D1" sqref="D1"/>
      <selection pane="bottomLeft" activeCell="A4" sqref="A4"/>
      <selection pane="bottomRight" activeCell="A3" sqref="A3:XFD3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905</v>
      </c>
      <c r="H1" s="8" t="s">
        <v>906</v>
      </c>
      <c r="I1" s="31" t="s">
        <v>2</v>
      </c>
      <c r="J1" s="8" t="s">
        <v>145</v>
      </c>
      <c r="K1" s="8" t="s">
        <v>929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927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907</v>
      </c>
      <c r="I4" s="33" t="s">
        <v>907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907</v>
      </c>
      <c r="I5" s="25" t="s">
        <v>902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902</v>
      </c>
      <c r="I6" s="25" t="s">
        <v>902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988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902</v>
      </c>
      <c r="I7" s="25" t="s">
        <v>902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907</v>
      </c>
      <c r="I8" s="25" t="s">
        <v>902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902</v>
      </c>
      <c r="I9" s="25" t="s">
        <v>902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907</v>
      </c>
      <c r="I10" s="31" t="s">
        <v>908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902</v>
      </c>
      <c r="I11" s="31" t="s">
        <v>908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902</v>
      </c>
      <c r="I12" s="25" t="s">
        <v>902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902</v>
      </c>
      <c r="I13" s="25" t="s">
        <v>902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907</v>
      </c>
      <c r="I14" s="25" t="s">
        <v>902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907</v>
      </c>
      <c r="I15" s="35" t="s">
        <v>907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902</v>
      </c>
      <c r="I16" s="25" t="s">
        <v>902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907</v>
      </c>
      <c r="I17" s="25" t="s">
        <v>902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902</v>
      </c>
      <c r="I18" s="25" t="s">
        <v>902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902</v>
      </c>
      <c r="I19" s="25" t="s">
        <v>902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907</v>
      </c>
      <c r="I20" s="25" t="s">
        <v>902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907</v>
      </c>
      <c r="I21" s="25" t="s">
        <v>902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902</v>
      </c>
      <c r="I22" s="25" t="s">
        <v>902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907</v>
      </c>
      <c r="I23" s="25" t="s">
        <v>902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907</v>
      </c>
      <c r="I24" s="25" t="s">
        <v>902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907</v>
      </c>
      <c r="I25" s="35" t="s">
        <v>907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902</v>
      </c>
      <c r="I26" s="25" t="s">
        <v>902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902</v>
      </c>
      <c r="H27" s="34" t="s">
        <v>907</v>
      </c>
      <c r="I27" s="25" t="s">
        <v>902</v>
      </c>
      <c r="J27" s="97" t="s">
        <v>909</v>
      </c>
      <c r="K27" s="97" t="s">
        <v>909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902</v>
      </c>
      <c r="H28" s="34" t="s">
        <v>907</v>
      </c>
      <c r="I28" s="25" t="s">
        <v>902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907</v>
      </c>
      <c r="I29" s="25" t="s">
        <v>902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909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902</v>
      </c>
      <c r="I30" s="25" t="s">
        <v>902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907</v>
      </c>
      <c r="I31" s="25" t="s">
        <v>902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902</v>
      </c>
      <c r="I32" s="25" t="s">
        <v>902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925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902</v>
      </c>
      <c r="I33" s="34" t="s">
        <v>907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902</v>
      </c>
      <c r="I34" s="25" t="s">
        <v>902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926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902</v>
      </c>
      <c r="I35" s="25" t="s">
        <v>902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902</v>
      </c>
      <c r="I36" s="34" t="s">
        <v>907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902</v>
      </c>
      <c r="I37" s="25" t="s">
        <v>902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903</v>
      </c>
      <c r="H38" s="27" t="s">
        <v>902</v>
      </c>
      <c r="I38" s="25" t="s">
        <v>902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909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902</v>
      </c>
      <c r="I39" s="25" t="s">
        <v>902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909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902</v>
      </c>
      <c r="I40" s="25" t="s">
        <v>902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902</v>
      </c>
      <c r="I41" s="25" t="s">
        <v>902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909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902</v>
      </c>
      <c r="I42" s="25" t="s">
        <v>902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909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902</v>
      </c>
      <c r="I43" s="34" t="s">
        <v>907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909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902</v>
      </c>
      <c r="I44" s="25" t="s">
        <v>902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902</v>
      </c>
      <c r="I45" s="25" t="s">
        <v>902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909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902</v>
      </c>
      <c r="I46" s="25" t="s">
        <v>902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913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902</v>
      </c>
      <c r="I47" s="25" t="s">
        <v>902</v>
      </c>
      <c r="J47" s="125" t="s">
        <v>909</v>
      </c>
      <c r="K47" s="125" t="s">
        <v>909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914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902</v>
      </c>
      <c r="I48" s="25" t="s">
        <v>902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902</v>
      </c>
      <c r="I49" s="25" t="s">
        <v>902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902</v>
      </c>
      <c r="I50" s="25" t="s">
        <v>902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909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902</v>
      </c>
      <c r="I51" s="25" t="s">
        <v>902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902</v>
      </c>
      <c r="I52" s="25" t="s">
        <v>902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909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902</v>
      </c>
      <c r="I53" s="25" t="s">
        <v>902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909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902</v>
      </c>
      <c r="I54" s="25" t="s">
        <v>902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909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902</v>
      </c>
      <c r="I55" s="25" t="s">
        <v>902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909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902</v>
      </c>
      <c r="I56" s="25" t="s">
        <v>902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909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902</v>
      </c>
      <c r="I57" s="25" t="s">
        <v>902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909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902</v>
      </c>
      <c r="I58" s="25" t="s">
        <v>902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902</v>
      </c>
      <c r="I59" s="25" t="s">
        <v>902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909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902</v>
      </c>
      <c r="I60" s="25" t="s">
        <v>902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902</v>
      </c>
      <c r="I61" s="25" t="s">
        <v>902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909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902</v>
      </c>
      <c r="I62" s="25" t="s">
        <v>902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902</v>
      </c>
      <c r="I63" s="25" t="s">
        <v>902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902</v>
      </c>
      <c r="I64" s="34" t="s">
        <v>907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902</v>
      </c>
      <c r="I65" s="25" t="s">
        <v>902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909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812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902</v>
      </c>
      <c r="I66" s="25" t="s">
        <v>902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902</v>
      </c>
      <c r="I67" s="34" t="s">
        <v>907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902</v>
      </c>
      <c r="I68" s="25" t="s">
        <v>902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909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902</v>
      </c>
      <c r="I69" s="25" t="s">
        <v>902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902</v>
      </c>
      <c r="I70" s="25" t="s">
        <v>902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909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902</v>
      </c>
      <c r="I71" s="25" t="s">
        <v>902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909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902</v>
      </c>
      <c r="I72" s="25" t="s">
        <v>902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909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778</v>
      </c>
      <c r="AI72" s="119" t="s">
        <v>779</v>
      </c>
      <c r="AJ72" s="112" t="s">
        <v>780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902</v>
      </c>
      <c r="I73" s="25" t="s">
        <v>902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909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902</v>
      </c>
      <c r="I74" s="25" t="s">
        <v>902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781</v>
      </c>
      <c r="C75" s="2" t="s">
        <v>32</v>
      </c>
      <c r="D75" s="2">
        <v>106.70027</v>
      </c>
      <c r="E75" s="2">
        <v>10.828835</v>
      </c>
      <c r="F75" s="2" t="s">
        <v>782</v>
      </c>
      <c r="G75" s="34" t="s">
        <v>356</v>
      </c>
      <c r="H75" s="27" t="s">
        <v>902</v>
      </c>
      <c r="I75" s="25" t="s">
        <v>902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909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783</v>
      </c>
      <c r="AF75" s="113" t="s">
        <v>79</v>
      </c>
      <c r="AG75" s="120"/>
      <c r="AH75" s="121" t="s">
        <v>784</v>
      </c>
      <c r="AI75" s="119" t="s">
        <v>785</v>
      </c>
      <c r="AJ75" s="112" t="s">
        <v>780</v>
      </c>
      <c r="AK75" s="2" t="s">
        <v>786</v>
      </c>
      <c r="AL75" s="2" t="s">
        <v>787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788</v>
      </c>
      <c r="C76" s="2" t="s">
        <v>157</v>
      </c>
      <c r="D76" s="2">
        <v>106.66424809999999</v>
      </c>
      <c r="E76" s="2">
        <v>10.790502399999999</v>
      </c>
      <c r="F76" s="2" t="s">
        <v>789</v>
      </c>
      <c r="G76" s="34" t="s">
        <v>357</v>
      </c>
      <c r="H76" s="27" t="s">
        <v>902</v>
      </c>
      <c r="I76" s="25" t="s">
        <v>902</v>
      </c>
      <c r="J76" s="125" t="s">
        <v>909</v>
      </c>
      <c r="K76" s="125" t="s">
        <v>909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783</v>
      </c>
      <c r="AF76" s="113" t="s">
        <v>79</v>
      </c>
      <c r="AG76" s="120"/>
      <c r="AH76" s="121" t="s">
        <v>790</v>
      </c>
      <c r="AI76" s="119" t="s">
        <v>791</v>
      </c>
      <c r="AJ76" s="112" t="s">
        <v>792</v>
      </c>
      <c r="AK76" s="2" t="s">
        <v>793</v>
      </c>
      <c r="AL76" s="2" t="s">
        <v>794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797</v>
      </c>
      <c r="C77" s="2" t="s">
        <v>582</v>
      </c>
      <c r="D77" s="2">
        <v>106.787966</v>
      </c>
      <c r="E77" s="2">
        <v>10.769964999999999</v>
      </c>
      <c r="F77" s="2" t="s">
        <v>796</v>
      </c>
      <c r="G77" s="34" t="s">
        <v>356</v>
      </c>
      <c r="H77" s="27" t="s">
        <v>902</v>
      </c>
      <c r="I77" s="25" t="s">
        <v>902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909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783</v>
      </c>
      <c r="AF77" s="113" t="s">
        <v>79</v>
      </c>
      <c r="AG77" s="120"/>
      <c r="AH77" s="121" t="s">
        <v>799</v>
      </c>
      <c r="AI77" s="119" t="s">
        <v>798</v>
      </c>
      <c r="AJ77" s="112" t="s">
        <v>800</v>
      </c>
      <c r="AK77" s="2" t="s">
        <v>795</v>
      </c>
      <c r="AL77" s="2" t="s">
        <v>794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801</v>
      </c>
      <c r="C78" s="2" t="s">
        <v>32</v>
      </c>
      <c r="D78" s="2">
        <v>106.715318</v>
      </c>
      <c r="E78" s="2">
        <v>10.795153000000001</v>
      </c>
      <c r="F78" s="2" t="s">
        <v>811</v>
      </c>
      <c r="G78" s="34" t="s">
        <v>357</v>
      </c>
      <c r="H78" s="27" t="s">
        <v>902</v>
      </c>
      <c r="I78" s="25" t="s">
        <v>902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909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809</v>
      </c>
      <c r="AF78" s="113" t="s">
        <v>79</v>
      </c>
      <c r="AG78" s="120"/>
      <c r="AH78" s="121" t="s">
        <v>808</v>
      </c>
      <c r="AI78" s="119" t="s">
        <v>868</v>
      </c>
      <c r="AJ78" s="112" t="s">
        <v>706</v>
      </c>
      <c r="AK78" s="2" t="s">
        <v>807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802</v>
      </c>
      <c r="C79" s="2" t="s">
        <v>157</v>
      </c>
      <c r="D79" s="2">
        <v>106.6566996</v>
      </c>
      <c r="E79" s="2">
        <v>10.793421199999999</v>
      </c>
      <c r="F79" s="2" t="s">
        <v>803</v>
      </c>
      <c r="G79" s="34" t="s">
        <v>357</v>
      </c>
      <c r="H79" s="27" t="s">
        <v>902</v>
      </c>
      <c r="I79" s="25" t="s">
        <v>902</v>
      </c>
      <c r="J79" s="125" t="s">
        <v>909</v>
      </c>
      <c r="K79" s="125" t="s">
        <v>909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909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810</v>
      </c>
      <c r="AF79" s="113" t="s">
        <v>79</v>
      </c>
      <c r="AG79" s="120"/>
      <c r="AH79" s="121" t="s">
        <v>804</v>
      </c>
      <c r="AI79" s="119" t="s">
        <v>805</v>
      </c>
      <c r="AJ79" s="112" t="s">
        <v>171</v>
      </c>
      <c r="AK79" s="2" t="s">
        <v>806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813</v>
      </c>
      <c r="C80" s="2" t="s">
        <v>117</v>
      </c>
      <c r="D80" s="2">
        <v>106.652019</v>
      </c>
      <c r="E80" s="2">
        <v>10.706345000000001</v>
      </c>
      <c r="F80" s="2" t="s">
        <v>814</v>
      </c>
      <c r="G80" s="34" t="s">
        <v>356</v>
      </c>
      <c r="H80" s="27" t="s">
        <v>902</v>
      </c>
      <c r="I80" s="25" t="s">
        <v>902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909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810</v>
      </c>
      <c r="AF80" s="113" t="s">
        <v>79</v>
      </c>
      <c r="AG80" s="120"/>
      <c r="AH80" s="121" t="s">
        <v>815</v>
      </c>
      <c r="AI80" s="119" t="s">
        <v>816</v>
      </c>
      <c r="AJ80" s="112" t="s">
        <v>154</v>
      </c>
      <c r="AK80" s="2" t="s">
        <v>817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824</v>
      </c>
      <c r="C81" s="2" t="s">
        <v>66</v>
      </c>
      <c r="D81" s="2" t="s">
        <v>869</v>
      </c>
      <c r="E81" s="2" t="s">
        <v>870</v>
      </c>
      <c r="F81" s="2" t="s">
        <v>481</v>
      </c>
      <c r="G81" s="34" t="s">
        <v>904</v>
      </c>
      <c r="H81" s="27" t="s">
        <v>902</v>
      </c>
      <c r="I81" s="25" t="s">
        <v>902</v>
      </c>
      <c r="J81" s="125" t="s">
        <v>909</v>
      </c>
      <c r="K81" s="125" t="s">
        <v>909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909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910</v>
      </c>
      <c r="AG81" s="120"/>
      <c r="AH81" s="121" t="s">
        <v>910</v>
      </c>
      <c r="AI81" s="121" t="s">
        <v>910</v>
      </c>
      <c r="AJ81" s="121" t="s">
        <v>910</v>
      </c>
      <c r="AK81" s="121" t="s">
        <v>910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825</v>
      </c>
      <c r="C82" s="2" t="s">
        <v>66</v>
      </c>
      <c r="D82" s="2" t="s">
        <v>871</v>
      </c>
      <c r="E82" s="2" t="s">
        <v>870</v>
      </c>
      <c r="F82" s="2" t="s">
        <v>481</v>
      </c>
      <c r="G82" s="34" t="s">
        <v>904</v>
      </c>
      <c r="H82" s="27" t="s">
        <v>902</v>
      </c>
      <c r="I82" s="25" t="s">
        <v>902</v>
      </c>
      <c r="J82" s="125" t="s">
        <v>909</v>
      </c>
      <c r="K82" s="125" t="s">
        <v>909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909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910</v>
      </c>
      <c r="AG82" s="120"/>
      <c r="AH82" s="121" t="s">
        <v>910</v>
      </c>
      <c r="AI82" s="121" t="s">
        <v>910</v>
      </c>
      <c r="AJ82" s="121" t="s">
        <v>910</v>
      </c>
      <c r="AK82" s="121" t="s">
        <v>910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826</v>
      </c>
      <c r="C83" s="2" t="s">
        <v>66</v>
      </c>
      <c r="D83" s="2" t="s">
        <v>872</v>
      </c>
      <c r="E83" s="2" t="s">
        <v>873</v>
      </c>
      <c r="F83" s="2" t="s">
        <v>481</v>
      </c>
      <c r="G83" s="34" t="s">
        <v>904</v>
      </c>
      <c r="H83" s="27" t="s">
        <v>902</v>
      </c>
      <c r="I83" s="25" t="s">
        <v>902</v>
      </c>
      <c r="J83" s="125" t="s">
        <v>909</v>
      </c>
      <c r="K83" s="125" t="s">
        <v>909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909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910</v>
      </c>
      <c r="AG83" s="120"/>
      <c r="AH83" s="121" t="s">
        <v>910</v>
      </c>
      <c r="AI83" s="121" t="s">
        <v>910</v>
      </c>
      <c r="AJ83" s="121" t="s">
        <v>910</v>
      </c>
      <c r="AK83" s="121" t="s">
        <v>910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827</v>
      </c>
      <c r="C84" s="2" t="s">
        <v>66</v>
      </c>
      <c r="D84" s="2" t="s">
        <v>874</v>
      </c>
      <c r="E84" s="2" t="s">
        <v>875</v>
      </c>
      <c r="F84" s="2" t="s">
        <v>481</v>
      </c>
      <c r="G84" s="34" t="s">
        <v>904</v>
      </c>
      <c r="H84" s="27" t="s">
        <v>902</v>
      </c>
      <c r="I84" s="25" t="s">
        <v>902</v>
      </c>
      <c r="J84" s="125" t="s">
        <v>909</v>
      </c>
      <c r="K84" s="125" t="s">
        <v>909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909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910</v>
      </c>
      <c r="AG84" s="120"/>
      <c r="AH84" s="121" t="s">
        <v>910</v>
      </c>
      <c r="AI84" s="121" t="s">
        <v>910</v>
      </c>
      <c r="AJ84" s="121" t="s">
        <v>910</v>
      </c>
      <c r="AK84" s="121" t="s">
        <v>910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828</v>
      </c>
      <c r="C85" s="2" t="s">
        <v>66</v>
      </c>
      <c r="D85" s="2" t="s">
        <v>876</v>
      </c>
      <c r="E85" s="2" t="s">
        <v>877</v>
      </c>
      <c r="F85" s="2" t="s">
        <v>481</v>
      </c>
      <c r="G85" s="34" t="s">
        <v>904</v>
      </c>
      <c r="H85" s="27" t="s">
        <v>902</v>
      </c>
      <c r="I85" s="25" t="s">
        <v>902</v>
      </c>
      <c r="J85" s="125" t="s">
        <v>909</v>
      </c>
      <c r="K85" s="125" t="s">
        <v>909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909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910</v>
      </c>
      <c r="AG85" s="120"/>
      <c r="AH85" s="121" t="s">
        <v>910</v>
      </c>
      <c r="AI85" s="121" t="s">
        <v>910</v>
      </c>
      <c r="AJ85" s="121" t="s">
        <v>910</v>
      </c>
      <c r="AK85" s="121" t="s">
        <v>910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829</v>
      </c>
      <c r="C86" s="2" t="s">
        <v>66</v>
      </c>
      <c r="D86" s="2" t="s">
        <v>878</v>
      </c>
      <c r="E86" s="2" t="s">
        <v>879</v>
      </c>
      <c r="F86" s="2" t="s">
        <v>481</v>
      </c>
      <c r="G86" s="34" t="s">
        <v>904</v>
      </c>
      <c r="H86" s="27" t="s">
        <v>902</v>
      </c>
      <c r="I86" s="25" t="s">
        <v>902</v>
      </c>
      <c r="J86" s="125" t="s">
        <v>909</v>
      </c>
      <c r="K86" s="125" t="s">
        <v>909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909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910</v>
      </c>
      <c r="AG86" s="120"/>
      <c r="AH86" s="121" t="s">
        <v>910</v>
      </c>
      <c r="AI86" s="121" t="s">
        <v>910</v>
      </c>
      <c r="AJ86" s="121" t="s">
        <v>910</v>
      </c>
      <c r="AK86" s="121" t="s">
        <v>910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830</v>
      </c>
      <c r="C87" s="2" t="s">
        <v>66</v>
      </c>
      <c r="D87" s="2" t="s">
        <v>880</v>
      </c>
      <c r="E87" s="2" t="s">
        <v>881</v>
      </c>
      <c r="F87" s="2" t="s">
        <v>481</v>
      </c>
      <c r="G87" s="34" t="s">
        <v>904</v>
      </c>
      <c r="H87" s="27" t="s">
        <v>902</v>
      </c>
      <c r="I87" s="25" t="s">
        <v>902</v>
      </c>
      <c r="J87" s="125" t="s">
        <v>909</v>
      </c>
      <c r="K87" s="125" t="s">
        <v>909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909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910</v>
      </c>
      <c r="AG87" s="120"/>
      <c r="AH87" s="121" t="s">
        <v>910</v>
      </c>
      <c r="AI87" s="121" t="s">
        <v>910</v>
      </c>
      <c r="AJ87" s="121" t="s">
        <v>910</v>
      </c>
      <c r="AK87" s="121" t="s">
        <v>910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831</v>
      </c>
      <c r="C88" s="2" t="s">
        <v>66</v>
      </c>
      <c r="D88" s="2" t="s">
        <v>882</v>
      </c>
      <c r="E88" s="2" t="s">
        <v>883</v>
      </c>
      <c r="F88" s="2" t="s">
        <v>481</v>
      </c>
      <c r="G88" s="34" t="s">
        <v>904</v>
      </c>
      <c r="H88" s="27" t="s">
        <v>902</v>
      </c>
      <c r="I88" s="25" t="s">
        <v>902</v>
      </c>
      <c r="J88" s="125" t="s">
        <v>909</v>
      </c>
      <c r="K88" s="125" t="s">
        <v>909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909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910</v>
      </c>
      <c r="AG88" s="120"/>
      <c r="AH88" s="121" t="s">
        <v>910</v>
      </c>
      <c r="AI88" s="121" t="s">
        <v>910</v>
      </c>
      <c r="AJ88" s="121" t="s">
        <v>910</v>
      </c>
      <c r="AK88" s="121" t="s">
        <v>910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832</v>
      </c>
      <c r="C89" s="2" t="s">
        <v>66</v>
      </c>
      <c r="D89" s="2" t="s">
        <v>884</v>
      </c>
      <c r="E89" s="2" t="s">
        <v>885</v>
      </c>
      <c r="F89" s="2" t="s">
        <v>836</v>
      </c>
      <c r="G89" s="34" t="s">
        <v>904</v>
      </c>
      <c r="H89" s="27" t="s">
        <v>902</v>
      </c>
      <c r="I89" s="25" t="s">
        <v>902</v>
      </c>
      <c r="J89" s="125" t="s">
        <v>909</v>
      </c>
      <c r="K89" s="125" t="s">
        <v>909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909</v>
      </c>
      <c r="Z89" s="102" t="s">
        <v>840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928</v>
      </c>
      <c r="AG89" s="120"/>
      <c r="AH89" s="121" t="s">
        <v>910</v>
      </c>
      <c r="AI89" s="121" t="s">
        <v>910</v>
      </c>
      <c r="AJ89" s="121" t="s">
        <v>910</v>
      </c>
      <c r="AK89" s="121" t="s">
        <v>910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833</v>
      </c>
      <c r="C90" s="2" t="s">
        <v>66</v>
      </c>
      <c r="D90" s="2" t="s">
        <v>886</v>
      </c>
      <c r="E90" s="2" t="s">
        <v>887</v>
      </c>
      <c r="F90" s="2" t="s">
        <v>837</v>
      </c>
      <c r="G90" s="34" t="s">
        <v>904</v>
      </c>
      <c r="H90" s="27" t="s">
        <v>902</v>
      </c>
      <c r="I90" s="25" t="s">
        <v>902</v>
      </c>
      <c r="J90" s="125" t="s">
        <v>909</v>
      </c>
      <c r="K90" s="125" t="s">
        <v>909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909</v>
      </c>
      <c r="Z90" s="102" t="s">
        <v>840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928</v>
      </c>
      <c r="AG90" s="120"/>
      <c r="AH90" s="121" t="s">
        <v>910</v>
      </c>
      <c r="AI90" s="121" t="s">
        <v>910</v>
      </c>
      <c r="AJ90" s="121" t="s">
        <v>910</v>
      </c>
      <c r="AK90" s="121" t="s">
        <v>910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834</v>
      </c>
      <c r="C91" s="2" t="s">
        <v>66</v>
      </c>
      <c r="D91" s="2" t="s">
        <v>888</v>
      </c>
      <c r="E91" s="2" t="s">
        <v>889</v>
      </c>
      <c r="F91" s="2" t="s">
        <v>838</v>
      </c>
      <c r="G91" s="34" t="s">
        <v>904</v>
      </c>
      <c r="H91" s="27" t="s">
        <v>902</v>
      </c>
      <c r="I91" s="25" t="s">
        <v>902</v>
      </c>
      <c r="J91" s="125" t="s">
        <v>909</v>
      </c>
      <c r="K91" s="125" t="s">
        <v>909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909</v>
      </c>
      <c r="Z91" s="102" t="s">
        <v>840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928</v>
      </c>
      <c r="AG91" s="120"/>
      <c r="AH91" s="121" t="s">
        <v>910</v>
      </c>
      <c r="AI91" s="121" t="s">
        <v>910</v>
      </c>
      <c r="AJ91" s="121" t="s">
        <v>910</v>
      </c>
      <c r="AK91" s="121" t="s">
        <v>910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835</v>
      </c>
      <c r="C92" s="2" t="s">
        <v>66</v>
      </c>
      <c r="D92" s="2" t="s">
        <v>890</v>
      </c>
      <c r="E92" s="2" t="s">
        <v>891</v>
      </c>
      <c r="F92" s="2" t="s">
        <v>839</v>
      </c>
      <c r="G92" s="34" t="s">
        <v>904</v>
      </c>
      <c r="H92" s="27" t="s">
        <v>902</v>
      </c>
      <c r="I92" s="25" t="s">
        <v>902</v>
      </c>
      <c r="J92" s="125" t="s">
        <v>909</v>
      </c>
      <c r="K92" s="125" t="s">
        <v>909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909</v>
      </c>
      <c r="Z92" s="102" t="s">
        <v>840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928</v>
      </c>
      <c r="AG92" s="120"/>
      <c r="AH92" s="121" t="s">
        <v>910</v>
      </c>
      <c r="AI92" s="121" t="s">
        <v>910</v>
      </c>
      <c r="AJ92" s="121" t="s">
        <v>910</v>
      </c>
      <c r="AK92" s="121" t="s">
        <v>910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841</v>
      </c>
      <c r="C93" s="2" t="s">
        <v>15</v>
      </c>
      <c r="D93" s="2">
        <v>106.597342</v>
      </c>
      <c r="E93" s="2">
        <v>10.860189999999999</v>
      </c>
      <c r="F93" s="2" t="s">
        <v>842</v>
      </c>
      <c r="G93" s="34" t="s">
        <v>356</v>
      </c>
      <c r="H93" s="27" t="s">
        <v>902</v>
      </c>
      <c r="I93" s="25" t="s">
        <v>902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849</v>
      </c>
      <c r="AI93" s="119" t="s">
        <v>848</v>
      </c>
      <c r="AJ93" s="112" t="s">
        <v>154</v>
      </c>
      <c r="AK93" s="2" t="s">
        <v>850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843</v>
      </c>
      <c r="C94" s="2" t="s">
        <v>230</v>
      </c>
      <c r="D94" s="2">
        <v>106.608164</v>
      </c>
      <c r="E94" s="2">
        <v>10.803616</v>
      </c>
      <c r="F94" s="2" t="s">
        <v>857</v>
      </c>
      <c r="G94" s="34" t="s">
        <v>356</v>
      </c>
      <c r="H94" s="27" t="s">
        <v>902</v>
      </c>
      <c r="I94" s="25" t="s">
        <v>902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909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859</v>
      </c>
      <c r="AI94" s="119" t="s">
        <v>858</v>
      </c>
      <c r="AJ94" s="112" t="s">
        <v>860</v>
      </c>
      <c r="AK94" s="2" t="s">
        <v>856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845</v>
      </c>
      <c r="C95" s="2" t="s">
        <v>291</v>
      </c>
      <c r="D95" s="2">
        <v>106.6436025</v>
      </c>
      <c r="E95" s="2">
        <v>10.869358</v>
      </c>
      <c r="F95" s="2" t="s">
        <v>852</v>
      </c>
      <c r="G95" s="34" t="s">
        <v>357</v>
      </c>
      <c r="H95" s="27" t="s">
        <v>902</v>
      </c>
      <c r="I95" s="25" t="s">
        <v>902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854</v>
      </c>
      <c r="AI95" s="121" t="s">
        <v>853</v>
      </c>
      <c r="AJ95" s="112" t="s">
        <v>855</v>
      </c>
      <c r="AK95" s="2" t="s">
        <v>851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989</v>
      </c>
      <c r="C96" s="2" t="s">
        <v>66</v>
      </c>
      <c r="D96" s="2">
        <v>106.683274</v>
      </c>
      <c r="E96" s="2">
        <v>10.837393199999999</v>
      </c>
      <c r="F96" s="2" t="s">
        <v>846</v>
      </c>
      <c r="G96" s="34" t="s">
        <v>357</v>
      </c>
      <c r="H96" s="27" t="s">
        <v>902</v>
      </c>
      <c r="I96" s="25" t="s">
        <v>902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909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822</v>
      </c>
      <c r="AI96" s="121" t="s">
        <v>821</v>
      </c>
      <c r="AJ96" s="112" t="s">
        <v>847</v>
      </c>
      <c r="AK96" s="2" t="s">
        <v>823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818</v>
      </c>
      <c r="C97" s="2" t="s">
        <v>117</v>
      </c>
      <c r="D97" s="2">
        <v>106.518545</v>
      </c>
      <c r="E97" s="2">
        <v>10.738443</v>
      </c>
      <c r="F97" s="2" t="s">
        <v>861</v>
      </c>
      <c r="G97" s="34" t="s">
        <v>356</v>
      </c>
      <c r="H97" s="27" t="s">
        <v>902</v>
      </c>
      <c r="I97" s="25" t="s">
        <v>902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924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819</v>
      </c>
      <c r="AI97" s="121" t="s">
        <v>820</v>
      </c>
      <c r="AJ97" s="112" t="s">
        <v>171</v>
      </c>
      <c r="AK97" s="2" t="s">
        <v>862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844</v>
      </c>
      <c r="C98" s="2" t="s">
        <v>588</v>
      </c>
      <c r="D98" s="2">
        <v>106.6705798</v>
      </c>
      <c r="E98" s="2">
        <v>10.763659000000001</v>
      </c>
      <c r="F98" s="2" t="s">
        <v>863</v>
      </c>
      <c r="G98" s="34" t="s">
        <v>357</v>
      </c>
      <c r="H98" s="27" t="s">
        <v>902</v>
      </c>
      <c r="I98" s="25" t="s">
        <v>902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909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866</v>
      </c>
      <c r="AI98" s="119" t="s">
        <v>864</v>
      </c>
      <c r="AJ98" s="112" t="s">
        <v>865</v>
      </c>
      <c r="AK98" s="2" t="s">
        <v>867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892</v>
      </c>
      <c r="C99" s="2" t="s">
        <v>66</v>
      </c>
      <c r="D99" s="2">
        <v>106.6493112</v>
      </c>
      <c r="E99" s="2">
        <v>10.8455811</v>
      </c>
      <c r="F99" s="2" t="s">
        <v>896</v>
      </c>
      <c r="G99" s="34" t="s">
        <v>357</v>
      </c>
      <c r="H99" s="27" t="s">
        <v>902</v>
      </c>
      <c r="I99" s="25" t="s">
        <v>902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909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894</v>
      </c>
      <c r="AI99" s="154" t="s">
        <v>893</v>
      </c>
      <c r="AJ99" s="41" t="s">
        <v>700</v>
      </c>
      <c r="AK99" s="2" t="s">
        <v>895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899</v>
      </c>
      <c r="C100" s="2" t="s">
        <v>66</v>
      </c>
      <c r="D100" s="2">
        <v>106.688222</v>
      </c>
      <c r="E100" s="2">
        <v>10.824833</v>
      </c>
      <c r="F100" s="2" t="s">
        <v>897</v>
      </c>
      <c r="G100" s="34" t="s">
        <v>356</v>
      </c>
      <c r="H100" s="27" t="s">
        <v>902</v>
      </c>
      <c r="I100" s="25" t="s">
        <v>902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898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900</v>
      </c>
      <c r="AI100" s="154" t="s">
        <v>898</v>
      </c>
      <c r="AJ100" s="41" t="s">
        <v>102</v>
      </c>
      <c r="AK100" s="2" t="s">
        <v>901</v>
      </c>
      <c r="AL100" s="2"/>
      <c r="AM100" s="2"/>
      <c r="AN100" s="48"/>
      <c r="AO100">
        <v>2025</v>
      </c>
      <c r="AP100" s="122"/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opLeftCell="O1" workbookViewId="0">
      <selection activeCell="W16" sqref="W16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930</v>
      </c>
      <c r="D1" s="157" t="s">
        <v>931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932</v>
      </c>
      <c r="J1" s="157" t="s">
        <v>995</v>
      </c>
      <c r="K1" s="157" t="s">
        <v>933</v>
      </c>
      <c r="L1" s="157" t="s">
        <v>934</v>
      </c>
      <c r="M1" s="157" t="s">
        <v>935</v>
      </c>
      <c r="N1" s="157" t="s">
        <v>936</v>
      </c>
      <c r="O1" s="157" t="s">
        <v>937</v>
      </c>
      <c r="P1" s="157" t="s">
        <v>938</v>
      </c>
      <c r="Q1" s="157" t="s">
        <v>939</v>
      </c>
      <c r="R1" s="157" t="s">
        <v>940</v>
      </c>
      <c r="S1" s="157" t="s">
        <v>941</v>
      </c>
      <c r="T1" s="159" t="s">
        <v>942</v>
      </c>
      <c r="U1" s="159" t="s">
        <v>943</v>
      </c>
      <c r="V1" s="159" t="s">
        <v>944</v>
      </c>
      <c r="W1" s="159" t="s">
        <v>945</v>
      </c>
      <c r="X1" s="159" t="s">
        <v>946</v>
      </c>
      <c r="Y1" s="159" t="s">
        <v>947</v>
      </c>
      <c r="Z1" s="159" t="s">
        <v>948</v>
      </c>
      <c r="AA1" s="159" t="s">
        <v>949</v>
      </c>
      <c r="AB1" s="159" t="s">
        <v>949</v>
      </c>
      <c r="AC1" s="159" t="s">
        <v>990</v>
      </c>
      <c r="AD1" s="159" t="s">
        <v>991</v>
      </c>
      <c r="AE1" s="159" t="s">
        <v>992</v>
      </c>
      <c r="AF1" s="159" t="s">
        <v>993</v>
      </c>
      <c r="AG1" s="159" t="s">
        <v>994</v>
      </c>
      <c r="AH1" s="160" t="s">
        <v>950</v>
      </c>
      <c r="AI1" s="157" t="s">
        <v>951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33</v>
      </c>
      <c r="AI4" s="172">
        <f>3*D4</f>
        <v>19500000</v>
      </c>
      <c r="AJ4" s="164" t="s">
        <v>952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68</v>
      </c>
      <c r="AI5" s="175">
        <f>3*D5</f>
        <v>21000000</v>
      </c>
      <c r="AJ5" s="173" t="s">
        <v>953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32</v>
      </c>
      <c r="AI6" s="172">
        <f>3*D6</f>
        <v>17625000</v>
      </c>
      <c r="AJ6" s="164" t="s">
        <v>954</v>
      </c>
    </row>
    <row r="7" spans="1:36" x14ac:dyDescent="0.2">
      <c r="A7" s="173">
        <v>4</v>
      </c>
      <c r="B7" s="173" t="s">
        <v>988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3</v>
      </c>
      <c r="AI7" s="175">
        <f>6*D7</f>
        <v>24000000</v>
      </c>
      <c r="AJ7" s="173" t="s">
        <v>955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63</v>
      </c>
      <c r="AI8" s="166">
        <f>3*D8</f>
        <v>14250000</v>
      </c>
      <c r="AJ8" s="164" t="s">
        <v>954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47</v>
      </c>
      <c r="AI9" s="166">
        <f>3*D9</f>
        <v>24900000</v>
      </c>
      <c r="AJ9" s="164" t="s">
        <v>956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3</v>
      </c>
      <c r="AI10" s="166">
        <f>D10*3</f>
        <v>18000000</v>
      </c>
      <c r="AJ10" s="164" t="s">
        <v>954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-4</v>
      </c>
      <c r="AI11" s="189">
        <f>D11*3</f>
        <v>21000000</v>
      </c>
      <c r="AJ11" s="165" t="s">
        <v>954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3</v>
      </c>
      <c r="AI12" s="166">
        <f>3*D12</f>
        <v>19500000</v>
      </c>
      <c r="AJ12" s="164" t="s">
        <v>957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958</v>
      </c>
      <c r="F13" s="166" t="s">
        <v>170</v>
      </c>
      <c r="G13" s="191" t="s">
        <v>710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4</v>
      </c>
      <c r="AI13" s="166">
        <f>3*7000000</f>
        <v>21000000</v>
      </c>
      <c r="AJ13" s="164" t="s">
        <v>954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13</v>
      </c>
      <c r="AI14" s="166">
        <f>3*D14</f>
        <v>18000000</v>
      </c>
      <c r="AJ14" s="164" t="s">
        <v>957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144</v>
      </c>
      <c r="AI15" s="166">
        <f>6*D15</f>
        <v>42000000</v>
      </c>
      <c r="AJ15" s="164" t="s">
        <v>955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57</v>
      </c>
      <c r="AI16" s="166">
        <f>6*D16</f>
        <v>39600000</v>
      </c>
      <c r="AJ16" s="164" t="s">
        <v>955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959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63</v>
      </c>
      <c r="AI17" s="166">
        <f>3*D17</f>
        <v>21000000</v>
      </c>
      <c r="AJ17" s="164" t="s">
        <v>954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78</v>
      </c>
      <c r="AI18" s="166">
        <f>6*D18</f>
        <v>31800000</v>
      </c>
      <c r="AJ18" s="164" t="s">
        <v>955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44</v>
      </c>
      <c r="AI19" s="166">
        <f>3*D19</f>
        <v>18000000</v>
      </c>
      <c r="AJ19" s="164" t="s">
        <v>957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156</v>
      </c>
      <c r="AI20" s="175">
        <f>6*D20</f>
        <v>30000000</v>
      </c>
      <c r="AJ20" s="173" t="s">
        <v>955</v>
      </c>
    </row>
    <row r="21" spans="1:36" x14ac:dyDescent="0.2">
      <c r="A21" s="173">
        <v>18</v>
      </c>
      <c r="B21" s="195" t="s">
        <v>650</v>
      </c>
      <c r="C21" s="165" t="s">
        <v>66</v>
      </c>
      <c r="D21" s="166">
        <v>6500000</v>
      </c>
      <c r="E21" s="166" t="s">
        <v>608</v>
      </c>
      <c r="F21" s="166" t="s">
        <v>602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68</v>
      </c>
      <c r="AI21" s="166">
        <f>3*D21</f>
        <v>19500000</v>
      </c>
      <c r="AJ21" s="164" t="s">
        <v>954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132</v>
      </c>
      <c r="AI22" s="166">
        <f>6*D22</f>
        <v>24000000</v>
      </c>
      <c r="AJ22" s="164" t="s">
        <v>955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960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132</v>
      </c>
      <c r="AI23" s="166">
        <f>D23*6</f>
        <v>36000000</v>
      </c>
      <c r="AJ23" s="164" t="s">
        <v>955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85</v>
      </c>
      <c r="AI24" s="189">
        <f>3*D24</f>
        <v>15000000</v>
      </c>
      <c r="AJ24" s="164" t="s">
        <v>961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962</v>
      </c>
      <c r="F25" s="175" t="s">
        <v>963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47</v>
      </c>
      <c r="AI25" s="175">
        <f>3*D25</f>
        <v>19500000</v>
      </c>
      <c r="AJ25" s="173" t="s">
        <v>957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3</v>
      </c>
      <c r="AI26" s="166">
        <f>6*D26</f>
        <v>36000000</v>
      </c>
      <c r="AJ26" s="164" t="s">
        <v>964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965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33</v>
      </c>
      <c r="AI27" s="166">
        <f>3*D27</f>
        <v>15000000</v>
      </c>
      <c r="AJ27" s="164" t="s">
        <v>957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79</v>
      </c>
      <c r="AI28" s="175">
        <f>6*D28</f>
        <v>34500000</v>
      </c>
      <c r="AJ28" s="173" t="s">
        <v>955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>
        <f>EDATE(P29,6)-1</f>
        <v>46112</v>
      </c>
      <c r="R29" s="202">
        <v>46023</v>
      </c>
      <c r="S29" s="170">
        <f>EDATE(R29,6)-1</f>
        <v>46203</v>
      </c>
      <c r="T29" s="169">
        <f t="shared" si="32"/>
        <v>46386</v>
      </c>
      <c r="U29" s="169">
        <f t="shared" si="32"/>
        <v>46568</v>
      </c>
      <c r="V29" s="169">
        <f t="shared" si="30"/>
        <v>46751</v>
      </c>
      <c r="W29" s="169">
        <f t="shared" si="30"/>
        <v>46934</v>
      </c>
      <c r="X29" s="169">
        <f t="shared" si="30"/>
        <v>47117</v>
      </c>
      <c r="Y29" s="169">
        <f t="shared" si="30"/>
        <v>47299</v>
      </c>
      <c r="Z29" s="169">
        <f t="shared" si="30"/>
        <v>47482</v>
      </c>
      <c r="AA29" s="169">
        <f t="shared" si="30"/>
        <v>47664</v>
      </c>
      <c r="AB29" s="169">
        <f t="shared" si="30"/>
        <v>47847</v>
      </c>
      <c r="AC29" s="169">
        <f t="shared" si="30"/>
        <v>48029</v>
      </c>
      <c r="AD29" s="169">
        <f t="shared" si="30"/>
        <v>48212</v>
      </c>
      <c r="AE29" s="169">
        <f t="shared" si="30"/>
        <v>48395</v>
      </c>
      <c r="AF29" s="169">
        <f t="shared" si="30"/>
        <v>48578</v>
      </c>
      <c r="AG29" s="169">
        <f t="shared" si="30"/>
        <v>48760</v>
      </c>
      <c r="AH29" s="188">
        <f ca="1">S29-TODAY()</f>
        <v>93</v>
      </c>
      <c r="AI29" s="203">
        <f>D29*6</f>
        <v>42000000</v>
      </c>
      <c r="AJ29" s="164" t="s">
        <v>966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37</v>
      </c>
      <c r="AI30" s="203">
        <f>D30*3</f>
        <v>9000000</v>
      </c>
      <c r="AJ30" s="164" t="s">
        <v>961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165</v>
      </c>
      <c r="AI31" s="196">
        <f>D31*6</f>
        <v>51000000</v>
      </c>
      <c r="AJ31" s="173" t="s">
        <v>955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73</v>
      </c>
      <c r="AI32" s="203">
        <f t="shared" ref="AI32:AI36" si="40">D32*3</f>
        <v>15000000</v>
      </c>
      <c r="AJ32" s="164" t="s">
        <v>961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30</v>
      </c>
      <c r="AI33" s="207">
        <f t="shared" si="40"/>
        <v>21000000</v>
      </c>
      <c r="AJ33" s="164" t="s">
        <v>961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57</v>
      </c>
      <c r="AI34" s="196">
        <f t="shared" si="40"/>
        <v>15000000</v>
      </c>
      <c r="AJ34" s="173" t="s">
        <v>961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63</v>
      </c>
      <c r="AI35" s="203">
        <f t="shared" si="40"/>
        <v>15000000</v>
      </c>
      <c r="AJ35" s="164" t="s">
        <v>961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63</v>
      </c>
      <c r="AI36" s="203">
        <f t="shared" si="40"/>
        <v>16500000</v>
      </c>
      <c r="AJ36" s="164" t="s">
        <v>961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64</v>
      </c>
      <c r="AI37" s="203">
        <f>D37*6</f>
        <v>46200000</v>
      </c>
      <c r="AJ37" s="164" t="s">
        <v>964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64</v>
      </c>
      <c r="AI38" s="203">
        <f>D38*6</f>
        <v>36000000</v>
      </c>
      <c r="AJ38" s="164" t="s">
        <v>964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78</v>
      </c>
      <c r="AI39" s="203">
        <f>D39*6</f>
        <v>42000000</v>
      </c>
      <c r="AJ39" s="164" t="s">
        <v>964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78</v>
      </c>
      <c r="AI40" s="203">
        <f>D40*3</f>
        <v>24000000</v>
      </c>
      <c r="AJ40" s="164" t="s">
        <v>961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-4</v>
      </c>
      <c r="AI41" s="203">
        <f>D41*3</f>
        <v>21000000</v>
      </c>
      <c r="AJ41" s="164" t="s">
        <v>967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33</v>
      </c>
      <c r="AI42" s="203">
        <f t="shared" ref="AI42:AI43" si="49">D42*3</f>
        <v>19500000</v>
      </c>
      <c r="AJ42" s="164" t="s">
        <v>968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47</v>
      </c>
      <c r="AI43" s="196">
        <f t="shared" si="49"/>
        <v>18000000</v>
      </c>
      <c r="AJ43" s="173" t="s">
        <v>968</v>
      </c>
    </row>
    <row r="44" spans="1:36" x14ac:dyDescent="0.2">
      <c r="A44" s="164">
        <v>41</v>
      </c>
      <c r="B44" s="164" t="s">
        <v>570</v>
      </c>
      <c r="C44" s="165" t="s">
        <v>32</v>
      </c>
      <c r="D44" s="203">
        <v>6000000</v>
      </c>
      <c r="E44" s="166" t="s">
        <v>642</v>
      </c>
      <c r="F44" s="166" t="s">
        <v>643</v>
      </c>
      <c r="G44" s="166" t="s">
        <v>644</v>
      </c>
      <c r="H44" s="166" t="s">
        <v>649</v>
      </c>
      <c r="I44" s="164" t="s">
        <v>79</v>
      </c>
      <c r="J44" s="169" t="s">
        <v>969</v>
      </c>
      <c r="K44" s="169" t="s">
        <v>969</v>
      </c>
      <c r="L44" s="169" t="s">
        <v>969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33</v>
      </c>
      <c r="AI44" s="203">
        <f>D44*6</f>
        <v>36000000</v>
      </c>
      <c r="AJ44" s="164" t="s">
        <v>970</v>
      </c>
    </row>
    <row r="45" spans="1:36" x14ac:dyDescent="0.2">
      <c r="A45" s="173">
        <v>42</v>
      </c>
      <c r="B45" s="215" t="s">
        <v>577</v>
      </c>
      <c r="C45" s="165" t="s">
        <v>476</v>
      </c>
      <c r="D45" s="196">
        <v>4300000</v>
      </c>
      <c r="E45" s="175" t="s">
        <v>604</v>
      </c>
      <c r="F45" s="175" t="s">
        <v>606</v>
      </c>
      <c r="G45" s="175" t="s">
        <v>605</v>
      </c>
      <c r="H45" s="175" t="s">
        <v>607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165</v>
      </c>
      <c r="AI45" s="196">
        <f>D45*6</f>
        <v>25800000</v>
      </c>
      <c r="AJ45" s="173" t="s">
        <v>971</v>
      </c>
    </row>
    <row r="46" spans="1:36" x14ac:dyDescent="0.2">
      <c r="A46" s="164">
        <v>43</v>
      </c>
      <c r="B46" s="164" t="s">
        <v>578</v>
      </c>
      <c r="C46" s="165" t="s">
        <v>582</v>
      </c>
      <c r="D46" s="203">
        <v>6000000</v>
      </c>
      <c r="E46" s="166" t="s">
        <v>584</v>
      </c>
      <c r="F46" s="166" t="s">
        <v>585</v>
      </c>
      <c r="G46" s="166" t="s">
        <v>406</v>
      </c>
      <c r="H46" s="166" t="s">
        <v>586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17</v>
      </c>
      <c r="AI46" s="203">
        <f>D46*1</f>
        <v>6000000</v>
      </c>
      <c r="AJ46" s="164" t="s">
        <v>972</v>
      </c>
    </row>
    <row r="47" spans="1:36" x14ac:dyDescent="0.2">
      <c r="A47" s="173">
        <v>44</v>
      </c>
      <c r="B47" s="164" t="s">
        <v>579</v>
      </c>
      <c r="C47" s="165" t="s">
        <v>588</v>
      </c>
      <c r="D47" s="203">
        <v>4000000</v>
      </c>
      <c r="E47" s="166" t="s">
        <v>589</v>
      </c>
      <c r="F47" s="166" t="s">
        <v>590</v>
      </c>
      <c r="G47" s="166" t="s">
        <v>171</v>
      </c>
      <c r="H47" s="166" t="s">
        <v>591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139</v>
      </c>
      <c r="AI47" s="203">
        <v>24000000</v>
      </c>
      <c r="AJ47" s="164" t="s">
        <v>971</v>
      </c>
    </row>
    <row r="48" spans="1:36" x14ac:dyDescent="0.2">
      <c r="A48" s="164">
        <v>45</v>
      </c>
      <c r="B48" s="164" t="s">
        <v>580</v>
      </c>
      <c r="C48" s="165" t="s">
        <v>588</v>
      </c>
      <c r="D48" s="203">
        <v>4000000</v>
      </c>
      <c r="E48" s="166" t="s">
        <v>594</v>
      </c>
      <c r="F48" s="166" t="s">
        <v>593</v>
      </c>
      <c r="G48" s="166" t="s">
        <v>595</v>
      </c>
      <c r="H48" s="166" t="s">
        <v>596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139</v>
      </c>
      <c r="AI48" s="203">
        <v>24000000</v>
      </c>
      <c r="AJ48" s="164" t="s">
        <v>971</v>
      </c>
    </row>
    <row r="49" spans="1:36" x14ac:dyDescent="0.2">
      <c r="A49" s="173">
        <v>46</v>
      </c>
      <c r="B49" s="211" t="s">
        <v>581</v>
      </c>
      <c r="C49" s="165" t="s">
        <v>476</v>
      </c>
      <c r="D49" s="203">
        <v>6500000</v>
      </c>
      <c r="E49" s="166" t="s">
        <v>599</v>
      </c>
      <c r="F49" s="166" t="s">
        <v>598</v>
      </c>
      <c r="G49" s="166" t="s">
        <v>600</v>
      </c>
      <c r="H49" s="166" t="s">
        <v>601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155</v>
      </c>
      <c r="AI49" s="203">
        <f>D49*6</f>
        <v>39000000</v>
      </c>
      <c r="AJ49" s="164" t="s">
        <v>971</v>
      </c>
    </row>
    <row r="50" spans="1:36" x14ac:dyDescent="0.2">
      <c r="A50" s="164">
        <v>47</v>
      </c>
      <c r="B50" s="164" t="s">
        <v>617</v>
      </c>
      <c r="C50" s="165" t="s">
        <v>582</v>
      </c>
      <c r="D50" s="203">
        <v>6000000</v>
      </c>
      <c r="E50" s="166" t="s">
        <v>635</v>
      </c>
      <c r="F50" s="166" t="s">
        <v>636</v>
      </c>
      <c r="G50" s="166" t="s">
        <v>637</v>
      </c>
      <c r="H50" s="166" t="s">
        <v>638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33</v>
      </c>
      <c r="AI50" s="203">
        <f>D50*6</f>
        <v>36000000</v>
      </c>
      <c r="AJ50" s="164" t="s">
        <v>973</v>
      </c>
    </row>
    <row r="51" spans="1:36" x14ac:dyDescent="0.2">
      <c r="A51" s="173">
        <v>48</v>
      </c>
      <c r="B51" s="217" t="s">
        <v>628</v>
      </c>
      <c r="C51" s="165" t="s">
        <v>582</v>
      </c>
      <c r="D51" s="196">
        <v>6000000</v>
      </c>
      <c r="E51" s="198" t="s">
        <v>974</v>
      </c>
      <c r="F51" s="175" t="s">
        <v>630</v>
      </c>
      <c r="G51" s="175" t="s">
        <v>975</v>
      </c>
      <c r="H51" s="175" t="s">
        <v>976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115</v>
      </c>
      <c r="AI51" s="196">
        <f t="shared" ref="AI51:AI60" si="56">D51*6</f>
        <v>36000000</v>
      </c>
      <c r="AJ51" s="173" t="s">
        <v>973</v>
      </c>
    </row>
    <row r="52" spans="1:36" x14ac:dyDescent="0.2">
      <c r="A52" s="164">
        <v>49</v>
      </c>
      <c r="B52" s="164" t="s">
        <v>623</v>
      </c>
      <c r="C52" s="165" t="s">
        <v>582</v>
      </c>
      <c r="D52" s="203">
        <v>6500000</v>
      </c>
      <c r="E52" s="197" t="s">
        <v>626</v>
      </c>
      <c r="F52" s="166" t="s">
        <v>625</v>
      </c>
      <c r="G52" s="166" t="s">
        <v>406</v>
      </c>
      <c r="H52" s="166" t="s">
        <v>977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94</v>
      </c>
      <c r="AI52" s="203">
        <f>D52*6</f>
        <v>39000000</v>
      </c>
      <c r="AJ52" s="164" t="s">
        <v>973</v>
      </c>
    </row>
    <row r="53" spans="1:36" x14ac:dyDescent="0.2">
      <c r="A53" s="173">
        <v>50</v>
      </c>
      <c r="B53" s="164" t="s">
        <v>646</v>
      </c>
      <c r="C53" s="165" t="s">
        <v>978</v>
      </c>
      <c r="D53" s="203">
        <v>4500000</v>
      </c>
      <c r="E53" s="166" t="s">
        <v>662</v>
      </c>
      <c r="F53" s="166" t="s">
        <v>663</v>
      </c>
      <c r="G53" s="166" t="s">
        <v>595</v>
      </c>
      <c r="H53" s="166" t="s">
        <v>661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90</v>
      </c>
      <c r="AI53" s="203">
        <f t="shared" si="56"/>
        <v>27000000</v>
      </c>
      <c r="AJ53" s="164" t="s">
        <v>973</v>
      </c>
    </row>
    <row r="54" spans="1:36" x14ac:dyDescent="0.2">
      <c r="A54" s="164">
        <v>51</v>
      </c>
      <c r="B54" s="164" t="s">
        <v>645</v>
      </c>
      <c r="C54" s="165" t="s">
        <v>564</v>
      </c>
      <c r="D54" s="203">
        <v>4000000</v>
      </c>
      <c r="E54" s="166" t="s">
        <v>659</v>
      </c>
      <c r="F54" s="166" t="s">
        <v>658</v>
      </c>
      <c r="G54" s="166" t="s">
        <v>154</v>
      </c>
      <c r="H54" s="166" t="s">
        <v>660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89</v>
      </c>
      <c r="AI54" s="203">
        <f t="shared" si="56"/>
        <v>24000000</v>
      </c>
      <c r="AJ54" s="164" t="s">
        <v>973</v>
      </c>
    </row>
    <row r="55" spans="1:36" x14ac:dyDescent="0.2">
      <c r="A55" s="173">
        <v>52</v>
      </c>
      <c r="B55" s="164" t="s">
        <v>616</v>
      </c>
      <c r="C55" s="165" t="s">
        <v>771</v>
      </c>
      <c r="D55" s="203">
        <v>5500000</v>
      </c>
      <c r="E55" s="197" t="s">
        <v>673</v>
      </c>
      <c r="F55" s="166" t="s">
        <v>674</v>
      </c>
      <c r="G55" s="166" t="s">
        <v>675</v>
      </c>
      <c r="H55" s="166" t="s">
        <v>676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125</v>
      </c>
      <c r="AI55" s="203">
        <f t="shared" si="56"/>
        <v>33000000</v>
      </c>
      <c r="AJ55" s="164" t="s">
        <v>971</v>
      </c>
    </row>
    <row r="56" spans="1:36" x14ac:dyDescent="0.2">
      <c r="A56" s="164">
        <v>53</v>
      </c>
      <c r="B56" s="164" t="s">
        <v>677</v>
      </c>
      <c r="C56" s="165" t="s">
        <v>66</v>
      </c>
      <c r="D56" s="203">
        <v>4000000</v>
      </c>
      <c r="E56" s="197" t="s">
        <v>687</v>
      </c>
      <c r="F56" s="166" t="s">
        <v>688</v>
      </c>
      <c r="G56" s="166" t="s">
        <v>406</v>
      </c>
      <c r="H56" s="166" t="s">
        <v>689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-1</v>
      </c>
      <c r="AI56" s="203">
        <f t="shared" si="56"/>
        <v>24000000</v>
      </c>
      <c r="AJ56" s="164" t="s">
        <v>979</v>
      </c>
    </row>
    <row r="57" spans="1:36" x14ac:dyDescent="0.2">
      <c r="A57" s="173">
        <v>54</v>
      </c>
      <c r="B57" s="164" t="s">
        <v>678</v>
      </c>
      <c r="C57" s="165" t="s">
        <v>32</v>
      </c>
      <c r="D57" s="203">
        <v>4000000</v>
      </c>
      <c r="E57" s="197" t="s">
        <v>691</v>
      </c>
      <c r="F57" s="166" t="s">
        <v>692</v>
      </c>
      <c r="G57" s="166" t="s">
        <v>416</v>
      </c>
      <c r="H57" s="166" t="s">
        <v>690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12</v>
      </c>
      <c r="AI57" s="203">
        <f t="shared" si="56"/>
        <v>24000000</v>
      </c>
      <c r="AJ57" s="164" t="s">
        <v>980</v>
      </c>
    </row>
    <row r="58" spans="1:36" x14ac:dyDescent="0.2">
      <c r="A58" s="164">
        <v>55</v>
      </c>
      <c r="B58" s="195" t="s">
        <v>679</v>
      </c>
      <c r="C58" s="165" t="s">
        <v>588</v>
      </c>
      <c r="D58" s="203">
        <v>4000000</v>
      </c>
      <c r="E58" s="197" t="s">
        <v>694</v>
      </c>
      <c r="F58" s="166" t="s">
        <v>695</v>
      </c>
      <c r="G58" s="166" t="s">
        <v>696</v>
      </c>
      <c r="H58" s="166" t="s">
        <v>693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160</v>
      </c>
      <c r="AI58" s="203">
        <f t="shared" si="56"/>
        <v>24000000</v>
      </c>
      <c r="AJ58" s="164" t="s">
        <v>973</v>
      </c>
    </row>
    <row r="59" spans="1:36" x14ac:dyDescent="0.2">
      <c r="A59" s="173">
        <v>56</v>
      </c>
      <c r="B59" s="164" t="s">
        <v>680</v>
      </c>
      <c r="C59" s="165" t="s">
        <v>157</v>
      </c>
      <c r="D59" s="203">
        <v>4000000</v>
      </c>
      <c r="E59" s="197" t="s">
        <v>703</v>
      </c>
      <c r="F59" s="166" t="s">
        <v>702</v>
      </c>
      <c r="G59" s="166" t="s">
        <v>416</v>
      </c>
      <c r="H59" s="166" t="s">
        <v>701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33</v>
      </c>
      <c r="AI59" s="203">
        <f t="shared" si="56"/>
        <v>24000000</v>
      </c>
      <c r="AJ59" s="164" t="s">
        <v>980</v>
      </c>
    </row>
    <row r="60" spans="1:36" x14ac:dyDescent="0.2">
      <c r="A60" s="164">
        <v>57</v>
      </c>
      <c r="B60" s="164" t="s">
        <v>681</v>
      </c>
      <c r="C60" s="165" t="s">
        <v>157</v>
      </c>
      <c r="D60" s="203">
        <v>4000000</v>
      </c>
      <c r="E60" s="197" t="s">
        <v>698</v>
      </c>
      <c r="F60" s="166" t="s">
        <v>699</v>
      </c>
      <c r="G60" s="166" t="s">
        <v>700</v>
      </c>
      <c r="H60" s="166" t="s">
        <v>697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33</v>
      </c>
      <c r="AI60" s="203">
        <f t="shared" si="56"/>
        <v>24000000</v>
      </c>
      <c r="AJ60" s="164" t="s">
        <v>980</v>
      </c>
    </row>
    <row r="61" spans="1:36" x14ac:dyDescent="0.2">
      <c r="A61" s="173">
        <v>58</v>
      </c>
      <c r="B61" s="164" t="s">
        <v>747</v>
      </c>
      <c r="C61" s="165" t="s">
        <v>32</v>
      </c>
      <c r="D61" s="166">
        <v>4000000</v>
      </c>
      <c r="E61" s="166" t="s">
        <v>704</v>
      </c>
      <c r="F61" s="166" t="s">
        <v>705</v>
      </c>
      <c r="G61" s="166" t="s">
        <v>706</v>
      </c>
      <c r="H61" s="166" t="s">
        <v>707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24</v>
      </c>
      <c r="AI61" s="203">
        <f>D61*6</f>
        <v>24000000</v>
      </c>
      <c r="AJ61" s="164" t="s">
        <v>980</v>
      </c>
    </row>
    <row r="62" spans="1:36" x14ac:dyDescent="0.2">
      <c r="A62" s="164">
        <v>59</v>
      </c>
      <c r="B62" s="164" t="s">
        <v>739</v>
      </c>
      <c r="C62" s="165" t="s">
        <v>291</v>
      </c>
      <c r="D62" s="166">
        <v>4000000</v>
      </c>
      <c r="E62" s="166" t="s">
        <v>742</v>
      </c>
      <c r="F62" s="166" t="s">
        <v>741</v>
      </c>
      <c r="G62" s="166" t="s">
        <v>981</v>
      </c>
      <c r="H62" s="166" t="s">
        <v>745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69</v>
      </c>
      <c r="AI62" s="203">
        <f t="shared" ref="AI62:AI85" si="61">D62*6</f>
        <v>24000000</v>
      </c>
      <c r="AJ62" s="164" t="s">
        <v>980</v>
      </c>
    </row>
    <row r="63" spans="1:36" x14ac:dyDescent="0.2">
      <c r="A63" s="173">
        <v>60</v>
      </c>
      <c r="B63" s="221" t="s">
        <v>732</v>
      </c>
      <c r="C63" s="165" t="s">
        <v>15</v>
      </c>
      <c r="D63" s="166">
        <v>5000000</v>
      </c>
      <c r="E63" s="166" t="s">
        <v>734</v>
      </c>
      <c r="F63" s="166" t="s">
        <v>735</v>
      </c>
      <c r="G63" s="166" t="s">
        <v>401</v>
      </c>
      <c r="H63" s="166" t="s">
        <v>736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78</v>
      </c>
      <c r="AI63" s="203">
        <f t="shared" si="61"/>
        <v>30000000</v>
      </c>
      <c r="AJ63" s="164" t="s">
        <v>980</v>
      </c>
    </row>
    <row r="64" spans="1:36" x14ac:dyDescent="0.2">
      <c r="A64" s="164">
        <v>61</v>
      </c>
      <c r="B64" s="164" t="s">
        <v>711</v>
      </c>
      <c r="C64" s="165" t="s">
        <v>291</v>
      </c>
      <c r="D64" s="166">
        <v>5500000</v>
      </c>
      <c r="E64" s="166" t="s">
        <v>730</v>
      </c>
      <c r="F64" s="166" t="s">
        <v>729</v>
      </c>
      <c r="G64" s="166" t="s">
        <v>154</v>
      </c>
      <c r="H64" s="166" t="s">
        <v>713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73</v>
      </c>
      <c r="AI64" s="203">
        <f>D64*6</f>
        <v>33000000</v>
      </c>
      <c r="AJ64" s="164" t="s">
        <v>980</v>
      </c>
    </row>
    <row r="65" spans="1:36" x14ac:dyDescent="0.2">
      <c r="A65" s="173">
        <v>62</v>
      </c>
      <c r="B65" s="165" t="s">
        <v>714</v>
      </c>
      <c r="C65" s="165" t="s">
        <v>291</v>
      </c>
      <c r="D65" s="166">
        <v>7000000</v>
      </c>
      <c r="E65" s="166" t="s">
        <v>726</v>
      </c>
      <c r="F65" s="166" t="s">
        <v>725</v>
      </c>
      <c r="G65" s="166" t="s">
        <v>416</v>
      </c>
      <c r="H65" s="166" t="s">
        <v>716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83</v>
      </c>
      <c r="AI65" s="203">
        <f t="shared" si="61"/>
        <v>42000000</v>
      </c>
      <c r="AJ65" s="164" t="s">
        <v>980</v>
      </c>
    </row>
    <row r="66" spans="1:36" x14ac:dyDescent="0.2">
      <c r="A66" s="164">
        <v>63</v>
      </c>
      <c r="B66" s="164" t="s">
        <v>717</v>
      </c>
      <c r="C66" s="165" t="s">
        <v>32</v>
      </c>
      <c r="D66" s="166">
        <v>7500000</v>
      </c>
      <c r="E66" s="166" t="s">
        <v>738</v>
      </c>
      <c r="F66" s="166" t="s">
        <v>737</v>
      </c>
      <c r="G66" s="166" t="s">
        <v>982</v>
      </c>
      <c r="H66" s="166" t="s">
        <v>719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103</v>
      </c>
      <c r="AI66" s="203">
        <f>D66*6</f>
        <v>45000000</v>
      </c>
      <c r="AJ66" s="173" t="s">
        <v>980</v>
      </c>
    </row>
    <row r="67" spans="1:36" x14ac:dyDescent="0.2">
      <c r="A67" s="173">
        <v>64</v>
      </c>
      <c r="B67" s="164" t="s">
        <v>720</v>
      </c>
      <c r="C67" s="165" t="s">
        <v>230</v>
      </c>
      <c r="D67" s="166">
        <v>5000000</v>
      </c>
      <c r="E67" s="166" t="s">
        <v>723</v>
      </c>
      <c r="F67" s="166" t="s">
        <v>724</v>
      </c>
      <c r="G67" s="166" t="s">
        <v>171</v>
      </c>
      <c r="H67" s="166" t="s">
        <v>722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111</v>
      </c>
      <c r="AI67" s="203">
        <f t="shared" si="61"/>
        <v>30000000</v>
      </c>
      <c r="AJ67" s="164" t="s">
        <v>980</v>
      </c>
    </row>
    <row r="68" spans="1:36" x14ac:dyDescent="0.2">
      <c r="A68" s="164">
        <v>65</v>
      </c>
      <c r="B68" s="221" t="s">
        <v>751</v>
      </c>
      <c r="C68" s="165" t="s">
        <v>15</v>
      </c>
      <c r="D68" s="166">
        <v>5500000</v>
      </c>
      <c r="E68" s="166" t="s">
        <v>766</v>
      </c>
      <c r="F68" s="166" t="s">
        <v>765</v>
      </c>
      <c r="G68" s="166" t="s">
        <v>767</v>
      </c>
      <c r="H68" s="166" t="s">
        <v>754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165</v>
      </c>
      <c r="AI68" s="203">
        <f t="shared" si="61"/>
        <v>33000000</v>
      </c>
      <c r="AJ68" s="164" t="s">
        <v>980</v>
      </c>
    </row>
    <row r="69" spans="1:36" x14ac:dyDescent="0.2">
      <c r="A69" s="173">
        <v>66</v>
      </c>
      <c r="B69" s="221" t="s">
        <v>752</v>
      </c>
      <c r="C69" s="165" t="s">
        <v>230</v>
      </c>
      <c r="D69" s="166">
        <v>5000000</v>
      </c>
      <c r="E69" s="166" t="s">
        <v>778</v>
      </c>
      <c r="F69" s="166" t="s">
        <v>779</v>
      </c>
      <c r="G69" s="166" t="s">
        <v>780</v>
      </c>
      <c r="H69" s="166" t="s">
        <v>756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165</v>
      </c>
      <c r="AI69" s="203">
        <f t="shared" si="61"/>
        <v>30000000</v>
      </c>
      <c r="AJ69" s="164" t="s">
        <v>980</v>
      </c>
    </row>
    <row r="70" spans="1:36" x14ac:dyDescent="0.2">
      <c r="A70" s="164">
        <v>67</v>
      </c>
      <c r="B70" s="164" t="s">
        <v>749</v>
      </c>
      <c r="C70" s="165" t="s">
        <v>15</v>
      </c>
      <c r="D70" s="166">
        <v>5000000</v>
      </c>
      <c r="E70" s="166" t="s">
        <v>763</v>
      </c>
      <c r="F70" s="166" t="s">
        <v>764</v>
      </c>
      <c r="G70" s="166" t="s">
        <v>710</v>
      </c>
      <c r="H70" s="166" t="s">
        <v>761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20</v>
      </c>
      <c r="AI70" s="203">
        <f t="shared" si="61"/>
        <v>30000000</v>
      </c>
      <c r="AJ70" s="164" t="s">
        <v>979</v>
      </c>
    </row>
    <row r="71" spans="1:36" x14ac:dyDescent="0.2">
      <c r="A71" s="173">
        <v>68</v>
      </c>
      <c r="B71" s="164" t="s">
        <v>750</v>
      </c>
      <c r="C71" s="165" t="s">
        <v>117</v>
      </c>
      <c r="D71" s="166">
        <v>4500000</v>
      </c>
      <c r="E71" s="166" t="s">
        <v>759</v>
      </c>
      <c r="F71" s="166" t="s">
        <v>758</v>
      </c>
      <c r="G71" s="166" t="s">
        <v>710</v>
      </c>
      <c r="H71" s="166" t="s">
        <v>760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150</v>
      </c>
      <c r="AI71" s="203">
        <f t="shared" si="61"/>
        <v>27000000</v>
      </c>
      <c r="AJ71" s="164" t="s">
        <v>980</v>
      </c>
    </row>
    <row r="72" spans="1:36" x14ac:dyDescent="0.2">
      <c r="A72" s="164">
        <v>69</v>
      </c>
      <c r="B72" s="164" t="s">
        <v>781</v>
      </c>
      <c r="C72" s="165" t="s">
        <v>32</v>
      </c>
      <c r="D72" s="166">
        <v>6000000</v>
      </c>
      <c r="E72" s="166" t="s">
        <v>784</v>
      </c>
      <c r="F72" s="166" t="s">
        <v>785</v>
      </c>
      <c r="G72" s="166" t="s">
        <v>780</v>
      </c>
      <c r="H72" s="166" t="s">
        <v>786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58</v>
      </c>
      <c r="AI72" s="203">
        <f t="shared" si="61"/>
        <v>36000000</v>
      </c>
      <c r="AJ72" s="164" t="s">
        <v>983</v>
      </c>
    </row>
    <row r="73" spans="1:36" x14ac:dyDescent="0.2">
      <c r="A73" s="164">
        <v>70</v>
      </c>
      <c r="B73" s="221" t="s">
        <v>788</v>
      </c>
      <c r="C73" s="165" t="s">
        <v>157</v>
      </c>
      <c r="D73" s="166">
        <v>4000000</v>
      </c>
      <c r="E73" s="166" t="s">
        <v>790</v>
      </c>
      <c r="F73" s="166" t="s">
        <v>791</v>
      </c>
      <c r="G73" s="166" t="s">
        <v>792</v>
      </c>
      <c r="H73" s="166" t="s">
        <v>793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76</v>
      </c>
      <c r="AI73" s="203">
        <f t="shared" si="61"/>
        <v>24000000</v>
      </c>
      <c r="AJ73" s="164" t="s">
        <v>983</v>
      </c>
    </row>
    <row r="74" spans="1:36" x14ac:dyDescent="0.2">
      <c r="A74" s="164">
        <v>71</v>
      </c>
      <c r="B74" s="165" t="s">
        <v>797</v>
      </c>
      <c r="C74" s="165" t="s">
        <v>582</v>
      </c>
      <c r="D74" s="166">
        <v>7000000</v>
      </c>
      <c r="E74" s="166" t="s">
        <v>799</v>
      </c>
      <c r="F74" s="166" t="s">
        <v>798</v>
      </c>
      <c r="G74" s="166" t="s">
        <v>800</v>
      </c>
      <c r="H74" s="166" t="s">
        <v>795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113</v>
      </c>
      <c r="AI74" s="203">
        <f t="shared" si="61"/>
        <v>42000000</v>
      </c>
      <c r="AJ74" s="164" t="s">
        <v>979</v>
      </c>
    </row>
    <row r="75" spans="1:36" x14ac:dyDescent="0.2">
      <c r="A75" s="164">
        <v>73</v>
      </c>
      <c r="B75" s="165" t="s">
        <v>801</v>
      </c>
      <c r="C75" s="165" t="s">
        <v>32</v>
      </c>
      <c r="D75" s="166">
        <v>4000000</v>
      </c>
      <c r="E75" s="166" t="s">
        <v>808</v>
      </c>
      <c r="F75" s="166" t="s">
        <v>868</v>
      </c>
      <c r="G75" s="166" t="s">
        <v>706</v>
      </c>
      <c r="H75" s="166" t="s">
        <v>807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119</v>
      </c>
      <c r="AI75" s="203">
        <f t="shared" si="61"/>
        <v>24000000</v>
      </c>
      <c r="AJ75" s="164" t="s">
        <v>979</v>
      </c>
    </row>
    <row r="76" spans="1:36" x14ac:dyDescent="0.2">
      <c r="A76" s="164">
        <v>74</v>
      </c>
      <c r="B76" s="165" t="s">
        <v>802</v>
      </c>
      <c r="C76" s="165" t="s">
        <v>157</v>
      </c>
      <c r="D76" s="166">
        <v>4000000</v>
      </c>
      <c r="E76" s="166" t="s">
        <v>804</v>
      </c>
      <c r="F76" s="166" t="s">
        <v>805</v>
      </c>
      <c r="G76" s="166" t="s">
        <v>171</v>
      </c>
      <c r="H76" s="166" t="s">
        <v>806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111</v>
      </c>
      <c r="AI76" s="203">
        <f t="shared" si="61"/>
        <v>24000000</v>
      </c>
      <c r="AJ76" s="164" t="s">
        <v>979</v>
      </c>
    </row>
    <row r="77" spans="1:36" x14ac:dyDescent="0.2">
      <c r="A77" s="164">
        <v>75</v>
      </c>
      <c r="B77" s="164" t="s">
        <v>813</v>
      </c>
      <c r="C77" s="165" t="s">
        <v>117</v>
      </c>
      <c r="D77" s="166">
        <v>5000000</v>
      </c>
      <c r="E77" s="183" t="s">
        <v>815</v>
      </c>
      <c r="F77" s="165" t="s">
        <v>816</v>
      </c>
      <c r="G77" s="165" t="s">
        <v>154</v>
      </c>
      <c r="H77" s="164" t="s">
        <v>817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141</v>
      </c>
      <c r="AI77" s="203">
        <f t="shared" si="61"/>
        <v>30000000</v>
      </c>
      <c r="AJ77" s="164" t="s">
        <v>979</v>
      </c>
    </row>
    <row r="78" spans="1:36" x14ac:dyDescent="0.2">
      <c r="A78" s="164">
        <v>76</v>
      </c>
      <c r="B78" s="164" t="s">
        <v>818</v>
      </c>
      <c r="C78" s="165" t="s">
        <v>117</v>
      </c>
      <c r="D78" s="166">
        <v>3000000</v>
      </c>
      <c r="E78" s="183" t="s">
        <v>819</v>
      </c>
      <c r="F78" s="165" t="s">
        <v>820</v>
      </c>
      <c r="G78" s="165" t="s">
        <v>171</v>
      </c>
      <c r="H78" s="164" t="s">
        <v>984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54</v>
      </c>
      <c r="AI78" s="203">
        <f t="shared" si="61"/>
        <v>18000000</v>
      </c>
      <c r="AJ78" s="164" t="s">
        <v>985</v>
      </c>
    </row>
    <row r="79" spans="1:36" x14ac:dyDescent="0.2">
      <c r="A79" s="164">
        <v>77</v>
      </c>
      <c r="B79" s="164" t="s">
        <v>989</v>
      </c>
      <c r="C79" s="165" t="s">
        <v>66</v>
      </c>
      <c r="D79" s="166">
        <v>4000000</v>
      </c>
      <c r="E79" s="183" t="s">
        <v>822</v>
      </c>
      <c r="F79" s="165" t="s">
        <v>821</v>
      </c>
      <c r="G79" s="165" t="s">
        <v>986</v>
      </c>
      <c r="H79" s="164" t="s">
        <v>823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59</v>
      </c>
      <c r="AI79" s="203">
        <f t="shared" si="61"/>
        <v>24000000</v>
      </c>
      <c r="AJ79" s="164" t="s">
        <v>985</v>
      </c>
    </row>
    <row r="80" spans="1:36" x14ac:dyDescent="0.2">
      <c r="A80" s="164">
        <v>78</v>
      </c>
      <c r="B80" s="189" t="s">
        <v>841</v>
      </c>
      <c r="C80" s="165" t="s">
        <v>15</v>
      </c>
      <c r="D80" s="166">
        <v>5000000</v>
      </c>
      <c r="E80" s="165" t="s">
        <v>849</v>
      </c>
      <c r="F80" s="165" t="s">
        <v>848</v>
      </c>
      <c r="G80" s="164" t="s">
        <v>154</v>
      </c>
      <c r="H80" s="164" t="s">
        <v>850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112</v>
      </c>
      <c r="AI80" s="203">
        <f t="shared" si="61"/>
        <v>30000000</v>
      </c>
      <c r="AJ80" s="222" t="s">
        <v>985</v>
      </c>
    </row>
    <row r="81" spans="1:36" x14ac:dyDescent="0.2">
      <c r="A81" s="164">
        <v>79</v>
      </c>
      <c r="B81" s="189" t="s">
        <v>843</v>
      </c>
      <c r="C81" s="165" t="s">
        <v>230</v>
      </c>
      <c r="D81" s="166">
        <v>5000000</v>
      </c>
      <c r="E81" s="165" t="s">
        <v>859</v>
      </c>
      <c r="F81" s="165" t="s">
        <v>858</v>
      </c>
      <c r="G81" s="164" t="s">
        <v>860</v>
      </c>
      <c r="H81" s="164" t="s">
        <v>856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125</v>
      </c>
      <c r="AI81" s="203">
        <f t="shared" si="61"/>
        <v>30000000</v>
      </c>
      <c r="AJ81" s="164" t="s">
        <v>985</v>
      </c>
    </row>
    <row r="82" spans="1:36" x14ac:dyDescent="0.2">
      <c r="A82" s="164">
        <v>80</v>
      </c>
      <c r="B82" s="189" t="s">
        <v>845</v>
      </c>
      <c r="C82" s="165" t="s">
        <v>291</v>
      </c>
      <c r="D82" s="166">
        <v>4000000</v>
      </c>
      <c r="E82" s="165" t="s">
        <v>854</v>
      </c>
      <c r="F82" s="165" t="s">
        <v>853</v>
      </c>
      <c r="G82" s="164" t="s">
        <v>855</v>
      </c>
      <c r="H82" s="164" t="s">
        <v>851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101</v>
      </c>
      <c r="AI82" s="203">
        <f t="shared" si="61"/>
        <v>24000000</v>
      </c>
      <c r="AJ82" s="222" t="s">
        <v>985</v>
      </c>
    </row>
    <row r="83" spans="1:36" x14ac:dyDescent="0.2">
      <c r="A83" s="164">
        <v>81</v>
      </c>
      <c r="B83" s="189" t="s">
        <v>844</v>
      </c>
      <c r="C83" s="165" t="s">
        <v>588</v>
      </c>
      <c r="D83" s="166">
        <v>5000000</v>
      </c>
      <c r="E83" s="165" t="s">
        <v>866</v>
      </c>
      <c r="F83" s="165" t="s">
        <v>864</v>
      </c>
      <c r="G83" s="164" t="s">
        <v>865</v>
      </c>
      <c r="H83" s="164" t="s">
        <v>867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102</v>
      </c>
      <c r="AI83" s="203">
        <f t="shared" si="61"/>
        <v>30000000</v>
      </c>
      <c r="AJ83" s="164" t="s">
        <v>985</v>
      </c>
    </row>
    <row r="84" spans="1:36" x14ac:dyDescent="0.2">
      <c r="A84" s="164">
        <v>82</v>
      </c>
      <c r="B84" s="223" t="s">
        <v>892</v>
      </c>
      <c r="C84" s="165" t="s">
        <v>66</v>
      </c>
      <c r="D84" s="166">
        <v>4000000</v>
      </c>
      <c r="E84" s="183" t="s">
        <v>894</v>
      </c>
      <c r="F84" s="165" t="s">
        <v>893</v>
      </c>
      <c r="G84" s="164" t="s">
        <v>700</v>
      </c>
      <c r="H84" s="164" t="s">
        <v>895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160</v>
      </c>
      <c r="AI84" s="203">
        <f t="shared" si="61"/>
        <v>24000000</v>
      </c>
      <c r="AJ84" s="164" t="s">
        <v>985</v>
      </c>
    </row>
    <row r="85" spans="1:36" x14ac:dyDescent="0.2">
      <c r="A85" s="164">
        <v>83</v>
      </c>
      <c r="B85" s="189" t="s">
        <v>899</v>
      </c>
      <c r="C85" s="165" t="s">
        <v>66</v>
      </c>
      <c r="D85" s="166">
        <v>6000000</v>
      </c>
      <c r="E85" s="183" t="s">
        <v>900</v>
      </c>
      <c r="F85" s="165" t="s">
        <v>898</v>
      </c>
      <c r="G85" s="164" t="s">
        <v>102</v>
      </c>
      <c r="H85" s="164" t="s">
        <v>901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2</v>
      </c>
      <c r="AI85" s="203">
        <f t="shared" si="61"/>
        <v>36000000</v>
      </c>
      <c r="AJ85" s="164" t="s">
        <v>987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25" t="s">
        <v>672</v>
      </c>
      <c r="B5" s="226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27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28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28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28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28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28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28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28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28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28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29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30" t="s">
        <v>1</v>
      </c>
      <c r="M1" s="230"/>
      <c r="N1" s="230"/>
      <c r="O1" s="230"/>
      <c r="P1" s="230"/>
      <c r="Q1" s="231" t="s">
        <v>2</v>
      </c>
      <c r="R1" s="231"/>
      <c r="S1" s="231"/>
      <c r="T1" s="231"/>
      <c r="U1" s="231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Theo dõi HĐ_Chi tiết</vt:lpstr>
      <vt:lpstr>Theo dõi thanh toán chủ nhà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2026-03-29T05:51:09Z</dcterms:modified>
</cp:coreProperties>
</file>